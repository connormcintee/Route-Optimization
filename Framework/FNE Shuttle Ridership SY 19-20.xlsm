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dpsnas01\PlanningData\Planning Analysis Projects\Other Department and Program Support\Transportation\Projects\Department Operations\Monthly Metrics\"/>
    </mc:Choice>
  </mc:AlternateContent>
  <workbookProtection lockStructure="1"/>
  <bookViews>
    <workbookView xWindow="0" yWindow="60" windowWidth="20370" windowHeight="7695" activeTab="3"/>
  </bookViews>
  <sheets>
    <sheet name="Entry Form" sheetId="1" r:id="rId1"/>
    <sheet name="DataTable" sheetId="5" r:id="rId2"/>
    <sheet name="Data Validation" sheetId="2" r:id="rId3"/>
    <sheet name="Reporting" sheetId="6" r:id="rId4"/>
  </sheets>
  <definedNames>
    <definedName name="_xlnm._FilterDatabase" localSheetId="0" hidden="1">'Entry Form'!$B$2:$E$5</definedName>
    <definedName name="DOW">'Data Validation'!$C$2:$C$6</definedName>
    <definedName name="LOCATIONS">'Data Validation'!$A$2:$A$38</definedName>
    <definedName name="SHUTTLE_ROUTES">'Data Validation'!$E$2:$E$31</definedName>
  </definedNames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42" i="5" l="1"/>
  <c r="K3142" i="5"/>
  <c r="J3141" i="5"/>
  <c r="K3141" i="5"/>
  <c r="J3140" i="5"/>
  <c r="K3140" i="5"/>
  <c r="J3139" i="5"/>
  <c r="K3139" i="5"/>
  <c r="J3138" i="5"/>
  <c r="K3138" i="5"/>
  <c r="J3137" i="5"/>
  <c r="K3137" i="5"/>
  <c r="J3136" i="5"/>
  <c r="K3136" i="5"/>
  <c r="J3135" i="5"/>
  <c r="K3135" i="5"/>
  <c r="J3134" i="5"/>
  <c r="K3134" i="5"/>
  <c r="J3133" i="5"/>
  <c r="K3133" i="5"/>
  <c r="J3132" i="5"/>
  <c r="K3132" i="5"/>
  <c r="J3131" i="5"/>
  <c r="K3131" i="5"/>
  <c r="J3130" i="5"/>
  <c r="K3130" i="5"/>
  <c r="J3129" i="5"/>
  <c r="K3129" i="5"/>
  <c r="J3128" i="5"/>
  <c r="K3128" i="5"/>
  <c r="J3127" i="5"/>
  <c r="K3127" i="5"/>
  <c r="J3126" i="5"/>
  <c r="K3126" i="5"/>
  <c r="J3125" i="5"/>
  <c r="K3125" i="5"/>
  <c r="J3124" i="5"/>
  <c r="K3124" i="5"/>
  <c r="J3123" i="5"/>
  <c r="K3123" i="5"/>
  <c r="J3122" i="5"/>
  <c r="K3122" i="5"/>
  <c r="J3121" i="5"/>
  <c r="K3121" i="5"/>
  <c r="J3120" i="5"/>
  <c r="K3120" i="5"/>
  <c r="J3119" i="5"/>
  <c r="K3119" i="5"/>
  <c r="J3118" i="5"/>
  <c r="K3118" i="5"/>
  <c r="J3117" i="5"/>
  <c r="K3117" i="5"/>
  <c r="J3116" i="5"/>
  <c r="K3116" i="5"/>
  <c r="J3115" i="5"/>
  <c r="K3115" i="5"/>
  <c r="J3114" i="5"/>
  <c r="K3114" i="5"/>
  <c r="J3113" i="5"/>
  <c r="K3113" i="5"/>
  <c r="J3112" i="5"/>
  <c r="K3112" i="5"/>
  <c r="J3111" i="5"/>
  <c r="K3111" i="5"/>
  <c r="J3110" i="5"/>
  <c r="K3110" i="5"/>
  <c r="J3109" i="5"/>
  <c r="K3109" i="5"/>
  <c r="J3108" i="5"/>
  <c r="K3108" i="5"/>
  <c r="J3107" i="5"/>
  <c r="K3107" i="5"/>
  <c r="J3106" i="5"/>
  <c r="K3106" i="5"/>
  <c r="J3105" i="5"/>
  <c r="K3105" i="5"/>
  <c r="J3104" i="5"/>
  <c r="K3104" i="5"/>
  <c r="J3103" i="5"/>
  <c r="K3103" i="5"/>
  <c r="J3102" i="5"/>
  <c r="K3102" i="5"/>
  <c r="J3101" i="5"/>
  <c r="K3101" i="5"/>
  <c r="J3100" i="5"/>
  <c r="K3100" i="5"/>
  <c r="J3099" i="5"/>
  <c r="K3099" i="5"/>
  <c r="J3098" i="5"/>
  <c r="K3098" i="5"/>
  <c r="J3097" i="5"/>
  <c r="K3097" i="5"/>
  <c r="J3096" i="5"/>
  <c r="K3096" i="5"/>
  <c r="J3095" i="5"/>
  <c r="K3095" i="5"/>
  <c r="J3094" i="5"/>
  <c r="K3094" i="5"/>
  <c r="J3093" i="5"/>
  <c r="K3093" i="5"/>
  <c r="J3092" i="5"/>
  <c r="K3092" i="5"/>
  <c r="J3091" i="5"/>
  <c r="K3091" i="5"/>
  <c r="J3090" i="5"/>
  <c r="K3090" i="5"/>
  <c r="J3089" i="5"/>
  <c r="K3089" i="5"/>
  <c r="J3088" i="5"/>
  <c r="K3088" i="5"/>
  <c r="J3087" i="5"/>
  <c r="K3087" i="5"/>
  <c r="J3086" i="5"/>
  <c r="K3086" i="5"/>
  <c r="J3085" i="5"/>
  <c r="K3085" i="5"/>
  <c r="J3084" i="5"/>
  <c r="K3084" i="5"/>
  <c r="J3083" i="5"/>
  <c r="K3083" i="5"/>
  <c r="J3082" i="5"/>
  <c r="K3082" i="5"/>
  <c r="J3081" i="5"/>
  <c r="K3081" i="5"/>
  <c r="J3080" i="5"/>
  <c r="K3080" i="5"/>
  <c r="J3079" i="5"/>
  <c r="K3079" i="5"/>
  <c r="J3078" i="5"/>
  <c r="K3078" i="5"/>
  <c r="J3077" i="5"/>
  <c r="K3077" i="5"/>
  <c r="J3076" i="5"/>
  <c r="K3076" i="5"/>
  <c r="J3075" i="5"/>
  <c r="K3075" i="5"/>
  <c r="J3074" i="5"/>
  <c r="K3074" i="5"/>
  <c r="J3073" i="5"/>
  <c r="K3073" i="5"/>
  <c r="J3072" i="5"/>
  <c r="K3072" i="5"/>
  <c r="J3071" i="5"/>
  <c r="K3071" i="5"/>
  <c r="J3070" i="5"/>
  <c r="K3070" i="5"/>
  <c r="J3069" i="5"/>
  <c r="K3069" i="5"/>
  <c r="J3068" i="5"/>
  <c r="K3068" i="5"/>
  <c r="J3067" i="5"/>
  <c r="K3067" i="5"/>
  <c r="J3066" i="5"/>
  <c r="K3066" i="5"/>
  <c r="J3065" i="5"/>
  <c r="K3065" i="5"/>
  <c r="J3064" i="5"/>
  <c r="K3064" i="5"/>
  <c r="J3063" i="5"/>
  <c r="K3063" i="5"/>
  <c r="J3062" i="5"/>
  <c r="K3062" i="5"/>
  <c r="J3061" i="5"/>
  <c r="K3061" i="5"/>
  <c r="J3060" i="5"/>
  <c r="K3060" i="5"/>
  <c r="J3059" i="5"/>
  <c r="K3059" i="5"/>
  <c r="J3058" i="5"/>
  <c r="K3058" i="5"/>
  <c r="J3057" i="5"/>
  <c r="K3057" i="5"/>
  <c r="J3056" i="5"/>
  <c r="K3056" i="5"/>
  <c r="J3055" i="5"/>
  <c r="K3055" i="5"/>
  <c r="J3054" i="5"/>
  <c r="K3054" i="5"/>
  <c r="J3053" i="5"/>
  <c r="K3053" i="5"/>
  <c r="J3052" i="5"/>
  <c r="K3052" i="5"/>
  <c r="J3051" i="5"/>
  <c r="K3051" i="5"/>
  <c r="J3050" i="5"/>
  <c r="K3050" i="5"/>
  <c r="J3049" i="5"/>
  <c r="K3049" i="5"/>
  <c r="J3048" i="5"/>
  <c r="K3048" i="5"/>
  <c r="J3047" i="5"/>
  <c r="K3047" i="5"/>
  <c r="J3046" i="5" l="1"/>
  <c r="K3046" i="5"/>
  <c r="J3045" i="5"/>
  <c r="K3045" i="5"/>
  <c r="J3044" i="5"/>
  <c r="K3044" i="5"/>
  <c r="J3043" i="5"/>
  <c r="K3043" i="5"/>
  <c r="J3042" i="5"/>
  <c r="K3042" i="5"/>
  <c r="J3041" i="5"/>
  <c r="K3041" i="5"/>
  <c r="J3040" i="5"/>
  <c r="K3040" i="5"/>
  <c r="J3039" i="5"/>
  <c r="K3039" i="5"/>
  <c r="J3038" i="5"/>
  <c r="K3038" i="5"/>
  <c r="J3037" i="5"/>
  <c r="K3037" i="5"/>
  <c r="J3036" i="5"/>
  <c r="K3036" i="5"/>
  <c r="J3035" i="5"/>
  <c r="K3035" i="5"/>
  <c r="J3034" i="5"/>
  <c r="K3034" i="5"/>
  <c r="J3033" i="5"/>
  <c r="K3033" i="5"/>
  <c r="J3032" i="5"/>
  <c r="K3032" i="5"/>
  <c r="J3031" i="5"/>
  <c r="K3031" i="5"/>
  <c r="J3030" i="5"/>
  <c r="K3030" i="5"/>
  <c r="J3029" i="5"/>
  <c r="K3029" i="5"/>
  <c r="J3028" i="5"/>
  <c r="K3028" i="5"/>
  <c r="J3027" i="5"/>
  <c r="K3027" i="5"/>
  <c r="J3026" i="5"/>
  <c r="K3026" i="5"/>
  <c r="J3025" i="5"/>
  <c r="K3025" i="5"/>
  <c r="J3024" i="5"/>
  <c r="K3024" i="5"/>
  <c r="J3023" i="5"/>
  <c r="K3023" i="5"/>
  <c r="J3022" i="5"/>
  <c r="K3022" i="5"/>
  <c r="J3021" i="5"/>
  <c r="K3021" i="5"/>
  <c r="J3020" i="5"/>
  <c r="K3020" i="5"/>
  <c r="J3019" i="5"/>
  <c r="K3019" i="5"/>
  <c r="J3018" i="5"/>
  <c r="K3018" i="5"/>
  <c r="J3017" i="5"/>
  <c r="K3017" i="5"/>
  <c r="J3016" i="5"/>
  <c r="K3016" i="5"/>
  <c r="J3015" i="5"/>
  <c r="K3015" i="5"/>
  <c r="J3014" i="5"/>
  <c r="K3014" i="5"/>
  <c r="J3013" i="5"/>
  <c r="K3013" i="5"/>
  <c r="J3012" i="5"/>
  <c r="K3012" i="5"/>
  <c r="J3011" i="5"/>
  <c r="K3011" i="5"/>
  <c r="J3010" i="5"/>
  <c r="K3010" i="5"/>
  <c r="J3009" i="5"/>
  <c r="K3009" i="5"/>
  <c r="J3008" i="5"/>
  <c r="K3008" i="5"/>
  <c r="J3007" i="5"/>
  <c r="K3007" i="5"/>
  <c r="J3006" i="5"/>
  <c r="K3006" i="5"/>
  <c r="J3005" i="5"/>
  <c r="K3005" i="5"/>
  <c r="J3004" i="5"/>
  <c r="K3004" i="5"/>
  <c r="J3003" i="5"/>
  <c r="K3003" i="5"/>
  <c r="J3002" i="5"/>
  <c r="K3002" i="5"/>
  <c r="J3001" i="5"/>
  <c r="K3001" i="5"/>
  <c r="J3000" i="5"/>
  <c r="K3000" i="5"/>
  <c r="J2999" i="5"/>
  <c r="K2999" i="5"/>
  <c r="J2998" i="5"/>
  <c r="K2998" i="5"/>
  <c r="J2997" i="5"/>
  <c r="K2997" i="5"/>
  <c r="J2996" i="5"/>
  <c r="K2996" i="5"/>
  <c r="J2995" i="5"/>
  <c r="K2995" i="5"/>
  <c r="J2994" i="5"/>
  <c r="K2994" i="5"/>
  <c r="J2993" i="5"/>
  <c r="K2993" i="5"/>
  <c r="J2992" i="5"/>
  <c r="K2992" i="5"/>
  <c r="J2991" i="5"/>
  <c r="K2991" i="5"/>
  <c r="J2990" i="5"/>
  <c r="K2990" i="5"/>
  <c r="J2989" i="5"/>
  <c r="K2989" i="5"/>
  <c r="J2988" i="5"/>
  <c r="K2988" i="5"/>
  <c r="J2987" i="5"/>
  <c r="K2987" i="5"/>
  <c r="J2986" i="5"/>
  <c r="K2986" i="5"/>
  <c r="J2985" i="5"/>
  <c r="K2985" i="5"/>
  <c r="J2984" i="5"/>
  <c r="K2984" i="5"/>
  <c r="J2983" i="5"/>
  <c r="K2983" i="5"/>
  <c r="J2982" i="5"/>
  <c r="K2982" i="5"/>
  <c r="J2981" i="5"/>
  <c r="K2981" i="5"/>
  <c r="J2980" i="5"/>
  <c r="K2980" i="5"/>
  <c r="J2979" i="5"/>
  <c r="K2979" i="5"/>
  <c r="J2978" i="5"/>
  <c r="K2978" i="5"/>
  <c r="J2977" i="5"/>
  <c r="K2977" i="5"/>
  <c r="J2976" i="5"/>
  <c r="K2976" i="5"/>
  <c r="J2975" i="5"/>
  <c r="K2975" i="5"/>
  <c r="J2974" i="5"/>
  <c r="K2974" i="5"/>
  <c r="J2973" i="5"/>
  <c r="K2973" i="5"/>
  <c r="J2972" i="5"/>
  <c r="K2972" i="5"/>
  <c r="J2971" i="5"/>
  <c r="K2971" i="5"/>
  <c r="J2970" i="5"/>
  <c r="K2970" i="5"/>
  <c r="J2969" i="5"/>
  <c r="K2969" i="5"/>
  <c r="J2968" i="5"/>
  <c r="K2968" i="5"/>
  <c r="J2967" i="5"/>
  <c r="K2967" i="5"/>
  <c r="J2966" i="5"/>
  <c r="K2966" i="5"/>
  <c r="J2965" i="5"/>
  <c r="K2965" i="5"/>
  <c r="J2964" i="5"/>
  <c r="K2964" i="5"/>
  <c r="J2963" i="5"/>
  <c r="K2963" i="5"/>
  <c r="J2962" i="5"/>
  <c r="K2962" i="5"/>
  <c r="J2961" i="5"/>
  <c r="K2961" i="5"/>
  <c r="J2960" i="5"/>
  <c r="K2960" i="5"/>
  <c r="J2959" i="5"/>
  <c r="K2959" i="5"/>
  <c r="J2958" i="5"/>
  <c r="K2958" i="5"/>
  <c r="J2957" i="5"/>
  <c r="K2957" i="5"/>
  <c r="J2956" i="5"/>
  <c r="K2956" i="5"/>
  <c r="J2955" i="5"/>
  <c r="K2955" i="5"/>
  <c r="J2954" i="5"/>
  <c r="K2954" i="5"/>
  <c r="J2953" i="5"/>
  <c r="K2953" i="5"/>
  <c r="J2952" i="5"/>
  <c r="K2952" i="5"/>
  <c r="J2951" i="5"/>
  <c r="K2951" i="5"/>
  <c r="J2950" i="5"/>
  <c r="K2950" i="5"/>
  <c r="J2949" i="5"/>
  <c r="K2949" i="5"/>
  <c r="J2948" i="5"/>
  <c r="K2948" i="5"/>
  <c r="J2947" i="5"/>
  <c r="K2947" i="5"/>
  <c r="J2946" i="5"/>
  <c r="K2946" i="5"/>
  <c r="J2945" i="5"/>
  <c r="K2945" i="5"/>
  <c r="J2944" i="5"/>
  <c r="K2944" i="5"/>
  <c r="J2943" i="5"/>
  <c r="K2943" i="5"/>
  <c r="J2942" i="5"/>
  <c r="K2942" i="5"/>
  <c r="J2941" i="5"/>
  <c r="K2941" i="5"/>
  <c r="J2940" i="5"/>
  <c r="K2940" i="5"/>
  <c r="J2939" i="5"/>
  <c r="K2939" i="5"/>
  <c r="J2938" i="5"/>
  <c r="K2938" i="5"/>
  <c r="J2937" i="5"/>
  <c r="K2937" i="5"/>
  <c r="J2936" i="5"/>
  <c r="K2936" i="5"/>
  <c r="J2935" i="5"/>
  <c r="K2935" i="5"/>
  <c r="J2934" i="5"/>
  <c r="K2934" i="5"/>
  <c r="J2933" i="5"/>
  <c r="K2933" i="5"/>
  <c r="J2932" i="5"/>
  <c r="K2932" i="5"/>
  <c r="J2931" i="5"/>
  <c r="K2931" i="5"/>
  <c r="J2930" i="5"/>
  <c r="K2930" i="5"/>
  <c r="J2929" i="5"/>
  <c r="K2929" i="5"/>
  <c r="J2928" i="5"/>
  <c r="K2928" i="5"/>
  <c r="J2927" i="5"/>
  <c r="K2927" i="5"/>
  <c r="J2926" i="5"/>
  <c r="K2926" i="5"/>
  <c r="J2925" i="5"/>
  <c r="K2925" i="5"/>
  <c r="J2924" i="5"/>
  <c r="K2924" i="5"/>
  <c r="J2923" i="5"/>
  <c r="K2923" i="5"/>
  <c r="J2922" i="5"/>
  <c r="K2922" i="5"/>
  <c r="J2921" i="5"/>
  <c r="K2921" i="5"/>
  <c r="J2920" i="5"/>
  <c r="K2920" i="5"/>
  <c r="J2919" i="5"/>
  <c r="K2919" i="5"/>
  <c r="J2918" i="5"/>
  <c r="K2918" i="5"/>
  <c r="J2917" i="5"/>
  <c r="K2917" i="5"/>
  <c r="J2916" i="5"/>
  <c r="K2916" i="5"/>
  <c r="J2915" i="5"/>
  <c r="K2915" i="5"/>
  <c r="J2914" i="5"/>
  <c r="K2914" i="5"/>
  <c r="J2913" i="5"/>
  <c r="K2913" i="5"/>
  <c r="J2912" i="5"/>
  <c r="K2912" i="5"/>
  <c r="J2911" i="5"/>
  <c r="K2911" i="5"/>
  <c r="J2910" i="5"/>
  <c r="K2910" i="5"/>
  <c r="J2909" i="5"/>
  <c r="K2909" i="5"/>
  <c r="J2908" i="5"/>
  <c r="K2908" i="5"/>
  <c r="J2907" i="5"/>
  <c r="K2907" i="5"/>
  <c r="J2906" i="5"/>
  <c r="K2906" i="5"/>
  <c r="J2905" i="5"/>
  <c r="K2905" i="5"/>
  <c r="J2904" i="5"/>
  <c r="K2904" i="5"/>
  <c r="J2903" i="5"/>
  <c r="K2903" i="5"/>
  <c r="J2902" i="5"/>
  <c r="K2902" i="5"/>
  <c r="J2901" i="5"/>
  <c r="K2901" i="5"/>
  <c r="J2900" i="5"/>
  <c r="K2900" i="5"/>
  <c r="J2899" i="5"/>
  <c r="K2899" i="5"/>
  <c r="J2898" i="5"/>
  <c r="K2898" i="5"/>
  <c r="J2897" i="5"/>
  <c r="K2897" i="5"/>
  <c r="J2896" i="5"/>
  <c r="K2896" i="5"/>
  <c r="J2895" i="5"/>
  <c r="K2895" i="5"/>
  <c r="J2894" i="5"/>
  <c r="K2894" i="5"/>
  <c r="J2893" i="5"/>
  <c r="K2893" i="5"/>
  <c r="J2892" i="5"/>
  <c r="K2892" i="5"/>
  <c r="J2891" i="5"/>
  <c r="K2891" i="5"/>
  <c r="J2890" i="5"/>
  <c r="K2890" i="5"/>
  <c r="J2889" i="5"/>
  <c r="K2889" i="5"/>
  <c r="J2888" i="5"/>
  <c r="K2888" i="5"/>
  <c r="J2887" i="5"/>
  <c r="K2887" i="5"/>
  <c r="J2886" i="5"/>
  <c r="K2886" i="5"/>
  <c r="J2885" i="5"/>
  <c r="K2885" i="5"/>
  <c r="J2884" i="5"/>
  <c r="K2884" i="5"/>
  <c r="J2883" i="5"/>
  <c r="K2883" i="5"/>
  <c r="J2882" i="5"/>
  <c r="K2882" i="5"/>
  <c r="J2881" i="5"/>
  <c r="K2881" i="5"/>
  <c r="J2880" i="5"/>
  <c r="K2880" i="5"/>
  <c r="J2879" i="5"/>
  <c r="K2879" i="5"/>
  <c r="J2878" i="5"/>
  <c r="K2878" i="5"/>
  <c r="J2877" i="5"/>
  <c r="K2877" i="5"/>
  <c r="J2876" i="5"/>
  <c r="K2876" i="5"/>
  <c r="J2875" i="5"/>
  <c r="K2875" i="5"/>
  <c r="J2874" i="5"/>
  <c r="K2874" i="5"/>
  <c r="J2873" i="5"/>
  <c r="K2873" i="5"/>
  <c r="J2872" i="5"/>
  <c r="K2872" i="5"/>
  <c r="J2871" i="5"/>
  <c r="K2871" i="5"/>
  <c r="J2870" i="5"/>
  <c r="K2870" i="5"/>
  <c r="J2869" i="5"/>
  <c r="K2869" i="5"/>
  <c r="J2868" i="5"/>
  <c r="K2868" i="5"/>
  <c r="J2867" i="5"/>
  <c r="K2867" i="5"/>
  <c r="J2866" i="5"/>
  <c r="K2866" i="5"/>
  <c r="J2865" i="5"/>
  <c r="K2865" i="5"/>
  <c r="J2864" i="5"/>
  <c r="K2864" i="5"/>
  <c r="J2863" i="5"/>
  <c r="K2863" i="5"/>
  <c r="J2862" i="5"/>
  <c r="K2862" i="5"/>
  <c r="J2861" i="5"/>
  <c r="K2861" i="5"/>
  <c r="J2860" i="5"/>
  <c r="K2860" i="5"/>
  <c r="J2859" i="5"/>
  <c r="K2859" i="5"/>
  <c r="J2858" i="5"/>
  <c r="K2858" i="5"/>
  <c r="J2857" i="5"/>
  <c r="K2857" i="5"/>
  <c r="J2856" i="5"/>
  <c r="K2856" i="5"/>
  <c r="J2855" i="5"/>
  <c r="K2855" i="5"/>
  <c r="J2854" i="5"/>
  <c r="K2854" i="5"/>
  <c r="J2853" i="5"/>
  <c r="K2853" i="5"/>
  <c r="J2852" i="5"/>
  <c r="K2852" i="5"/>
  <c r="J2851" i="5"/>
  <c r="K2851" i="5"/>
  <c r="J2850" i="5"/>
  <c r="K2850" i="5"/>
  <c r="J2849" i="5"/>
  <c r="K2849" i="5"/>
  <c r="J2848" i="5"/>
  <c r="K2848" i="5"/>
  <c r="J2847" i="5"/>
  <c r="K2847" i="5"/>
  <c r="J2846" i="5"/>
  <c r="K2846" i="5"/>
  <c r="J2845" i="5"/>
  <c r="K2845" i="5"/>
  <c r="J2844" i="5"/>
  <c r="K2844" i="5"/>
  <c r="J2843" i="5"/>
  <c r="K2843" i="5"/>
  <c r="J2842" i="5"/>
  <c r="K2842" i="5"/>
  <c r="J2841" i="5"/>
  <c r="K2841" i="5"/>
  <c r="J2840" i="5"/>
  <c r="K2840" i="5"/>
  <c r="J2839" i="5"/>
  <c r="K2839" i="5"/>
  <c r="J2838" i="5"/>
  <c r="K2838" i="5"/>
  <c r="J2837" i="5"/>
  <c r="K2837" i="5"/>
  <c r="J2836" i="5"/>
  <c r="K2836" i="5"/>
  <c r="J2835" i="5"/>
  <c r="K2835" i="5"/>
  <c r="J2834" i="5"/>
  <c r="K2834" i="5"/>
  <c r="J2833" i="5"/>
  <c r="K2833" i="5"/>
  <c r="J2832" i="5"/>
  <c r="K2832" i="5"/>
  <c r="J2831" i="5"/>
  <c r="K2831" i="5"/>
  <c r="J2830" i="5"/>
  <c r="K2830" i="5"/>
  <c r="J2829" i="5"/>
  <c r="K2829" i="5"/>
  <c r="J2828" i="5"/>
  <c r="K2828" i="5"/>
  <c r="J2827" i="5"/>
  <c r="K2827" i="5"/>
  <c r="J2826" i="5"/>
  <c r="K2826" i="5"/>
  <c r="J2825" i="5"/>
  <c r="K2825" i="5"/>
  <c r="J2824" i="5"/>
  <c r="K2824" i="5"/>
  <c r="J2823" i="5"/>
  <c r="K2823" i="5"/>
  <c r="J2822" i="5"/>
  <c r="K2822" i="5"/>
  <c r="J2821" i="5"/>
  <c r="K2821" i="5"/>
  <c r="J2820" i="5"/>
  <c r="K2820" i="5"/>
  <c r="J2819" i="5"/>
  <c r="K2819" i="5"/>
  <c r="J2818" i="5"/>
  <c r="K2818" i="5"/>
  <c r="J2817" i="5"/>
  <c r="K2817" i="5"/>
  <c r="J2816" i="5"/>
  <c r="K2816" i="5"/>
  <c r="J2815" i="5"/>
  <c r="K2815" i="5"/>
  <c r="J2814" i="5"/>
  <c r="K2814" i="5"/>
  <c r="J2813" i="5"/>
  <c r="K2813" i="5"/>
  <c r="J2812" i="5"/>
  <c r="K2812" i="5"/>
  <c r="J2811" i="5"/>
  <c r="K2811" i="5"/>
  <c r="J2810" i="5"/>
  <c r="K2810" i="5"/>
  <c r="J2809" i="5"/>
  <c r="K2809" i="5"/>
  <c r="J2808" i="5"/>
  <c r="K2808" i="5"/>
  <c r="J2807" i="5"/>
  <c r="K2807" i="5"/>
  <c r="J2806" i="5"/>
  <c r="K2806" i="5"/>
  <c r="J2805" i="5"/>
  <c r="K2805" i="5"/>
  <c r="J2804" i="5"/>
  <c r="K2804" i="5"/>
  <c r="J2803" i="5"/>
  <c r="K2803" i="5"/>
  <c r="J2802" i="5"/>
  <c r="K2802" i="5"/>
  <c r="J2801" i="5"/>
  <c r="K2801" i="5"/>
  <c r="J2800" i="5"/>
  <c r="K2800" i="5"/>
  <c r="J2799" i="5"/>
  <c r="K2799" i="5"/>
  <c r="J2798" i="5"/>
  <c r="K2798" i="5"/>
  <c r="J2797" i="5"/>
  <c r="K2797" i="5"/>
  <c r="J2796" i="5"/>
  <c r="K2796" i="5"/>
  <c r="J2795" i="5"/>
  <c r="K2795" i="5"/>
  <c r="J2794" i="5"/>
  <c r="K2794" i="5"/>
  <c r="J2793" i="5"/>
  <c r="K2793" i="5"/>
  <c r="J2792" i="5"/>
  <c r="K2792" i="5"/>
  <c r="J2791" i="5"/>
  <c r="K2791" i="5"/>
  <c r="J2790" i="5"/>
  <c r="K2790" i="5"/>
  <c r="J2789" i="5"/>
  <c r="K2789" i="5"/>
  <c r="J2788" i="5"/>
  <c r="K2788" i="5"/>
  <c r="J2787" i="5"/>
  <c r="K2787" i="5"/>
  <c r="J2786" i="5"/>
  <c r="K2786" i="5"/>
  <c r="J2785" i="5"/>
  <c r="K2785" i="5"/>
  <c r="J2784" i="5"/>
  <c r="K2784" i="5"/>
  <c r="J2783" i="5"/>
  <c r="K2783" i="5"/>
  <c r="J2782" i="5"/>
  <c r="K2782" i="5"/>
  <c r="J2781" i="5"/>
  <c r="K2781" i="5"/>
  <c r="J2780" i="5"/>
  <c r="K2780" i="5"/>
  <c r="J2779" i="5"/>
  <c r="K2779" i="5"/>
  <c r="J2778" i="5"/>
  <c r="K2778" i="5"/>
  <c r="J2777" i="5"/>
  <c r="K2777" i="5"/>
  <c r="J2776" i="5"/>
  <c r="K2776" i="5"/>
  <c r="J2775" i="5"/>
  <c r="K2775" i="5"/>
  <c r="J2774" i="5"/>
  <c r="K2774" i="5"/>
  <c r="J2773" i="5"/>
  <c r="K2773" i="5"/>
  <c r="J2772" i="5"/>
  <c r="K2772" i="5"/>
  <c r="J2771" i="5"/>
  <c r="K2771" i="5"/>
  <c r="J2770" i="5"/>
  <c r="K2770" i="5"/>
  <c r="J2769" i="5"/>
  <c r="K2769" i="5"/>
  <c r="J2768" i="5"/>
  <c r="K2768" i="5"/>
  <c r="J2767" i="5"/>
  <c r="K2767" i="5"/>
  <c r="J2766" i="5"/>
  <c r="K2766" i="5"/>
  <c r="J2765" i="5"/>
  <c r="K2765" i="5"/>
  <c r="J2764" i="5"/>
  <c r="K2764" i="5"/>
  <c r="J2763" i="5"/>
  <c r="K2763" i="5"/>
  <c r="J2762" i="5"/>
  <c r="K2762" i="5"/>
  <c r="J2761" i="5"/>
  <c r="K2761" i="5"/>
  <c r="J2760" i="5"/>
  <c r="K2760" i="5"/>
  <c r="J2759" i="5"/>
  <c r="K2759" i="5"/>
  <c r="J2758" i="5"/>
  <c r="K2758" i="5"/>
  <c r="J2757" i="5"/>
  <c r="K2757" i="5"/>
  <c r="J2756" i="5"/>
  <c r="K2756" i="5"/>
  <c r="J2755" i="5"/>
  <c r="K2755" i="5"/>
  <c r="J2754" i="5"/>
  <c r="K2754" i="5"/>
  <c r="J2753" i="5"/>
  <c r="K2753" i="5"/>
  <c r="J2752" i="5"/>
  <c r="K2752" i="5"/>
  <c r="J2751" i="5"/>
  <c r="K2751" i="5"/>
  <c r="J2750" i="5"/>
  <c r="K2750" i="5"/>
  <c r="J2749" i="5"/>
  <c r="K2749" i="5"/>
  <c r="J2748" i="5"/>
  <c r="K2748" i="5"/>
  <c r="J2747" i="5"/>
  <c r="K2747" i="5"/>
  <c r="J2746" i="5"/>
  <c r="K2746" i="5"/>
  <c r="J2745" i="5"/>
  <c r="K2745" i="5"/>
  <c r="J2744" i="5"/>
  <c r="K2744" i="5"/>
  <c r="J2743" i="5"/>
  <c r="K2743" i="5"/>
  <c r="J2742" i="5"/>
  <c r="K2742" i="5"/>
  <c r="J2741" i="5"/>
  <c r="K2741" i="5"/>
  <c r="J2740" i="5"/>
  <c r="K2740" i="5"/>
  <c r="J2739" i="5"/>
  <c r="K2739" i="5"/>
  <c r="J2738" i="5"/>
  <c r="K2738" i="5"/>
  <c r="J2737" i="5" l="1"/>
  <c r="K2737" i="5"/>
  <c r="J2736" i="5"/>
  <c r="K2736" i="5"/>
  <c r="J2735" i="5"/>
  <c r="K2735" i="5"/>
  <c r="J2734" i="5"/>
  <c r="K2734" i="5"/>
  <c r="J2733" i="5"/>
  <c r="K2733" i="5"/>
  <c r="J2732" i="5"/>
  <c r="K2732" i="5"/>
  <c r="J2731" i="5"/>
  <c r="K2731" i="5"/>
  <c r="J2730" i="5"/>
  <c r="K2730" i="5"/>
  <c r="J2729" i="5"/>
  <c r="K2729" i="5"/>
  <c r="J2728" i="5"/>
  <c r="K2728" i="5"/>
  <c r="J2727" i="5"/>
  <c r="K2727" i="5"/>
  <c r="J2726" i="5"/>
  <c r="K2726" i="5"/>
  <c r="J2725" i="5"/>
  <c r="K2725" i="5"/>
  <c r="J2724" i="5"/>
  <c r="K2724" i="5"/>
  <c r="J2723" i="5"/>
  <c r="K2723" i="5"/>
  <c r="J2722" i="5"/>
  <c r="K2722" i="5"/>
  <c r="J2721" i="5"/>
  <c r="K2721" i="5"/>
  <c r="J2720" i="5"/>
  <c r="K2720" i="5"/>
  <c r="J2719" i="5"/>
  <c r="K2719" i="5"/>
  <c r="J2718" i="5"/>
  <c r="K2718" i="5"/>
  <c r="J2717" i="5"/>
  <c r="K2717" i="5"/>
  <c r="J2716" i="5"/>
  <c r="K2716" i="5"/>
  <c r="J2715" i="5"/>
  <c r="K2715" i="5"/>
  <c r="J2714" i="5"/>
  <c r="K2714" i="5"/>
  <c r="J2713" i="5"/>
  <c r="K2713" i="5"/>
  <c r="J2712" i="5"/>
  <c r="K2712" i="5"/>
  <c r="J2711" i="5"/>
  <c r="K2711" i="5"/>
  <c r="J2710" i="5"/>
  <c r="K2710" i="5"/>
  <c r="J2709" i="5"/>
  <c r="K2709" i="5"/>
  <c r="J2708" i="5"/>
  <c r="K2708" i="5"/>
  <c r="J2707" i="5"/>
  <c r="K2707" i="5"/>
  <c r="J2706" i="5"/>
  <c r="K2706" i="5"/>
  <c r="J2705" i="5"/>
  <c r="K2705" i="5"/>
  <c r="J2704" i="5"/>
  <c r="K2704" i="5"/>
  <c r="J2703" i="5"/>
  <c r="K2703" i="5"/>
  <c r="J2702" i="5"/>
  <c r="K2702" i="5"/>
  <c r="J2701" i="5"/>
  <c r="K2701" i="5"/>
  <c r="J2700" i="5"/>
  <c r="K2700" i="5"/>
  <c r="J2699" i="5"/>
  <c r="K2699" i="5"/>
  <c r="J2698" i="5"/>
  <c r="K2698" i="5"/>
  <c r="J2697" i="5"/>
  <c r="K2697" i="5"/>
  <c r="J2696" i="5"/>
  <c r="K2696" i="5"/>
  <c r="J2695" i="5"/>
  <c r="K2695" i="5"/>
  <c r="J2694" i="5"/>
  <c r="K2694" i="5"/>
  <c r="J2693" i="5"/>
  <c r="K2693" i="5"/>
  <c r="J2692" i="5"/>
  <c r="K2692" i="5"/>
  <c r="J2691" i="5"/>
  <c r="K2691" i="5"/>
  <c r="J2690" i="5"/>
  <c r="K2690" i="5"/>
  <c r="J2689" i="5"/>
  <c r="K2689" i="5"/>
  <c r="J2688" i="5"/>
  <c r="K2688" i="5"/>
  <c r="J2687" i="5"/>
  <c r="K2687" i="5"/>
  <c r="J2686" i="5"/>
  <c r="K2686" i="5"/>
  <c r="J2685" i="5"/>
  <c r="K2685" i="5"/>
  <c r="J2684" i="5"/>
  <c r="K2684" i="5"/>
  <c r="J2683" i="5"/>
  <c r="K2683" i="5"/>
  <c r="J2682" i="5"/>
  <c r="K2682" i="5"/>
  <c r="J2681" i="5"/>
  <c r="K2681" i="5"/>
  <c r="J2680" i="5"/>
  <c r="K2680" i="5"/>
  <c r="J2679" i="5"/>
  <c r="K2679" i="5"/>
  <c r="J2678" i="5"/>
  <c r="K2678" i="5"/>
  <c r="J2677" i="5"/>
  <c r="K2677" i="5"/>
  <c r="J2676" i="5"/>
  <c r="K2676" i="5"/>
  <c r="J2675" i="5"/>
  <c r="K2675" i="5"/>
  <c r="J2674" i="5"/>
  <c r="K2674" i="5"/>
  <c r="J2673" i="5"/>
  <c r="K2673" i="5"/>
  <c r="J2672" i="5"/>
  <c r="K2672" i="5"/>
  <c r="J2671" i="5"/>
  <c r="K2671" i="5"/>
  <c r="J2670" i="5"/>
  <c r="K2670" i="5"/>
  <c r="J2669" i="5"/>
  <c r="K2669" i="5"/>
  <c r="J2668" i="5"/>
  <c r="K2668" i="5"/>
  <c r="J2667" i="5"/>
  <c r="K2667" i="5"/>
  <c r="J2666" i="5"/>
  <c r="K2666" i="5"/>
  <c r="J2665" i="5"/>
  <c r="K2665" i="5"/>
  <c r="J2664" i="5"/>
  <c r="K2664" i="5"/>
  <c r="J2663" i="5"/>
  <c r="K2663" i="5"/>
  <c r="J2662" i="5"/>
  <c r="K2662" i="5"/>
  <c r="J2661" i="5"/>
  <c r="K2661" i="5"/>
  <c r="J2660" i="5"/>
  <c r="K2660" i="5"/>
  <c r="J2659" i="5"/>
  <c r="K2659" i="5"/>
  <c r="J2658" i="5"/>
  <c r="K2658" i="5"/>
  <c r="J2657" i="5"/>
  <c r="K2657" i="5"/>
  <c r="J2656" i="5"/>
  <c r="K2656" i="5"/>
  <c r="J2655" i="5"/>
  <c r="K2655" i="5"/>
  <c r="J2654" i="5"/>
  <c r="K2654" i="5"/>
  <c r="J2653" i="5"/>
  <c r="K2653" i="5"/>
  <c r="J2652" i="5"/>
  <c r="K2652" i="5"/>
  <c r="J2651" i="5"/>
  <c r="K2651" i="5"/>
  <c r="J2650" i="5"/>
  <c r="K2650" i="5"/>
  <c r="J2649" i="5"/>
  <c r="K2649" i="5"/>
  <c r="J2648" i="5"/>
  <c r="K2648" i="5"/>
  <c r="J2647" i="5"/>
  <c r="K2647" i="5"/>
  <c r="J2646" i="5"/>
  <c r="K2646" i="5"/>
  <c r="J2645" i="5"/>
  <c r="K2645" i="5"/>
  <c r="J2644" i="5"/>
  <c r="K2644" i="5"/>
  <c r="J2643" i="5"/>
  <c r="K2643" i="5"/>
  <c r="J2642" i="5"/>
  <c r="K2642" i="5"/>
  <c r="J2641" i="5"/>
  <c r="K2641" i="5"/>
  <c r="J2640" i="5"/>
  <c r="K2640" i="5"/>
  <c r="J2639" i="5"/>
  <c r="K2639" i="5"/>
  <c r="J2638" i="5"/>
  <c r="K2638" i="5"/>
  <c r="J2637" i="5"/>
  <c r="K2637" i="5"/>
  <c r="J2636" i="5"/>
  <c r="K2636" i="5"/>
  <c r="J2635" i="5"/>
  <c r="K2635" i="5"/>
  <c r="J2634" i="5"/>
  <c r="K2634" i="5"/>
  <c r="J2633" i="5"/>
  <c r="K2633" i="5"/>
  <c r="J2632" i="5"/>
  <c r="K2632" i="5"/>
  <c r="J2631" i="5"/>
  <c r="K2631" i="5"/>
  <c r="J2630" i="5"/>
  <c r="K2630" i="5"/>
  <c r="J2629" i="5"/>
  <c r="K2629" i="5"/>
  <c r="J2628" i="5"/>
  <c r="K2628" i="5"/>
  <c r="J2627" i="5"/>
  <c r="K2627" i="5"/>
  <c r="J2626" i="5"/>
  <c r="K2626" i="5"/>
  <c r="J2625" i="5"/>
  <c r="K2625" i="5"/>
  <c r="J2624" i="5"/>
  <c r="K2624" i="5"/>
  <c r="J2623" i="5"/>
  <c r="K2623" i="5"/>
  <c r="J2622" i="5"/>
  <c r="K2622" i="5"/>
  <c r="J2621" i="5"/>
  <c r="K2621" i="5"/>
  <c r="J2620" i="5"/>
  <c r="K2620" i="5"/>
  <c r="J2619" i="5"/>
  <c r="K2619" i="5"/>
  <c r="J2618" i="5"/>
  <c r="K2618" i="5"/>
  <c r="J2617" i="5"/>
  <c r="K2617" i="5"/>
  <c r="J2616" i="5"/>
  <c r="K2616" i="5"/>
  <c r="J2615" i="5"/>
  <c r="K2615" i="5"/>
  <c r="J2614" i="5"/>
  <c r="K2614" i="5"/>
  <c r="J2613" i="5"/>
  <c r="K2613" i="5"/>
  <c r="J2612" i="5"/>
  <c r="K2612" i="5"/>
  <c r="J2611" i="5"/>
  <c r="K2611" i="5"/>
  <c r="J2610" i="5"/>
  <c r="K2610" i="5"/>
  <c r="J2609" i="5"/>
  <c r="K2609" i="5"/>
  <c r="J2608" i="5"/>
  <c r="K2608" i="5"/>
  <c r="J2607" i="5"/>
  <c r="K2607" i="5"/>
  <c r="J2606" i="5"/>
  <c r="K2606" i="5"/>
  <c r="J2605" i="5"/>
  <c r="K2605" i="5"/>
  <c r="J2604" i="5"/>
  <c r="K2604" i="5"/>
  <c r="J2603" i="5"/>
  <c r="K2603" i="5"/>
  <c r="J2602" i="5"/>
  <c r="K2602" i="5"/>
  <c r="J2601" i="5"/>
  <c r="K2601" i="5"/>
  <c r="J2600" i="5"/>
  <c r="K2600" i="5"/>
  <c r="J2599" i="5"/>
  <c r="K2599" i="5"/>
  <c r="J2598" i="5"/>
  <c r="K2598" i="5"/>
  <c r="J2597" i="5"/>
  <c r="K2597" i="5"/>
  <c r="J2596" i="5"/>
  <c r="K2596" i="5"/>
  <c r="J2595" i="5"/>
  <c r="K2595" i="5"/>
  <c r="J2594" i="5"/>
  <c r="K2594" i="5"/>
  <c r="J2593" i="5"/>
  <c r="K2593" i="5"/>
  <c r="J2592" i="5"/>
  <c r="K2592" i="5"/>
  <c r="J2591" i="5"/>
  <c r="K2591" i="5"/>
  <c r="J2590" i="5"/>
  <c r="K2590" i="5"/>
  <c r="J2589" i="5"/>
  <c r="K2589" i="5"/>
  <c r="J2588" i="5"/>
  <c r="K2588" i="5"/>
  <c r="J2587" i="5"/>
  <c r="K2587" i="5"/>
  <c r="J2586" i="5"/>
  <c r="K2586" i="5"/>
  <c r="J2585" i="5"/>
  <c r="K2585" i="5"/>
  <c r="J2584" i="5"/>
  <c r="K2584" i="5"/>
  <c r="J2583" i="5"/>
  <c r="K2583" i="5"/>
  <c r="J2582" i="5"/>
  <c r="K2582" i="5"/>
  <c r="J2581" i="5"/>
  <c r="K2581" i="5"/>
  <c r="J2580" i="5"/>
  <c r="K2580" i="5"/>
  <c r="J2579" i="5"/>
  <c r="K2579" i="5"/>
  <c r="J2578" i="5"/>
  <c r="K2578" i="5"/>
  <c r="J2577" i="5"/>
  <c r="K2577" i="5"/>
  <c r="J2576" i="5"/>
  <c r="K2576" i="5"/>
  <c r="J2575" i="5"/>
  <c r="K2575" i="5"/>
  <c r="J2574" i="5"/>
  <c r="K2574" i="5"/>
  <c r="J2573" i="5"/>
  <c r="K2573" i="5"/>
  <c r="J2572" i="5"/>
  <c r="K2572" i="5"/>
  <c r="J2571" i="5"/>
  <c r="K2571" i="5"/>
  <c r="J2570" i="5"/>
  <c r="K2570" i="5"/>
  <c r="J2569" i="5"/>
  <c r="K2569" i="5"/>
  <c r="J2568" i="5"/>
  <c r="K2568" i="5"/>
  <c r="J2567" i="5"/>
  <c r="K2567" i="5"/>
  <c r="J2566" i="5"/>
  <c r="K2566" i="5"/>
  <c r="J2565" i="5"/>
  <c r="K2565" i="5"/>
  <c r="J2564" i="5" l="1"/>
  <c r="K2564" i="5"/>
  <c r="J2563" i="5"/>
  <c r="K2563" i="5"/>
  <c r="J2562" i="5"/>
  <c r="K2562" i="5"/>
  <c r="J2561" i="5"/>
  <c r="K2561" i="5"/>
  <c r="J2560" i="5"/>
  <c r="K2560" i="5"/>
  <c r="J2559" i="5"/>
  <c r="K2559" i="5"/>
  <c r="J2558" i="5"/>
  <c r="K2558" i="5"/>
  <c r="J2557" i="5"/>
  <c r="K2557" i="5"/>
  <c r="J2556" i="5"/>
  <c r="K2556" i="5"/>
  <c r="J2555" i="5"/>
  <c r="K2555" i="5"/>
  <c r="J2554" i="5"/>
  <c r="K2554" i="5"/>
  <c r="J2553" i="5"/>
  <c r="K2553" i="5"/>
  <c r="J2552" i="5"/>
  <c r="K2552" i="5"/>
  <c r="J2551" i="5"/>
  <c r="K2551" i="5"/>
  <c r="J2550" i="5"/>
  <c r="K2550" i="5"/>
  <c r="J2549" i="5"/>
  <c r="K2549" i="5"/>
  <c r="J2548" i="5"/>
  <c r="K2548" i="5"/>
  <c r="J2547" i="5"/>
  <c r="K2547" i="5"/>
  <c r="J2546" i="5"/>
  <c r="K2546" i="5"/>
  <c r="J2545" i="5"/>
  <c r="K2545" i="5"/>
  <c r="J2544" i="5"/>
  <c r="K2544" i="5"/>
  <c r="J2543" i="5"/>
  <c r="K2543" i="5"/>
  <c r="J2542" i="5"/>
  <c r="K2542" i="5"/>
  <c r="J2541" i="5"/>
  <c r="K2541" i="5"/>
  <c r="J2540" i="5"/>
  <c r="K2540" i="5"/>
  <c r="J2539" i="5"/>
  <c r="K2539" i="5"/>
  <c r="J2538" i="5"/>
  <c r="K2538" i="5"/>
  <c r="J2537" i="5"/>
  <c r="K2537" i="5"/>
  <c r="J2536" i="5"/>
  <c r="K2536" i="5"/>
  <c r="J2535" i="5"/>
  <c r="K2535" i="5"/>
  <c r="J2534" i="5"/>
  <c r="K2534" i="5"/>
  <c r="J2533" i="5"/>
  <c r="K2533" i="5"/>
  <c r="J2532" i="5"/>
  <c r="K2532" i="5"/>
  <c r="J2531" i="5"/>
  <c r="K2531" i="5"/>
  <c r="J2530" i="5"/>
  <c r="K2530" i="5"/>
  <c r="J2529" i="5"/>
  <c r="K2529" i="5"/>
  <c r="J2528" i="5"/>
  <c r="K2528" i="5"/>
  <c r="J2527" i="5"/>
  <c r="K2527" i="5"/>
  <c r="J2526" i="5"/>
  <c r="K2526" i="5"/>
  <c r="J2525" i="5"/>
  <c r="K2525" i="5"/>
  <c r="J2524" i="5"/>
  <c r="K2524" i="5"/>
  <c r="J2523" i="5"/>
  <c r="K2523" i="5"/>
  <c r="J2522" i="5"/>
  <c r="K2522" i="5"/>
  <c r="J2521" i="5"/>
  <c r="K2521" i="5"/>
  <c r="J2520" i="5"/>
  <c r="K2520" i="5"/>
  <c r="J2519" i="5"/>
  <c r="K2519" i="5"/>
  <c r="J2518" i="5"/>
  <c r="K2518" i="5"/>
  <c r="J2517" i="5"/>
  <c r="K2517" i="5"/>
  <c r="J2516" i="5"/>
  <c r="K2516" i="5"/>
  <c r="J2515" i="5"/>
  <c r="K2515" i="5"/>
  <c r="J2514" i="5"/>
  <c r="K2514" i="5"/>
  <c r="J2513" i="5"/>
  <c r="K2513" i="5"/>
  <c r="J2512" i="5"/>
  <c r="K2512" i="5"/>
  <c r="J2511" i="5"/>
  <c r="K2511" i="5"/>
  <c r="J2510" i="5"/>
  <c r="K2510" i="5"/>
  <c r="J2509" i="5" l="1"/>
  <c r="K2509" i="5"/>
  <c r="J2508" i="5"/>
  <c r="K2508" i="5"/>
  <c r="J2507" i="5"/>
  <c r="K2507" i="5"/>
  <c r="J2506" i="5"/>
  <c r="K2506" i="5"/>
  <c r="J2505" i="5"/>
  <c r="K2505" i="5"/>
  <c r="J2504" i="5"/>
  <c r="K2504" i="5"/>
  <c r="J2503" i="5"/>
  <c r="K2503" i="5"/>
  <c r="J2502" i="5"/>
  <c r="K2502" i="5"/>
  <c r="J2501" i="5"/>
  <c r="K2501" i="5"/>
  <c r="J2500" i="5"/>
  <c r="K2500" i="5"/>
  <c r="J2499" i="5"/>
  <c r="K2499" i="5"/>
  <c r="J2498" i="5"/>
  <c r="K2498" i="5"/>
  <c r="J2497" i="5"/>
  <c r="K2497" i="5"/>
  <c r="J2496" i="5"/>
  <c r="K2496" i="5"/>
  <c r="J2495" i="5"/>
  <c r="K2495" i="5"/>
  <c r="J2494" i="5"/>
  <c r="K2494" i="5"/>
  <c r="J2493" i="5"/>
  <c r="K2493" i="5"/>
  <c r="J2492" i="5"/>
  <c r="K2492" i="5"/>
  <c r="J2491" i="5"/>
  <c r="K2491" i="5"/>
  <c r="J2490" i="5"/>
  <c r="K2490" i="5"/>
  <c r="J2489" i="5"/>
  <c r="K2489" i="5"/>
  <c r="J2488" i="5"/>
  <c r="K2488" i="5"/>
  <c r="J2487" i="5"/>
  <c r="K2487" i="5"/>
  <c r="J2486" i="5"/>
  <c r="K2486" i="5"/>
  <c r="J2485" i="5"/>
  <c r="K2485" i="5"/>
  <c r="J2484" i="5"/>
  <c r="K2484" i="5"/>
  <c r="J2483" i="5"/>
  <c r="K2483" i="5"/>
  <c r="J2482" i="5"/>
  <c r="K2482" i="5"/>
  <c r="J2481" i="5"/>
  <c r="K2481" i="5"/>
  <c r="J2480" i="5"/>
  <c r="K2480" i="5"/>
  <c r="J2479" i="5"/>
  <c r="K2479" i="5"/>
  <c r="J2478" i="5"/>
  <c r="K2478" i="5"/>
  <c r="J2477" i="5"/>
  <c r="K2477" i="5"/>
  <c r="J2476" i="5"/>
  <c r="K2476" i="5"/>
  <c r="J2475" i="5"/>
  <c r="K2475" i="5"/>
  <c r="J2474" i="5"/>
  <c r="K2474" i="5"/>
  <c r="J2473" i="5"/>
  <c r="K2473" i="5"/>
  <c r="J2472" i="5"/>
  <c r="K2472" i="5"/>
  <c r="J2471" i="5"/>
  <c r="K2471" i="5"/>
  <c r="J2470" i="5"/>
  <c r="K2470" i="5"/>
  <c r="J2469" i="5"/>
  <c r="K2469" i="5"/>
  <c r="J2468" i="5"/>
  <c r="K2468" i="5"/>
  <c r="J2467" i="5"/>
  <c r="K2467" i="5"/>
  <c r="J2466" i="5"/>
  <c r="K2466" i="5"/>
  <c r="J2465" i="5"/>
  <c r="K2465" i="5"/>
  <c r="J2464" i="5"/>
  <c r="K2464" i="5"/>
  <c r="J2463" i="5"/>
  <c r="K2463" i="5"/>
  <c r="J2462" i="5"/>
  <c r="K2462" i="5"/>
  <c r="J2461" i="5"/>
  <c r="K2461" i="5"/>
  <c r="J2460" i="5"/>
  <c r="K2460" i="5"/>
  <c r="J2459" i="5"/>
  <c r="K2459" i="5"/>
  <c r="J2458" i="5"/>
  <c r="K2458" i="5"/>
  <c r="J2457" i="5"/>
  <c r="K2457" i="5"/>
  <c r="J2456" i="5"/>
  <c r="K2456" i="5"/>
  <c r="J2455" i="5"/>
  <c r="K2455" i="5"/>
  <c r="J2454" i="5"/>
  <c r="K2454" i="5"/>
  <c r="J2453" i="5"/>
  <c r="K2453" i="5"/>
  <c r="J2452" i="5"/>
  <c r="K2452" i="5"/>
  <c r="J2451" i="5"/>
  <c r="K2451" i="5"/>
  <c r="J2450" i="5"/>
  <c r="K2450" i="5"/>
  <c r="J2449" i="5"/>
  <c r="K2449" i="5"/>
  <c r="J2448" i="5"/>
  <c r="K2448" i="5"/>
  <c r="J2447" i="5"/>
  <c r="K2447" i="5"/>
  <c r="J2446" i="5"/>
  <c r="K2446" i="5"/>
  <c r="J2445" i="5"/>
  <c r="K2445" i="5"/>
  <c r="J2444" i="5"/>
  <c r="K2444" i="5"/>
  <c r="J2443" i="5"/>
  <c r="K2443" i="5"/>
  <c r="J2442" i="5"/>
  <c r="K2442" i="5"/>
  <c r="J2441" i="5"/>
  <c r="K2441" i="5"/>
  <c r="J2440" i="5"/>
  <c r="K2440" i="5"/>
  <c r="J2439" i="5"/>
  <c r="K2439" i="5"/>
  <c r="J2438" i="5"/>
  <c r="K2438" i="5"/>
  <c r="J2437" i="5"/>
  <c r="K2437" i="5"/>
  <c r="J2436" i="5"/>
  <c r="K2436" i="5"/>
  <c r="J2435" i="5"/>
  <c r="K2435" i="5"/>
  <c r="J2434" i="5"/>
  <c r="K2434" i="5"/>
  <c r="J2433" i="5"/>
  <c r="K2433" i="5"/>
  <c r="J2432" i="5"/>
  <c r="K2432" i="5"/>
  <c r="J2431" i="5"/>
  <c r="K2431" i="5"/>
  <c r="J2430" i="5"/>
  <c r="K2430" i="5"/>
  <c r="J2429" i="5"/>
  <c r="K2429" i="5"/>
  <c r="J2428" i="5"/>
  <c r="K2428" i="5"/>
  <c r="J2427" i="5"/>
  <c r="K2427" i="5"/>
  <c r="J2426" i="5"/>
  <c r="K2426" i="5"/>
  <c r="J2425" i="5"/>
  <c r="K2425" i="5"/>
  <c r="J2424" i="5"/>
  <c r="K2424" i="5"/>
  <c r="J2423" i="5"/>
  <c r="K2423" i="5"/>
  <c r="J2422" i="5"/>
  <c r="K2422" i="5"/>
  <c r="J2421" i="5"/>
  <c r="K2421" i="5"/>
  <c r="J2420" i="5"/>
  <c r="K2420" i="5"/>
  <c r="J2419" i="5"/>
  <c r="K2419" i="5"/>
  <c r="J2418" i="5"/>
  <c r="K2418" i="5"/>
  <c r="J2417" i="5"/>
  <c r="K2417" i="5"/>
  <c r="J2416" i="5"/>
  <c r="K2416" i="5"/>
  <c r="J2415" i="5"/>
  <c r="K2415" i="5"/>
  <c r="J2414" i="5"/>
  <c r="K2414" i="5"/>
  <c r="J2413" i="5"/>
  <c r="K2413" i="5"/>
  <c r="J2412" i="5"/>
  <c r="K2412" i="5"/>
  <c r="J2411" i="5"/>
  <c r="K2411" i="5"/>
  <c r="J2410" i="5"/>
  <c r="K2410" i="5"/>
  <c r="J2409" i="5"/>
  <c r="K2409" i="5"/>
  <c r="J2408" i="5"/>
  <c r="K2408" i="5"/>
  <c r="J2407" i="5"/>
  <c r="K2407" i="5"/>
  <c r="J2406" i="5"/>
  <c r="K2406" i="5"/>
  <c r="J2405" i="5"/>
  <c r="K2405" i="5"/>
  <c r="J2404" i="5"/>
  <c r="K2404" i="5"/>
  <c r="J2403" i="5"/>
  <c r="K2403" i="5"/>
  <c r="J2402" i="5"/>
  <c r="K2402" i="5"/>
  <c r="J2401" i="5"/>
  <c r="K2401" i="5"/>
  <c r="J2400" i="5"/>
  <c r="K2400" i="5"/>
  <c r="J2399" i="5"/>
  <c r="K2399" i="5"/>
  <c r="J2398" i="5"/>
  <c r="K2398" i="5"/>
  <c r="J2397" i="5"/>
  <c r="K2397" i="5"/>
  <c r="J2396" i="5"/>
  <c r="K2396" i="5"/>
  <c r="J2395" i="5"/>
  <c r="K2395" i="5"/>
  <c r="J2394" i="5"/>
  <c r="K2394" i="5"/>
  <c r="J2393" i="5"/>
  <c r="K2393" i="5"/>
  <c r="J2392" i="5"/>
  <c r="K2392" i="5"/>
  <c r="J2391" i="5"/>
  <c r="K2391" i="5"/>
  <c r="J2390" i="5"/>
  <c r="K2390" i="5"/>
  <c r="J2389" i="5"/>
  <c r="K2389" i="5"/>
  <c r="J2388" i="5"/>
  <c r="K2388" i="5"/>
  <c r="J2387" i="5"/>
  <c r="K2387" i="5"/>
  <c r="J2386" i="5"/>
  <c r="K2386" i="5"/>
  <c r="J2385" i="5"/>
  <c r="K2385" i="5"/>
  <c r="J2384" i="5"/>
  <c r="K2384" i="5"/>
  <c r="J2383" i="5"/>
  <c r="K2383" i="5"/>
  <c r="J2382" i="5"/>
  <c r="K2382" i="5"/>
  <c r="J2381" i="5"/>
  <c r="K2381" i="5"/>
  <c r="J2380" i="5"/>
  <c r="K2380" i="5"/>
  <c r="J2379" i="5"/>
  <c r="K2379" i="5"/>
  <c r="J2378" i="5"/>
  <c r="K2378" i="5"/>
  <c r="J2377" i="5"/>
  <c r="K2377" i="5"/>
  <c r="J2376" i="5"/>
  <c r="K2376" i="5"/>
  <c r="J2375" i="5"/>
  <c r="K2375" i="5"/>
  <c r="J2374" i="5"/>
  <c r="K2374" i="5"/>
  <c r="J2373" i="5"/>
  <c r="K2373" i="5"/>
  <c r="J2372" i="5"/>
  <c r="K2372" i="5"/>
  <c r="J2371" i="5"/>
  <c r="K2371" i="5"/>
  <c r="J2370" i="5"/>
  <c r="K2370" i="5"/>
  <c r="J2369" i="5"/>
  <c r="K2369" i="5"/>
  <c r="J2368" i="5"/>
  <c r="K2368" i="5"/>
  <c r="J2367" i="5"/>
  <c r="K2367" i="5"/>
  <c r="J2366" i="5"/>
  <c r="K2366" i="5"/>
  <c r="J2365" i="5"/>
  <c r="K2365" i="5"/>
  <c r="J2364" i="5"/>
  <c r="K2364" i="5"/>
  <c r="J2363" i="5"/>
  <c r="K2363" i="5"/>
  <c r="J2362" i="5"/>
  <c r="K2362" i="5"/>
  <c r="J2361" i="5"/>
  <c r="K2361" i="5"/>
  <c r="J2360" i="5"/>
  <c r="K2360" i="5"/>
  <c r="J2359" i="5"/>
  <c r="K2359" i="5"/>
  <c r="J2358" i="5"/>
  <c r="K2358" i="5"/>
  <c r="J2357" i="5"/>
  <c r="K2357" i="5"/>
  <c r="J2356" i="5"/>
  <c r="K2356" i="5"/>
  <c r="J2355" i="5"/>
  <c r="K2355" i="5"/>
  <c r="J2354" i="5"/>
  <c r="K2354" i="5"/>
  <c r="J2353" i="5"/>
  <c r="K2353" i="5"/>
  <c r="J2352" i="5"/>
  <c r="K2352" i="5"/>
  <c r="J2351" i="5"/>
  <c r="K2351" i="5"/>
  <c r="J2350" i="5"/>
  <c r="K2350" i="5"/>
  <c r="J2349" i="5"/>
  <c r="K2349" i="5"/>
  <c r="J2348" i="5"/>
  <c r="K2348" i="5"/>
  <c r="J2347" i="5"/>
  <c r="K2347" i="5"/>
  <c r="J2346" i="5" l="1"/>
  <c r="K2346" i="5"/>
  <c r="J2345" i="5"/>
  <c r="K2345" i="5"/>
  <c r="J2344" i="5"/>
  <c r="K2344" i="5"/>
  <c r="J2343" i="5"/>
  <c r="K2343" i="5"/>
  <c r="J2342" i="5"/>
  <c r="K2342" i="5"/>
  <c r="J2341" i="5"/>
  <c r="K2341" i="5"/>
  <c r="J2340" i="5"/>
  <c r="K2340" i="5"/>
  <c r="J2339" i="5"/>
  <c r="K2339" i="5"/>
  <c r="J2338" i="5"/>
  <c r="K2338" i="5"/>
  <c r="J2337" i="5"/>
  <c r="K2337" i="5"/>
  <c r="J2336" i="5"/>
  <c r="K2336" i="5"/>
  <c r="J2335" i="5"/>
  <c r="K2335" i="5"/>
  <c r="J2334" i="5"/>
  <c r="K2334" i="5"/>
  <c r="J2333" i="5"/>
  <c r="K2333" i="5"/>
  <c r="J2332" i="5"/>
  <c r="K2332" i="5"/>
  <c r="J2331" i="5"/>
  <c r="K2331" i="5"/>
  <c r="J2330" i="5"/>
  <c r="K2330" i="5"/>
  <c r="J2329" i="5"/>
  <c r="K2329" i="5"/>
  <c r="J2328" i="5"/>
  <c r="K2328" i="5"/>
  <c r="J2327" i="5"/>
  <c r="K2327" i="5"/>
  <c r="J2326" i="5"/>
  <c r="K2326" i="5"/>
  <c r="J2325" i="5"/>
  <c r="K2325" i="5"/>
  <c r="J2324" i="5"/>
  <c r="K2324" i="5"/>
  <c r="J2323" i="5"/>
  <c r="K2323" i="5"/>
  <c r="J2322" i="5"/>
  <c r="K2322" i="5"/>
  <c r="J2321" i="5"/>
  <c r="K2321" i="5"/>
  <c r="J2320" i="5"/>
  <c r="K2320" i="5"/>
  <c r="J2319" i="5"/>
  <c r="K2319" i="5"/>
  <c r="J2318" i="5"/>
  <c r="K2318" i="5"/>
  <c r="J2317" i="5"/>
  <c r="K2317" i="5"/>
  <c r="J2316" i="5"/>
  <c r="K2316" i="5"/>
  <c r="J2315" i="5"/>
  <c r="K2315" i="5"/>
  <c r="J2314" i="5"/>
  <c r="K2314" i="5"/>
  <c r="J2313" i="5"/>
  <c r="K2313" i="5"/>
  <c r="J2312" i="5"/>
  <c r="K2312" i="5"/>
  <c r="J2311" i="5"/>
  <c r="K2311" i="5"/>
  <c r="J2310" i="5"/>
  <c r="K2310" i="5"/>
  <c r="J2309" i="5"/>
  <c r="K2309" i="5"/>
  <c r="J2308" i="5"/>
  <c r="K2308" i="5"/>
  <c r="J2307" i="5"/>
  <c r="K2307" i="5"/>
  <c r="J2306" i="5"/>
  <c r="K2306" i="5"/>
  <c r="J2305" i="5"/>
  <c r="K2305" i="5"/>
  <c r="J2304" i="5"/>
  <c r="K2304" i="5"/>
  <c r="J2303" i="5"/>
  <c r="K2303" i="5"/>
  <c r="J2302" i="5"/>
  <c r="K2302" i="5"/>
  <c r="J2301" i="5"/>
  <c r="K2301" i="5"/>
  <c r="J2300" i="5"/>
  <c r="K2300" i="5"/>
  <c r="J2299" i="5"/>
  <c r="K2299" i="5"/>
  <c r="J2298" i="5"/>
  <c r="K2298" i="5"/>
  <c r="J2297" i="5"/>
  <c r="K2297" i="5"/>
  <c r="J2296" i="5"/>
  <c r="K2296" i="5"/>
  <c r="J2295" i="5" l="1"/>
  <c r="K2295" i="5"/>
  <c r="J2294" i="5"/>
  <c r="K2294" i="5"/>
  <c r="J2293" i="5"/>
  <c r="K2293" i="5"/>
  <c r="J2292" i="5"/>
  <c r="K2292" i="5"/>
  <c r="J2291" i="5"/>
  <c r="K2291" i="5"/>
  <c r="J2290" i="5"/>
  <c r="K2290" i="5"/>
  <c r="J2289" i="5"/>
  <c r="K2289" i="5"/>
  <c r="J2288" i="5"/>
  <c r="K2288" i="5"/>
  <c r="J2287" i="5"/>
  <c r="K2287" i="5"/>
  <c r="J2286" i="5"/>
  <c r="K2286" i="5"/>
  <c r="J2285" i="5"/>
  <c r="K2285" i="5"/>
  <c r="J2284" i="5"/>
  <c r="K2284" i="5"/>
  <c r="J2283" i="5"/>
  <c r="K2283" i="5"/>
  <c r="J2282" i="5"/>
  <c r="K2282" i="5"/>
  <c r="J2281" i="5"/>
  <c r="K2281" i="5"/>
  <c r="J2280" i="5"/>
  <c r="K2280" i="5"/>
  <c r="J2279" i="5"/>
  <c r="K2279" i="5"/>
  <c r="J2278" i="5"/>
  <c r="K2278" i="5"/>
  <c r="J2277" i="5"/>
  <c r="K2277" i="5"/>
  <c r="J2276" i="5"/>
  <c r="K2276" i="5"/>
  <c r="J2275" i="5"/>
  <c r="K2275" i="5"/>
  <c r="J2274" i="5"/>
  <c r="K2274" i="5"/>
  <c r="J2273" i="5"/>
  <c r="K2273" i="5"/>
  <c r="J2272" i="5"/>
  <c r="K2272" i="5"/>
  <c r="J2271" i="5"/>
  <c r="K2271" i="5"/>
  <c r="J2270" i="5"/>
  <c r="K2270" i="5"/>
  <c r="J2269" i="5"/>
  <c r="K2269" i="5"/>
  <c r="J2268" i="5"/>
  <c r="K2268" i="5"/>
  <c r="J2267" i="5"/>
  <c r="K2267" i="5"/>
  <c r="J2266" i="5"/>
  <c r="K2266" i="5"/>
  <c r="J2265" i="5"/>
  <c r="K2265" i="5"/>
  <c r="J2264" i="5"/>
  <c r="K2264" i="5"/>
  <c r="J2263" i="5"/>
  <c r="K2263" i="5"/>
  <c r="J2262" i="5"/>
  <c r="K2262" i="5"/>
  <c r="J2261" i="5"/>
  <c r="K2261" i="5"/>
  <c r="J2260" i="5"/>
  <c r="K2260" i="5"/>
  <c r="J2259" i="5"/>
  <c r="K2259" i="5"/>
  <c r="J2258" i="5"/>
  <c r="K2258" i="5"/>
  <c r="J2257" i="5"/>
  <c r="K2257" i="5"/>
  <c r="J2256" i="5"/>
  <c r="K2256" i="5"/>
  <c r="J2255" i="5"/>
  <c r="K2255" i="5"/>
  <c r="J2254" i="5"/>
  <c r="K2254" i="5"/>
  <c r="J2253" i="5"/>
  <c r="K2253" i="5"/>
  <c r="J2252" i="5"/>
  <c r="K2252" i="5"/>
  <c r="J2251" i="5"/>
  <c r="K2251" i="5"/>
  <c r="J2250" i="5"/>
  <c r="K2250" i="5"/>
  <c r="J2249" i="5"/>
  <c r="K2249" i="5"/>
  <c r="J2248" i="5"/>
  <c r="K2248" i="5"/>
  <c r="J2247" i="5"/>
  <c r="K2247" i="5"/>
  <c r="J2246" i="5"/>
  <c r="K2246" i="5"/>
  <c r="J2245" i="5"/>
  <c r="K2245" i="5"/>
  <c r="J2244" i="5"/>
  <c r="K2244" i="5"/>
  <c r="J2243" i="5"/>
  <c r="K2243" i="5"/>
  <c r="J2242" i="5"/>
  <c r="K2242" i="5"/>
  <c r="J2241" i="5"/>
  <c r="K2241" i="5"/>
  <c r="J2240" i="5"/>
  <c r="K2240" i="5"/>
  <c r="J2239" i="5"/>
  <c r="K2239" i="5"/>
  <c r="J2238" i="5"/>
  <c r="K2238" i="5"/>
  <c r="J2237" i="5"/>
  <c r="K2237" i="5"/>
  <c r="J2236" i="5"/>
  <c r="K2236" i="5"/>
  <c r="J2235" i="5"/>
  <c r="K2235" i="5"/>
  <c r="J2234" i="5"/>
  <c r="K2234" i="5"/>
  <c r="J2233" i="5"/>
  <c r="K2233" i="5"/>
  <c r="J2232" i="5"/>
  <c r="K2232" i="5"/>
  <c r="J2231" i="5"/>
  <c r="K2231" i="5"/>
  <c r="J2230" i="5"/>
  <c r="K2230" i="5"/>
  <c r="J2229" i="5"/>
  <c r="K2229" i="5"/>
  <c r="J2228" i="5"/>
  <c r="K2228" i="5"/>
  <c r="J2227" i="5"/>
  <c r="K2227" i="5"/>
  <c r="J2226" i="5"/>
  <c r="K2226" i="5"/>
  <c r="J2225" i="5"/>
  <c r="K2225" i="5"/>
  <c r="J2224" i="5"/>
  <c r="K2224" i="5"/>
  <c r="J2223" i="5"/>
  <c r="K2223" i="5"/>
  <c r="J2222" i="5"/>
  <c r="K2222" i="5"/>
  <c r="J2221" i="5"/>
  <c r="K2221" i="5"/>
  <c r="J2220" i="5"/>
  <c r="K2220" i="5"/>
  <c r="J2219" i="5"/>
  <c r="K2219" i="5"/>
  <c r="J2218" i="5"/>
  <c r="K2218" i="5"/>
  <c r="J2217" i="5"/>
  <c r="K2217" i="5"/>
  <c r="J2216" i="5"/>
  <c r="K2216" i="5"/>
  <c r="J2215" i="5"/>
  <c r="K2215" i="5"/>
  <c r="J2214" i="5"/>
  <c r="K2214" i="5"/>
  <c r="J2213" i="5"/>
  <c r="K2213" i="5"/>
  <c r="J2212" i="5"/>
  <c r="K2212" i="5"/>
  <c r="J2211" i="5"/>
  <c r="K2211" i="5"/>
  <c r="J2210" i="5"/>
  <c r="K2210" i="5"/>
  <c r="J2209" i="5"/>
  <c r="K2209" i="5"/>
  <c r="J2208" i="5"/>
  <c r="K2208" i="5"/>
  <c r="J2207" i="5"/>
  <c r="K2207" i="5"/>
  <c r="J2206" i="5"/>
  <c r="K2206" i="5"/>
  <c r="J2205" i="5"/>
  <c r="K2205" i="5"/>
  <c r="J2204" i="5"/>
  <c r="K2204" i="5"/>
  <c r="J2203" i="5"/>
  <c r="K2203" i="5"/>
  <c r="J2202" i="5"/>
  <c r="K2202" i="5"/>
  <c r="J2201" i="5"/>
  <c r="K2201" i="5"/>
  <c r="J2200" i="5"/>
  <c r="K2200" i="5"/>
  <c r="J2199" i="5"/>
  <c r="K2199" i="5"/>
  <c r="J2198" i="5"/>
  <c r="K2198" i="5"/>
  <c r="J2197" i="5"/>
  <c r="K2197" i="5"/>
  <c r="J2196" i="5"/>
  <c r="K2196" i="5"/>
  <c r="J2195" i="5"/>
  <c r="K2195" i="5"/>
  <c r="J2194" i="5"/>
  <c r="K2194" i="5"/>
  <c r="J2193" i="5"/>
  <c r="K2193" i="5"/>
  <c r="J2192" i="5"/>
  <c r="K2192" i="5"/>
  <c r="J2191" i="5"/>
  <c r="K2191" i="5"/>
  <c r="J2190" i="5"/>
  <c r="K2190" i="5"/>
  <c r="J2189" i="5"/>
  <c r="K2189" i="5"/>
  <c r="J2188" i="5"/>
  <c r="K2188" i="5"/>
  <c r="J2187" i="5"/>
  <c r="K2187" i="5"/>
  <c r="J2186" i="5"/>
  <c r="K2186" i="5"/>
  <c r="J2185" i="5"/>
  <c r="K2185" i="5"/>
  <c r="J2184" i="5"/>
  <c r="K2184" i="5"/>
  <c r="J2183" i="5"/>
  <c r="K2183" i="5"/>
  <c r="J2182" i="5"/>
  <c r="K2182" i="5"/>
  <c r="J2181" i="5"/>
  <c r="K2181" i="5"/>
  <c r="J2180" i="5"/>
  <c r="K2180" i="5"/>
  <c r="J2179" i="5"/>
  <c r="K2179" i="5"/>
  <c r="J2178" i="5"/>
  <c r="K2178" i="5"/>
  <c r="J2177" i="5"/>
  <c r="K2177" i="5"/>
  <c r="J2176" i="5"/>
  <c r="K2176" i="5"/>
  <c r="J2175" i="5"/>
  <c r="K2175" i="5"/>
  <c r="J2174" i="5"/>
  <c r="K2174" i="5"/>
  <c r="J2173" i="5"/>
  <c r="K2173" i="5"/>
  <c r="J2172" i="5"/>
  <c r="K2172" i="5"/>
  <c r="J2171" i="5"/>
  <c r="K2171" i="5"/>
  <c r="J2170" i="5"/>
  <c r="K2170" i="5"/>
  <c r="J2169" i="5"/>
  <c r="K2169" i="5"/>
  <c r="J2168" i="5"/>
  <c r="K2168" i="5"/>
  <c r="J2167" i="5"/>
  <c r="K2167" i="5"/>
  <c r="J2166" i="5"/>
  <c r="K2166" i="5"/>
  <c r="J2165" i="5"/>
  <c r="K2165" i="5"/>
  <c r="J2164" i="5"/>
  <c r="K2164" i="5"/>
  <c r="J2163" i="5"/>
  <c r="K2163" i="5"/>
  <c r="J2162" i="5"/>
  <c r="K2162" i="5"/>
  <c r="J2161" i="5"/>
  <c r="K2161" i="5"/>
  <c r="J2160" i="5"/>
  <c r="K2160" i="5"/>
  <c r="J2159" i="5"/>
  <c r="K2159" i="5"/>
  <c r="J2158" i="5"/>
  <c r="K2158" i="5"/>
  <c r="J2157" i="5"/>
  <c r="K2157" i="5"/>
  <c r="J2156" i="5"/>
  <c r="K2156" i="5"/>
  <c r="J2155" i="5"/>
  <c r="K2155" i="5"/>
  <c r="J2154" i="5"/>
  <c r="K2154" i="5"/>
  <c r="J2153" i="5"/>
  <c r="K2153" i="5"/>
  <c r="J2152" i="5"/>
  <c r="K2152" i="5"/>
  <c r="J2151" i="5"/>
  <c r="K2151" i="5"/>
  <c r="J2150" i="5"/>
  <c r="K2150" i="5"/>
  <c r="J2149" i="5"/>
  <c r="K2149" i="5"/>
  <c r="J2148" i="5"/>
  <c r="K2148" i="5"/>
  <c r="J2147" i="5"/>
  <c r="K2147" i="5"/>
  <c r="J2146" i="5"/>
  <c r="K2146" i="5"/>
  <c r="J2145" i="5"/>
  <c r="K2145" i="5"/>
  <c r="J2144" i="5"/>
  <c r="K2144" i="5"/>
  <c r="J2143" i="5"/>
  <c r="K2143" i="5"/>
  <c r="J2142" i="5"/>
  <c r="K2142" i="5"/>
  <c r="J2141" i="5"/>
  <c r="K2141" i="5"/>
  <c r="J2140" i="5"/>
  <c r="K2140" i="5"/>
  <c r="J2139" i="5"/>
  <c r="K2139" i="5"/>
  <c r="J2138" i="5"/>
  <c r="K2138" i="5"/>
  <c r="J2137" i="5"/>
  <c r="K2137" i="5"/>
  <c r="J2136" i="5"/>
  <c r="K2136" i="5"/>
  <c r="J2135" i="5"/>
  <c r="K2135" i="5"/>
  <c r="J2134" i="5"/>
  <c r="K2134" i="5"/>
  <c r="J2133" i="5"/>
  <c r="K2133" i="5"/>
  <c r="J2132" i="5"/>
  <c r="K2132" i="5"/>
  <c r="J2131" i="5"/>
  <c r="K2131" i="5"/>
  <c r="J2130" i="5"/>
  <c r="K2130" i="5"/>
  <c r="J2129" i="5"/>
  <c r="K2129" i="5"/>
  <c r="J2128" i="5"/>
  <c r="K2128" i="5"/>
  <c r="J2127" i="5"/>
  <c r="K2127" i="5"/>
  <c r="J2126" i="5"/>
  <c r="K2126" i="5"/>
  <c r="J2125" i="5"/>
  <c r="K2125" i="5"/>
  <c r="J2124" i="5" l="1"/>
  <c r="K2124" i="5"/>
  <c r="J2123" i="5"/>
  <c r="K2123" i="5"/>
  <c r="J2122" i="5"/>
  <c r="K2122" i="5"/>
  <c r="J2121" i="5"/>
  <c r="K2121" i="5"/>
  <c r="J2120" i="5"/>
  <c r="K2120" i="5"/>
  <c r="J2119" i="5"/>
  <c r="K2119" i="5"/>
  <c r="J2118" i="5"/>
  <c r="K2118" i="5"/>
  <c r="J2117" i="5"/>
  <c r="K2117" i="5"/>
  <c r="J2116" i="5"/>
  <c r="K2116" i="5"/>
  <c r="J2115" i="5"/>
  <c r="K2115" i="5"/>
  <c r="J2114" i="5"/>
  <c r="K2114" i="5"/>
  <c r="J2113" i="5"/>
  <c r="K2113" i="5"/>
  <c r="J2112" i="5"/>
  <c r="K2112" i="5"/>
  <c r="J2111" i="5"/>
  <c r="K2111" i="5"/>
  <c r="J2110" i="5"/>
  <c r="K2110" i="5"/>
  <c r="J2109" i="5"/>
  <c r="K2109" i="5"/>
  <c r="J2108" i="5"/>
  <c r="K2108" i="5"/>
  <c r="J2107" i="5"/>
  <c r="K2107" i="5"/>
  <c r="J2106" i="5"/>
  <c r="K2106" i="5"/>
  <c r="J2105" i="5"/>
  <c r="K2105" i="5"/>
  <c r="J2104" i="5"/>
  <c r="K2104" i="5"/>
  <c r="J2103" i="5"/>
  <c r="K2103" i="5"/>
  <c r="J2102" i="5"/>
  <c r="K2102" i="5"/>
  <c r="J2101" i="5"/>
  <c r="K2101" i="5"/>
  <c r="J2100" i="5"/>
  <c r="K2100" i="5"/>
  <c r="J2099" i="5"/>
  <c r="K2099" i="5"/>
  <c r="J2098" i="5"/>
  <c r="K2098" i="5"/>
  <c r="J2097" i="5"/>
  <c r="K2097" i="5"/>
  <c r="J2096" i="5"/>
  <c r="K2096" i="5"/>
  <c r="J2095" i="5"/>
  <c r="K2095" i="5"/>
  <c r="J2094" i="5"/>
  <c r="K2094" i="5"/>
  <c r="J2093" i="5"/>
  <c r="K2093" i="5"/>
  <c r="J2092" i="5"/>
  <c r="K2092" i="5"/>
  <c r="J2091" i="5"/>
  <c r="K2091" i="5"/>
  <c r="J2090" i="5"/>
  <c r="K2090" i="5"/>
  <c r="J2089" i="5"/>
  <c r="K2089" i="5"/>
  <c r="J2088" i="5"/>
  <c r="K2088" i="5"/>
  <c r="J2087" i="5"/>
  <c r="K2087" i="5"/>
  <c r="J2086" i="5"/>
  <c r="K2086" i="5"/>
  <c r="J2085" i="5"/>
  <c r="K2085" i="5"/>
  <c r="J2084" i="5"/>
  <c r="K2084" i="5"/>
  <c r="J2083" i="5"/>
  <c r="K2083" i="5"/>
  <c r="J2082" i="5"/>
  <c r="K2082" i="5"/>
  <c r="J2081" i="5"/>
  <c r="K2081" i="5"/>
  <c r="J2080" i="5"/>
  <c r="K2080" i="5"/>
  <c r="J2079" i="5"/>
  <c r="K2079" i="5"/>
  <c r="J2078" i="5"/>
  <c r="K2078" i="5"/>
  <c r="J2077" i="5"/>
  <c r="K2077" i="5"/>
  <c r="J2076" i="5"/>
  <c r="K2076" i="5"/>
  <c r="J2075" i="5"/>
  <c r="K2075" i="5"/>
  <c r="J2074" i="5"/>
  <c r="K2074" i="5"/>
  <c r="J2073" i="5"/>
  <c r="K2073" i="5"/>
  <c r="J2072" i="5"/>
  <c r="K2072" i="5"/>
  <c r="J2071" i="5"/>
  <c r="K2071" i="5"/>
  <c r="J2070" i="5"/>
  <c r="K2070" i="5"/>
  <c r="J2069" i="5"/>
  <c r="K2069" i="5"/>
  <c r="J2068" i="5"/>
  <c r="K2068" i="5"/>
  <c r="J2067" i="5"/>
  <c r="K2067" i="5"/>
  <c r="J2066" i="5"/>
  <c r="K2066" i="5"/>
  <c r="J2065" i="5"/>
  <c r="K2065" i="5"/>
  <c r="J2064" i="5"/>
  <c r="K2064" i="5"/>
  <c r="J2063" i="5"/>
  <c r="K2063" i="5"/>
  <c r="J2062" i="5"/>
  <c r="K2062" i="5"/>
  <c r="J2061" i="5"/>
  <c r="K2061" i="5"/>
  <c r="J2060" i="5"/>
  <c r="K2060" i="5"/>
  <c r="J2059" i="5"/>
  <c r="K2059" i="5"/>
  <c r="J2058" i="5"/>
  <c r="K2058" i="5"/>
  <c r="J2057" i="5"/>
  <c r="K2057" i="5"/>
  <c r="J2056" i="5"/>
  <c r="K2056" i="5"/>
  <c r="J2055" i="5"/>
  <c r="K2055" i="5"/>
  <c r="J2054" i="5"/>
  <c r="K2054" i="5"/>
  <c r="J2053" i="5"/>
  <c r="K2053" i="5"/>
  <c r="J2052" i="5"/>
  <c r="K2052" i="5"/>
  <c r="J2051" i="5"/>
  <c r="K2051" i="5"/>
  <c r="J2050" i="5"/>
  <c r="K2050" i="5"/>
  <c r="J2049" i="5"/>
  <c r="K2049" i="5"/>
  <c r="J2048" i="5"/>
  <c r="K2048" i="5"/>
  <c r="J2047" i="5"/>
  <c r="K2047" i="5"/>
  <c r="J2046" i="5"/>
  <c r="K2046" i="5"/>
  <c r="J2045" i="5"/>
  <c r="K2045" i="5"/>
  <c r="J2044" i="5"/>
  <c r="K2044" i="5"/>
  <c r="J2043" i="5"/>
  <c r="K2043" i="5"/>
  <c r="J2042" i="5"/>
  <c r="K2042" i="5"/>
  <c r="J2041" i="5"/>
  <c r="K2041" i="5"/>
  <c r="J2040" i="5"/>
  <c r="K2040" i="5"/>
  <c r="J2039" i="5"/>
  <c r="K2039" i="5"/>
  <c r="J2038" i="5"/>
  <c r="K2038" i="5"/>
  <c r="J2037" i="5"/>
  <c r="K2037" i="5"/>
  <c r="J2036" i="5"/>
  <c r="K2036" i="5"/>
  <c r="J2035" i="5"/>
  <c r="K2035" i="5"/>
  <c r="J2034" i="5"/>
  <c r="K2034" i="5"/>
  <c r="J2033" i="5"/>
  <c r="K2033" i="5"/>
  <c r="J2032" i="5"/>
  <c r="K2032" i="5"/>
  <c r="J2031" i="5"/>
  <c r="K2031" i="5"/>
  <c r="J2030" i="5"/>
  <c r="K2030" i="5"/>
  <c r="J2029" i="5"/>
  <c r="K2029" i="5"/>
  <c r="J2028" i="5"/>
  <c r="K2028" i="5"/>
  <c r="J2027" i="5"/>
  <c r="K2027" i="5"/>
  <c r="J2026" i="5"/>
  <c r="K2026" i="5"/>
  <c r="J2025" i="5"/>
  <c r="K2025" i="5"/>
  <c r="J2024" i="5"/>
  <c r="K2024" i="5"/>
  <c r="J2023" i="5"/>
  <c r="K2023" i="5"/>
  <c r="J2022" i="5"/>
  <c r="K2022" i="5"/>
  <c r="J2021" i="5"/>
  <c r="K2021" i="5"/>
  <c r="J2020" i="5"/>
  <c r="K2020" i="5"/>
  <c r="J2019" i="5"/>
  <c r="K2019" i="5"/>
  <c r="J2018" i="5"/>
  <c r="K2018" i="5"/>
  <c r="J2017" i="5"/>
  <c r="K2017" i="5"/>
  <c r="J2016" i="5"/>
  <c r="K2016" i="5"/>
  <c r="J2015" i="5"/>
  <c r="K2015" i="5"/>
  <c r="J2014" i="5"/>
  <c r="K2014" i="5"/>
  <c r="J2013" i="5"/>
  <c r="K2013" i="5"/>
  <c r="J2012" i="5"/>
  <c r="K2012" i="5"/>
  <c r="J2011" i="5"/>
  <c r="K2011" i="5"/>
  <c r="J2010" i="5"/>
  <c r="K2010" i="5"/>
  <c r="J2009" i="5"/>
  <c r="K2009" i="5"/>
  <c r="J2008" i="5"/>
  <c r="K2008" i="5"/>
  <c r="J2007" i="5"/>
  <c r="K2007" i="5"/>
  <c r="J2006" i="5"/>
  <c r="K2006" i="5"/>
  <c r="J2005" i="5"/>
  <c r="K2005" i="5"/>
  <c r="J2004" i="5"/>
  <c r="K2004" i="5"/>
  <c r="J2003" i="5"/>
  <c r="K2003" i="5"/>
  <c r="J2002" i="5"/>
  <c r="K2002" i="5"/>
  <c r="J2001" i="5"/>
  <c r="K2001" i="5"/>
  <c r="J2000" i="5"/>
  <c r="K2000" i="5"/>
  <c r="J1999" i="5"/>
  <c r="K1999" i="5"/>
  <c r="J1998" i="5"/>
  <c r="K1998" i="5"/>
  <c r="J1997" i="5"/>
  <c r="K1997" i="5"/>
  <c r="J1996" i="5"/>
  <c r="K1996" i="5"/>
  <c r="J1995" i="5"/>
  <c r="K1995" i="5"/>
  <c r="J1994" i="5"/>
  <c r="K1994" i="5"/>
  <c r="J1993" i="5"/>
  <c r="K1993" i="5"/>
  <c r="J1992" i="5"/>
  <c r="K1992" i="5"/>
  <c r="J1991" i="5"/>
  <c r="K1991" i="5"/>
  <c r="J1990" i="5"/>
  <c r="K1990" i="5"/>
  <c r="J1989" i="5"/>
  <c r="K1989" i="5"/>
  <c r="J1988" i="5"/>
  <c r="K1988" i="5"/>
  <c r="J1987" i="5"/>
  <c r="K1987" i="5"/>
  <c r="J1986" i="5"/>
  <c r="K1986" i="5"/>
  <c r="J1985" i="5"/>
  <c r="K1985" i="5"/>
  <c r="J1984" i="5"/>
  <c r="K1984" i="5"/>
  <c r="J1983" i="5"/>
  <c r="K1983" i="5"/>
  <c r="J1982" i="5"/>
  <c r="K1982" i="5"/>
  <c r="J1981" i="5"/>
  <c r="K1981" i="5"/>
  <c r="J1980" i="5"/>
  <c r="K1980" i="5"/>
  <c r="J1979" i="5"/>
  <c r="K1979" i="5"/>
  <c r="J1978" i="5"/>
  <c r="K1978" i="5"/>
  <c r="J1977" i="5"/>
  <c r="K1977" i="5"/>
  <c r="J1976" i="5"/>
  <c r="K1976" i="5"/>
  <c r="J1975" i="5"/>
  <c r="K1975" i="5"/>
  <c r="J1974" i="5"/>
  <c r="K1974" i="5"/>
  <c r="J1973" i="5"/>
  <c r="K1973" i="5"/>
  <c r="J1972" i="5"/>
  <c r="K1972" i="5"/>
  <c r="J1971" i="5"/>
  <c r="K1971" i="5"/>
  <c r="J1970" i="5"/>
  <c r="K1970" i="5"/>
  <c r="J1969" i="5"/>
  <c r="K1969" i="5"/>
  <c r="J1968" i="5"/>
  <c r="K1968" i="5"/>
  <c r="J1967" i="5"/>
  <c r="K1967" i="5"/>
  <c r="J1966" i="5"/>
  <c r="K1966" i="5"/>
  <c r="J1965" i="5"/>
  <c r="K1965" i="5"/>
  <c r="J1964" i="5"/>
  <c r="K1964" i="5"/>
  <c r="J1963" i="5"/>
  <c r="K1963" i="5"/>
  <c r="J1962" i="5"/>
  <c r="K1962" i="5"/>
  <c r="J1961" i="5"/>
  <c r="K1961" i="5"/>
  <c r="J1960" i="5"/>
  <c r="K1960" i="5"/>
  <c r="J1959" i="5"/>
  <c r="K1959" i="5"/>
  <c r="J1958" i="5"/>
  <c r="K1958" i="5"/>
  <c r="J1957" i="5"/>
  <c r="K1957" i="5"/>
  <c r="J1956" i="5"/>
  <c r="K1956" i="5"/>
  <c r="J1955" i="5"/>
  <c r="K1955" i="5"/>
  <c r="J1954" i="5"/>
  <c r="K1954" i="5"/>
  <c r="J1953" i="5"/>
  <c r="K1953" i="5"/>
  <c r="J1952" i="5"/>
  <c r="K1952" i="5"/>
  <c r="J1951" i="5"/>
  <c r="K1951" i="5"/>
  <c r="J1950" i="5"/>
  <c r="K1950" i="5"/>
  <c r="J1949" i="5"/>
  <c r="K1949" i="5"/>
  <c r="J1948" i="5"/>
  <c r="K1948" i="5"/>
  <c r="J1947" i="5"/>
  <c r="K1947" i="5"/>
  <c r="J1946" i="5"/>
  <c r="K1946" i="5"/>
  <c r="J1945" i="5"/>
  <c r="K1945" i="5"/>
  <c r="J1944" i="5"/>
  <c r="K1944" i="5"/>
  <c r="J1943" i="5"/>
  <c r="K1943" i="5"/>
  <c r="J1942" i="5"/>
  <c r="K1942" i="5"/>
  <c r="J1941" i="5"/>
  <c r="K1941" i="5"/>
  <c r="J1940" i="5"/>
  <c r="K1940" i="5"/>
  <c r="J1939" i="5"/>
  <c r="K1939" i="5"/>
  <c r="J1938" i="5"/>
  <c r="K1938" i="5"/>
  <c r="J1937" i="5"/>
  <c r="K1937" i="5"/>
  <c r="J1936" i="5"/>
  <c r="K1936" i="5"/>
  <c r="J1935" i="5"/>
  <c r="K1935" i="5"/>
  <c r="J1934" i="5"/>
  <c r="K1934" i="5"/>
  <c r="J1933" i="5"/>
  <c r="K1933" i="5"/>
  <c r="J1932" i="5"/>
  <c r="K1932" i="5"/>
  <c r="J1931" i="5"/>
  <c r="K1931" i="5"/>
  <c r="J1930" i="5"/>
  <c r="K1930" i="5"/>
  <c r="J1929" i="5"/>
  <c r="K1929" i="5"/>
  <c r="J1928" i="5"/>
  <c r="K1928" i="5"/>
  <c r="J1927" i="5"/>
  <c r="K1927" i="5"/>
  <c r="J1926" i="5"/>
  <c r="K1926" i="5"/>
  <c r="J1925" i="5"/>
  <c r="K1925" i="5"/>
  <c r="J1924" i="5"/>
  <c r="K1924" i="5"/>
  <c r="J1923" i="5"/>
  <c r="K1923" i="5"/>
  <c r="J1922" i="5"/>
  <c r="K1922" i="5"/>
  <c r="J1921" i="5"/>
  <c r="K1921" i="5"/>
  <c r="J1920" i="5"/>
  <c r="K1920" i="5"/>
  <c r="J1919" i="5"/>
  <c r="K1919" i="5"/>
  <c r="J1918" i="5"/>
  <c r="K1918" i="5"/>
  <c r="J1917" i="5"/>
  <c r="K1917" i="5"/>
  <c r="J1916" i="5"/>
  <c r="K1916" i="5"/>
  <c r="J1915" i="5"/>
  <c r="K1915" i="5"/>
  <c r="J1914" i="5"/>
  <c r="K1914" i="5"/>
  <c r="J1913" i="5"/>
  <c r="K1913" i="5"/>
  <c r="J1912" i="5"/>
  <c r="K1912" i="5"/>
  <c r="J1911" i="5"/>
  <c r="K1911" i="5"/>
  <c r="J1910" i="5"/>
  <c r="K1910" i="5"/>
  <c r="J1909" i="5" l="1"/>
  <c r="K1909" i="5"/>
  <c r="J1908" i="5"/>
  <c r="K1908" i="5"/>
  <c r="J1907" i="5"/>
  <c r="K1907" i="5"/>
  <c r="J1906" i="5"/>
  <c r="K1906" i="5"/>
  <c r="J1905" i="5"/>
  <c r="K1905" i="5"/>
  <c r="J1904" i="5"/>
  <c r="K1904" i="5"/>
  <c r="J1903" i="5"/>
  <c r="K1903" i="5"/>
  <c r="J1902" i="5"/>
  <c r="K1902" i="5"/>
  <c r="J1901" i="5"/>
  <c r="K1901" i="5"/>
  <c r="J1900" i="5"/>
  <c r="K1900" i="5"/>
  <c r="J1899" i="5"/>
  <c r="K1899" i="5"/>
  <c r="J1898" i="5"/>
  <c r="K1898" i="5"/>
  <c r="J1897" i="5"/>
  <c r="K1897" i="5"/>
  <c r="J1896" i="5"/>
  <c r="K1896" i="5"/>
  <c r="J1895" i="5"/>
  <c r="K1895" i="5"/>
  <c r="J1894" i="5"/>
  <c r="K1894" i="5"/>
  <c r="J1893" i="5"/>
  <c r="K1893" i="5"/>
  <c r="J1892" i="5"/>
  <c r="K1892" i="5"/>
  <c r="J1891" i="5"/>
  <c r="K1891" i="5"/>
  <c r="J1890" i="5"/>
  <c r="K1890" i="5"/>
  <c r="J1889" i="5"/>
  <c r="K1889" i="5"/>
  <c r="J1888" i="5"/>
  <c r="K1888" i="5"/>
  <c r="J1887" i="5"/>
  <c r="K1887" i="5"/>
  <c r="J1886" i="5"/>
  <c r="K1886" i="5"/>
  <c r="J1885" i="5"/>
  <c r="K1885" i="5"/>
  <c r="J1884" i="5"/>
  <c r="K1884" i="5"/>
  <c r="J1883" i="5"/>
  <c r="K1883" i="5"/>
  <c r="J1882" i="5"/>
  <c r="K1882" i="5"/>
  <c r="J1881" i="5"/>
  <c r="K1881" i="5"/>
  <c r="J1880" i="5"/>
  <c r="K1880" i="5"/>
  <c r="J1879" i="5"/>
  <c r="K1879" i="5"/>
  <c r="J1878" i="5"/>
  <c r="K1878" i="5"/>
  <c r="J1877" i="5"/>
  <c r="K1877" i="5"/>
  <c r="J1876" i="5"/>
  <c r="K1876" i="5"/>
  <c r="J1875" i="5" l="1"/>
  <c r="K1875" i="5"/>
  <c r="J1874" i="5"/>
  <c r="K1874" i="5"/>
  <c r="J1873" i="5"/>
  <c r="K1873" i="5"/>
  <c r="J1872" i="5"/>
  <c r="K1872" i="5"/>
  <c r="J1871" i="5"/>
  <c r="K1871" i="5"/>
  <c r="J1870" i="5"/>
  <c r="K1870" i="5"/>
  <c r="J1869" i="5"/>
  <c r="K1869" i="5"/>
  <c r="J1868" i="5"/>
  <c r="K1868" i="5"/>
  <c r="J1867" i="5"/>
  <c r="K1867" i="5"/>
  <c r="J1866" i="5"/>
  <c r="K1866" i="5"/>
  <c r="J1865" i="5"/>
  <c r="K1865" i="5"/>
  <c r="J1864" i="5"/>
  <c r="K1864" i="5"/>
  <c r="J1863" i="5"/>
  <c r="K1863" i="5"/>
  <c r="J1862" i="5"/>
  <c r="K1862" i="5"/>
  <c r="J1861" i="5"/>
  <c r="K1861" i="5"/>
  <c r="J1860" i="5"/>
  <c r="K1860" i="5"/>
  <c r="J1859" i="5"/>
  <c r="K1859" i="5"/>
  <c r="J1858" i="5"/>
  <c r="K1858" i="5"/>
  <c r="J1857" i="5"/>
  <c r="K1857" i="5"/>
  <c r="J1856" i="5"/>
  <c r="K1856" i="5"/>
  <c r="J1855" i="5"/>
  <c r="K1855" i="5"/>
  <c r="J1854" i="5"/>
  <c r="K1854" i="5"/>
  <c r="J1853" i="5"/>
  <c r="K1853" i="5"/>
  <c r="J1852" i="5"/>
  <c r="K1852" i="5"/>
  <c r="J1851" i="5"/>
  <c r="K1851" i="5"/>
  <c r="J1850" i="5"/>
  <c r="K1850" i="5"/>
  <c r="J1849" i="5"/>
  <c r="K1849" i="5"/>
  <c r="J1848" i="5"/>
  <c r="K1848" i="5"/>
  <c r="J1847" i="5"/>
  <c r="K1847" i="5"/>
  <c r="J1846" i="5"/>
  <c r="K1846" i="5"/>
  <c r="J1845" i="5"/>
  <c r="K1845" i="5"/>
  <c r="J1844" i="5"/>
  <c r="K1844" i="5"/>
  <c r="J1843" i="5"/>
  <c r="K1843" i="5"/>
  <c r="J1842" i="5"/>
  <c r="K1842" i="5"/>
  <c r="J1841" i="5"/>
  <c r="K1841" i="5"/>
  <c r="J1840" i="5"/>
  <c r="K1840" i="5"/>
  <c r="J1839" i="5" l="1"/>
  <c r="K1839" i="5"/>
  <c r="J1838" i="5"/>
  <c r="K1838" i="5"/>
  <c r="J1837" i="5"/>
  <c r="K1837" i="5"/>
  <c r="J1836" i="5"/>
  <c r="K1836" i="5"/>
  <c r="J1835" i="5"/>
  <c r="K1835" i="5"/>
  <c r="J1834" i="5"/>
  <c r="K1834" i="5"/>
  <c r="J1833" i="5"/>
  <c r="K1833" i="5"/>
  <c r="J1832" i="5"/>
  <c r="K1832" i="5"/>
  <c r="J1831" i="5"/>
  <c r="K1831" i="5"/>
  <c r="J1830" i="5"/>
  <c r="K1830" i="5"/>
  <c r="J1829" i="5"/>
  <c r="K1829" i="5"/>
  <c r="J1828" i="5"/>
  <c r="K1828" i="5"/>
  <c r="J1827" i="5"/>
  <c r="K1827" i="5"/>
  <c r="J1826" i="5"/>
  <c r="K1826" i="5"/>
  <c r="J1825" i="5"/>
  <c r="K1825" i="5"/>
  <c r="J1824" i="5"/>
  <c r="K1824" i="5"/>
  <c r="J1823" i="5"/>
  <c r="K1823" i="5"/>
  <c r="J1822" i="5" l="1"/>
  <c r="K1822" i="5"/>
  <c r="J1821" i="5"/>
  <c r="K1821" i="5"/>
  <c r="J1820" i="5"/>
  <c r="K1820" i="5"/>
  <c r="J1819" i="5"/>
  <c r="K1819" i="5"/>
  <c r="J1818" i="5"/>
  <c r="K1818" i="5"/>
  <c r="J1817" i="5"/>
  <c r="K1817" i="5"/>
  <c r="J1816" i="5"/>
  <c r="K1816" i="5"/>
  <c r="J1815" i="5"/>
  <c r="K1815" i="5"/>
  <c r="J1814" i="5"/>
  <c r="K1814" i="5"/>
  <c r="J1813" i="5"/>
  <c r="K1813" i="5"/>
  <c r="J1812" i="5"/>
  <c r="K1812" i="5"/>
  <c r="J1811" i="5"/>
  <c r="K1811" i="5"/>
  <c r="J1810" i="5"/>
  <c r="K1810" i="5"/>
  <c r="J1809" i="5"/>
  <c r="K1809" i="5"/>
  <c r="J1808" i="5"/>
  <c r="K1808" i="5"/>
  <c r="J1807" i="5"/>
  <c r="K1807" i="5"/>
  <c r="J1806" i="5"/>
  <c r="K1806" i="5"/>
  <c r="J1805" i="5"/>
  <c r="K1805" i="5"/>
  <c r="J1804" i="5"/>
  <c r="K1804" i="5"/>
  <c r="J1803" i="5"/>
  <c r="K1803" i="5"/>
  <c r="J1802" i="5"/>
  <c r="K1802" i="5"/>
  <c r="J1801" i="5"/>
  <c r="K1801" i="5"/>
  <c r="J1800" i="5"/>
  <c r="K1800" i="5"/>
  <c r="J1799" i="5"/>
  <c r="K1799" i="5"/>
  <c r="J1798" i="5"/>
  <c r="K1798" i="5"/>
  <c r="J1797" i="5"/>
  <c r="K1797" i="5"/>
  <c r="J1796" i="5"/>
  <c r="K1796" i="5"/>
  <c r="J1795" i="5"/>
  <c r="K1795" i="5"/>
  <c r="J1794" i="5"/>
  <c r="K1794" i="5"/>
  <c r="J1793" i="5"/>
  <c r="K1793" i="5"/>
  <c r="J1792" i="5"/>
  <c r="K1792" i="5"/>
  <c r="J1791" i="5"/>
  <c r="K1791" i="5"/>
  <c r="J1790" i="5"/>
  <c r="K1790" i="5"/>
  <c r="J1789" i="5"/>
  <c r="K1789" i="5"/>
  <c r="J1788" i="5"/>
  <c r="K1788" i="5"/>
  <c r="J1787" i="5"/>
  <c r="K1787" i="5"/>
  <c r="J1786" i="5"/>
  <c r="K1786" i="5"/>
  <c r="J1785" i="5"/>
  <c r="K1785" i="5"/>
  <c r="J1784" i="5"/>
  <c r="K1784" i="5"/>
  <c r="J1783" i="5"/>
  <c r="K1783" i="5"/>
  <c r="J1782" i="5"/>
  <c r="K1782" i="5"/>
  <c r="J1781" i="5"/>
  <c r="K1781" i="5"/>
  <c r="J1780" i="5"/>
  <c r="K1780" i="5"/>
  <c r="J1779" i="5"/>
  <c r="K1779" i="5"/>
  <c r="J1778" i="5"/>
  <c r="K1778" i="5"/>
  <c r="J1777" i="5"/>
  <c r="K1777" i="5"/>
  <c r="J1776" i="5"/>
  <c r="K1776" i="5"/>
  <c r="J1775" i="5"/>
  <c r="K1775" i="5"/>
  <c r="J1774" i="5"/>
  <c r="K1774" i="5"/>
  <c r="J1773" i="5"/>
  <c r="K1773" i="5"/>
  <c r="J1772" i="5"/>
  <c r="K1772" i="5"/>
  <c r="J1771" i="5"/>
  <c r="K1771" i="5"/>
  <c r="J1770" i="5"/>
  <c r="K1770" i="5"/>
  <c r="J1769" i="5"/>
  <c r="K1769" i="5"/>
  <c r="J1768" i="5"/>
  <c r="K1768" i="5"/>
  <c r="J1767" i="5"/>
  <c r="K1767" i="5"/>
  <c r="J1766" i="5"/>
  <c r="K1766" i="5"/>
  <c r="J1765" i="5"/>
  <c r="K1765" i="5"/>
  <c r="J1764" i="5"/>
  <c r="K1764" i="5"/>
  <c r="J1763" i="5"/>
  <c r="K1763" i="5"/>
  <c r="J1762" i="5"/>
  <c r="K1762" i="5"/>
  <c r="J1761" i="5"/>
  <c r="K1761" i="5"/>
  <c r="J1760" i="5"/>
  <c r="K1760" i="5"/>
  <c r="J1759" i="5"/>
  <c r="K1759" i="5"/>
  <c r="J1758" i="5"/>
  <c r="K1758" i="5"/>
  <c r="J1757" i="5"/>
  <c r="K1757" i="5"/>
  <c r="J1756" i="5"/>
  <c r="K1756" i="5"/>
  <c r="J1755" i="5"/>
  <c r="K1755" i="5"/>
  <c r="J1754" i="5"/>
  <c r="K1754" i="5"/>
  <c r="J1753" i="5"/>
  <c r="K1753" i="5"/>
  <c r="J1752" i="5"/>
  <c r="K1752" i="5"/>
  <c r="J1751" i="5"/>
  <c r="K1751" i="5"/>
  <c r="J1750" i="5"/>
  <c r="K1750" i="5"/>
  <c r="J1749" i="5"/>
  <c r="K1749" i="5"/>
  <c r="J1748" i="5"/>
  <c r="K1748" i="5"/>
  <c r="J1747" i="5"/>
  <c r="K1747" i="5"/>
  <c r="J1746" i="5"/>
  <c r="K1746" i="5"/>
  <c r="J1745" i="5"/>
  <c r="K1745" i="5"/>
  <c r="J1744" i="5"/>
  <c r="K1744" i="5"/>
  <c r="J1743" i="5"/>
  <c r="K1743" i="5"/>
  <c r="J1742" i="5"/>
  <c r="K1742" i="5"/>
  <c r="J1741" i="5"/>
  <c r="K1741" i="5"/>
  <c r="J1740" i="5"/>
  <c r="K1740" i="5"/>
  <c r="J1739" i="5"/>
  <c r="K1739" i="5"/>
  <c r="J1738" i="5"/>
  <c r="K1738" i="5"/>
  <c r="J1737" i="5"/>
  <c r="K1737" i="5"/>
  <c r="J1736" i="5"/>
  <c r="K1736" i="5"/>
  <c r="J1735" i="5"/>
  <c r="K1735" i="5"/>
  <c r="J1734" i="5"/>
  <c r="K1734" i="5"/>
  <c r="J1733" i="5"/>
  <c r="K1733" i="5"/>
  <c r="J1732" i="5"/>
  <c r="K1732" i="5"/>
  <c r="J1731" i="5"/>
  <c r="K1731" i="5"/>
  <c r="J1730" i="5"/>
  <c r="K1730" i="5"/>
  <c r="J1729" i="5"/>
  <c r="K1729" i="5"/>
  <c r="J1728" i="5"/>
  <c r="K1728" i="5"/>
  <c r="J1727" i="5"/>
  <c r="K1727" i="5"/>
  <c r="J1726" i="5"/>
  <c r="K1726" i="5"/>
  <c r="J1725" i="5"/>
  <c r="K1725" i="5"/>
  <c r="J1724" i="5"/>
  <c r="K1724" i="5"/>
  <c r="J1723" i="5"/>
  <c r="K1723" i="5"/>
  <c r="J1722" i="5"/>
  <c r="K1722" i="5"/>
  <c r="J1721" i="5"/>
  <c r="K1721" i="5"/>
  <c r="J1720" i="5"/>
  <c r="K1720" i="5"/>
  <c r="J1719" i="5"/>
  <c r="K1719" i="5"/>
  <c r="J1718" i="5"/>
  <c r="K1718" i="5"/>
  <c r="J1717" i="5"/>
  <c r="K1717" i="5"/>
  <c r="J1716" i="5"/>
  <c r="K1716" i="5"/>
  <c r="J1715" i="5"/>
  <c r="K1715" i="5"/>
  <c r="J1714" i="5" l="1"/>
  <c r="K1714" i="5"/>
  <c r="J1713" i="5"/>
  <c r="K1713" i="5"/>
  <c r="J1712" i="5"/>
  <c r="K1712" i="5"/>
  <c r="J1711" i="5"/>
  <c r="K1711" i="5"/>
  <c r="J1710" i="5"/>
  <c r="K1710" i="5"/>
  <c r="J1709" i="5"/>
  <c r="K1709" i="5"/>
  <c r="J1708" i="5"/>
  <c r="K1708" i="5"/>
  <c r="J1707" i="5"/>
  <c r="K1707" i="5"/>
  <c r="J1706" i="5"/>
  <c r="K1706" i="5"/>
  <c r="J1705" i="5"/>
  <c r="K1705" i="5"/>
  <c r="J1704" i="5"/>
  <c r="K1704" i="5"/>
  <c r="J1703" i="5"/>
  <c r="K1703" i="5"/>
  <c r="J1702" i="5"/>
  <c r="K1702" i="5"/>
  <c r="J1701" i="5"/>
  <c r="K1701" i="5"/>
  <c r="J1700" i="5"/>
  <c r="K1700" i="5"/>
  <c r="J1699" i="5"/>
  <c r="K1699" i="5"/>
  <c r="J1698" i="5"/>
  <c r="K1698" i="5"/>
  <c r="J1697" i="5"/>
  <c r="K1697" i="5"/>
  <c r="J1696" i="5"/>
  <c r="K1696" i="5"/>
  <c r="J1695" i="5"/>
  <c r="K1695" i="5"/>
  <c r="J1694" i="5"/>
  <c r="K1694" i="5"/>
  <c r="J1693" i="5"/>
  <c r="K1693" i="5"/>
  <c r="J1692" i="5"/>
  <c r="K1692" i="5"/>
  <c r="J1691" i="5"/>
  <c r="K1691" i="5"/>
  <c r="J1690" i="5"/>
  <c r="K1690" i="5"/>
  <c r="J1689" i="5"/>
  <c r="K1689" i="5"/>
  <c r="J1688" i="5"/>
  <c r="K1688" i="5"/>
  <c r="J1687" i="5"/>
  <c r="K1687" i="5"/>
  <c r="J1686" i="5"/>
  <c r="K1686" i="5"/>
  <c r="J1685" i="5"/>
  <c r="K1685" i="5"/>
  <c r="J1684" i="5"/>
  <c r="K1684" i="5"/>
  <c r="J1683" i="5"/>
  <c r="K1683" i="5"/>
  <c r="J1682" i="5"/>
  <c r="K1682" i="5"/>
  <c r="J1681" i="5"/>
  <c r="K1681" i="5"/>
  <c r="J1680" i="5"/>
  <c r="K1680" i="5"/>
  <c r="J1679" i="5"/>
  <c r="K1679" i="5"/>
  <c r="J1678" i="5"/>
  <c r="K1678" i="5"/>
  <c r="J1677" i="5"/>
  <c r="K1677" i="5"/>
  <c r="J1676" i="5" l="1"/>
  <c r="K1676" i="5"/>
  <c r="J1675" i="5"/>
  <c r="K1675" i="5"/>
  <c r="J1674" i="5"/>
  <c r="K1674" i="5"/>
  <c r="J1673" i="5"/>
  <c r="K1673" i="5"/>
  <c r="J1672" i="5"/>
  <c r="K1672" i="5"/>
  <c r="J1671" i="5"/>
  <c r="K1671" i="5"/>
  <c r="J1670" i="5"/>
  <c r="K1670" i="5"/>
  <c r="J1669" i="5"/>
  <c r="K1669" i="5"/>
  <c r="J1668" i="5"/>
  <c r="K1668" i="5"/>
  <c r="J1667" i="5"/>
  <c r="K1667" i="5"/>
  <c r="J1666" i="5"/>
  <c r="K1666" i="5"/>
  <c r="J1665" i="5"/>
  <c r="K1665" i="5"/>
  <c r="J1664" i="5"/>
  <c r="K1664" i="5"/>
  <c r="J1663" i="5"/>
  <c r="K1663" i="5"/>
  <c r="J1662" i="5"/>
  <c r="K1662" i="5"/>
  <c r="J1661" i="5"/>
  <c r="K1661" i="5"/>
  <c r="J1660" i="5"/>
  <c r="K1660" i="5"/>
  <c r="J1659" i="5"/>
  <c r="K1659" i="5"/>
  <c r="J1658" i="5"/>
  <c r="K1658" i="5"/>
  <c r="J1657" i="5"/>
  <c r="K1657" i="5"/>
  <c r="J1656" i="5"/>
  <c r="K1656" i="5"/>
  <c r="J1655" i="5"/>
  <c r="K1655" i="5"/>
  <c r="J1654" i="5"/>
  <c r="K1654" i="5"/>
  <c r="J1653" i="5"/>
  <c r="K1653" i="5"/>
  <c r="J1652" i="5"/>
  <c r="K1652" i="5"/>
  <c r="J1651" i="5"/>
  <c r="K1651" i="5"/>
  <c r="J1650" i="5"/>
  <c r="K1650" i="5"/>
  <c r="J1649" i="5"/>
  <c r="K1649" i="5"/>
  <c r="J1648" i="5"/>
  <c r="K1648" i="5"/>
  <c r="J1647" i="5"/>
  <c r="K1647" i="5"/>
  <c r="J1646" i="5"/>
  <c r="K1646" i="5"/>
  <c r="J1645" i="5"/>
  <c r="K1645" i="5"/>
  <c r="J1644" i="5"/>
  <c r="K1644" i="5"/>
  <c r="J1643" i="5"/>
  <c r="K1643" i="5"/>
  <c r="J1642" i="5"/>
  <c r="K1642" i="5"/>
  <c r="J1641" i="5"/>
  <c r="K1641" i="5"/>
  <c r="J1640" i="5"/>
  <c r="K1640" i="5"/>
  <c r="J1639" i="5"/>
  <c r="K1639" i="5"/>
  <c r="J1638" i="5"/>
  <c r="K1638" i="5"/>
  <c r="J1637" i="5"/>
  <c r="K1637" i="5"/>
  <c r="J1636" i="5"/>
  <c r="K1636" i="5"/>
  <c r="J1635" i="5"/>
  <c r="K1635" i="5"/>
  <c r="J1634" i="5"/>
  <c r="K1634" i="5"/>
  <c r="J1633" i="5"/>
  <c r="K1633" i="5"/>
  <c r="J1632" i="5"/>
  <c r="K1632" i="5"/>
  <c r="J1631" i="5"/>
  <c r="K1631" i="5"/>
  <c r="J1630" i="5"/>
  <c r="K1630" i="5"/>
  <c r="J1629" i="5"/>
  <c r="K1629" i="5"/>
  <c r="J1628" i="5"/>
  <c r="K1628" i="5"/>
  <c r="J1627" i="5"/>
  <c r="K1627" i="5"/>
  <c r="J1626" i="5"/>
  <c r="K1626" i="5"/>
  <c r="J1625" i="5"/>
  <c r="K1625" i="5"/>
  <c r="J1624" i="5"/>
  <c r="K1624" i="5"/>
  <c r="J1623" i="5"/>
  <c r="K1623" i="5"/>
  <c r="J1622" i="5"/>
  <c r="K1622" i="5"/>
  <c r="J1621" i="5"/>
  <c r="K1621" i="5"/>
  <c r="J1620" i="5"/>
  <c r="K1620" i="5"/>
  <c r="J1619" i="5"/>
  <c r="K1619" i="5"/>
  <c r="J1618" i="5"/>
  <c r="K1618" i="5"/>
  <c r="J1617" i="5"/>
  <c r="K1617" i="5"/>
  <c r="J1616" i="5"/>
  <c r="K1616" i="5"/>
  <c r="J1615" i="5"/>
  <c r="K1615" i="5"/>
  <c r="J1614" i="5"/>
  <c r="K1614" i="5"/>
  <c r="J1613" i="5"/>
  <c r="K1613" i="5"/>
  <c r="J1612" i="5"/>
  <c r="K1612" i="5"/>
  <c r="J1611" i="5"/>
  <c r="K1611" i="5"/>
  <c r="J1610" i="5"/>
  <c r="K1610" i="5"/>
  <c r="J1609" i="5"/>
  <c r="K1609" i="5"/>
  <c r="J1608" i="5"/>
  <c r="K1608" i="5"/>
  <c r="J1607" i="5"/>
  <c r="K1607" i="5"/>
  <c r="J1606" i="5"/>
  <c r="K1606" i="5"/>
  <c r="J1605" i="5"/>
  <c r="K1605" i="5"/>
  <c r="J1604" i="5"/>
  <c r="K1604" i="5"/>
  <c r="J1603" i="5"/>
  <c r="K1603" i="5"/>
  <c r="J1602" i="5"/>
  <c r="K1602" i="5"/>
  <c r="J1601" i="5"/>
  <c r="K1601" i="5"/>
  <c r="J1600" i="5"/>
  <c r="K1600" i="5"/>
  <c r="J1599" i="5"/>
  <c r="K1599" i="5"/>
  <c r="J1598" i="5"/>
  <c r="K1598" i="5"/>
  <c r="J1597" i="5"/>
  <c r="K1597" i="5"/>
  <c r="J1596" i="5"/>
  <c r="K1596" i="5"/>
  <c r="J1595" i="5"/>
  <c r="K1595" i="5"/>
  <c r="J1594" i="5"/>
  <c r="K1594" i="5"/>
  <c r="J1593" i="5"/>
  <c r="K1593" i="5"/>
  <c r="J1592" i="5"/>
  <c r="K1592" i="5"/>
  <c r="J1591" i="5"/>
  <c r="K1591" i="5"/>
  <c r="J1590" i="5"/>
  <c r="K1590" i="5"/>
  <c r="J1589" i="5"/>
  <c r="K1589" i="5"/>
  <c r="J1588" i="5"/>
  <c r="K1588" i="5"/>
  <c r="J1587" i="5"/>
  <c r="K1587" i="5"/>
  <c r="J1586" i="5"/>
  <c r="K1586" i="5"/>
  <c r="J1585" i="5"/>
  <c r="K1585" i="5"/>
  <c r="J1584" i="5"/>
  <c r="K1584" i="5"/>
  <c r="J1583" i="5"/>
  <c r="K1583" i="5"/>
  <c r="J1582" i="5"/>
  <c r="K1582" i="5"/>
  <c r="J1581" i="5"/>
  <c r="K1581" i="5"/>
  <c r="J1580" i="5"/>
  <c r="K1580" i="5"/>
  <c r="J1579" i="5"/>
  <c r="K1579" i="5"/>
  <c r="J1578" i="5"/>
  <c r="K1578" i="5"/>
  <c r="J1577" i="5"/>
  <c r="K1577" i="5"/>
  <c r="J1576" i="5"/>
  <c r="K1576" i="5"/>
  <c r="J1575" i="5"/>
  <c r="K1575" i="5"/>
  <c r="J1574" i="5"/>
  <c r="K1574" i="5"/>
  <c r="J1573" i="5"/>
  <c r="K1573" i="5"/>
  <c r="J1572" i="5"/>
  <c r="K1572" i="5"/>
  <c r="J1571" i="5"/>
  <c r="K1571" i="5"/>
  <c r="J1570" i="5"/>
  <c r="K1570" i="5"/>
  <c r="J1569" i="5"/>
  <c r="K1569" i="5"/>
  <c r="J1568" i="5"/>
  <c r="K1568" i="5"/>
  <c r="J1567" i="5"/>
  <c r="K1567" i="5"/>
  <c r="J1566" i="5"/>
  <c r="K1566" i="5"/>
  <c r="J1565" i="5"/>
  <c r="K1565" i="5"/>
  <c r="J1564" i="5"/>
  <c r="K1564" i="5"/>
  <c r="J1563" i="5"/>
  <c r="K1563" i="5"/>
  <c r="J1562" i="5"/>
  <c r="K1562" i="5"/>
  <c r="J1561" i="5"/>
  <c r="K1561" i="5"/>
  <c r="J1560" i="5"/>
  <c r="K1560" i="5"/>
  <c r="J1559" i="5"/>
  <c r="K1559" i="5"/>
  <c r="J1558" i="5"/>
  <c r="K1558" i="5"/>
  <c r="J1557" i="5"/>
  <c r="K1557" i="5"/>
  <c r="J1556" i="5"/>
  <c r="K1556" i="5"/>
  <c r="J1555" i="5"/>
  <c r="K1555" i="5"/>
  <c r="J1554" i="5"/>
  <c r="K1554" i="5"/>
  <c r="J1553" i="5"/>
  <c r="K1553" i="5"/>
  <c r="J1552" i="5"/>
  <c r="K1552" i="5"/>
  <c r="J1551" i="5"/>
  <c r="K1551" i="5"/>
  <c r="J1550" i="5"/>
  <c r="K1550" i="5"/>
  <c r="J1549" i="5"/>
  <c r="K1549" i="5"/>
  <c r="J1548" i="5"/>
  <c r="K1548" i="5"/>
  <c r="J1547" i="5"/>
  <c r="K1547" i="5"/>
  <c r="J1546" i="5"/>
  <c r="K1546" i="5"/>
  <c r="J1545" i="5"/>
  <c r="K1545" i="5"/>
  <c r="J1544" i="5"/>
  <c r="K1544" i="5"/>
  <c r="J1543" i="5"/>
  <c r="K1543" i="5"/>
  <c r="J1542" i="5"/>
  <c r="K1542" i="5"/>
  <c r="J1541" i="5"/>
  <c r="K1541" i="5"/>
  <c r="J1540" i="5"/>
  <c r="K1540" i="5"/>
  <c r="J1539" i="5"/>
  <c r="K1539" i="5"/>
  <c r="J1538" i="5"/>
  <c r="K1538" i="5"/>
  <c r="J1537" i="5"/>
  <c r="K1537" i="5"/>
  <c r="J1536" i="5"/>
  <c r="K1536" i="5"/>
  <c r="J1535" i="5"/>
  <c r="K1535" i="5"/>
  <c r="J1534" i="5"/>
  <c r="K1534" i="5"/>
  <c r="J1533" i="5"/>
  <c r="K1533" i="5"/>
  <c r="J1532" i="5"/>
  <c r="K1532" i="5"/>
  <c r="J1531" i="5"/>
  <c r="K1531" i="5"/>
  <c r="J1530" i="5"/>
  <c r="K1530" i="5"/>
  <c r="J1529" i="5"/>
  <c r="K1529" i="5"/>
  <c r="J1528" i="5"/>
  <c r="K1528" i="5"/>
  <c r="J1527" i="5"/>
  <c r="K1527" i="5"/>
  <c r="J1526" i="5"/>
  <c r="K1526" i="5"/>
  <c r="J1525" i="5"/>
  <c r="K1525" i="5"/>
  <c r="J1524" i="5"/>
  <c r="K1524" i="5"/>
  <c r="J1523" i="5"/>
  <c r="K1523" i="5"/>
  <c r="J1522" i="5"/>
  <c r="K1522" i="5"/>
  <c r="J1521" i="5"/>
  <c r="K1521" i="5"/>
  <c r="J1520" i="5"/>
  <c r="K1520" i="5"/>
  <c r="J1519" i="5"/>
  <c r="K1519" i="5"/>
  <c r="J1518" i="5"/>
  <c r="K1518" i="5"/>
  <c r="J1517" i="5"/>
  <c r="K1517" i="5"/>
  <c r="J1516" i="5"/>
  <c r="K1516" i="5"/>
  <c r="J1515" i="5"/>
  <c r="K1515" i="5"/>
  <c r="J1514" i="5"/>
  <c r="K1514" i="5"/>
  <c r="J1513" i="5"/>
  <c r="K1513" i="5"/>
  <c r="J1512" i="5"/>
  <c r="K1512" i="5"/>
  <c r="J1511" i="5"/>
  <c r="K1511" i="5"/>
  <c r="J1510" i="5"/>
  <c r="K1510" i="5"/>
  <c r="J1509" i="5"/>
  <c r="K1509" i="5"/>
  <c r="J1508" i="5"/>
  <c r="K1508" i="5"/>
  <c r="J1507" i="5"/>
  <c r="K1507" i="5"/>
  <c r="J1506" i="5"/>
  <c r="K1506" i="5"/>
  <c r="J1505" i="5"/>
  <c r="K1505" i="5"/>
  <c r="J1504" i="5"/>
  <c r="K1504" i="5"/>
  <c r="J1503" i="5"/>
  <c r="K1503" i="5"/>
  <c r="J1502" i="5"/>
  <c r="K1502" i="5"/>
  <c r="J1501" i="5"/>
  <c r="K1501" i="5"/>
  <c r="J1500" i="5"/>
  <c r="K1500" i="5"/>
  <c r="J1499" i="5"/>
  <c r="K1499" i="5"/>
  <c r="J1498" i="5"/>
  <c r="K1498" i="5"/>
  <c r="J1497" i="5"/>
  <c r="K1497" i="5"/>
  <c r="J1496" i="5"/>
  <c r="K1496" i="5"/>
  <c r="J1495" i="5"/>
  <c r="K1495" i="5"/>
  <c r="J1494" i="5"/>
  <c r="K1494" i="5"/>
  <c r="J1493" i="5"/>
  <c r="K1493" i="5"/>
  <c r="J1492" i="5"/>
  <c r="K1492" i="5"/>
  <c r="J1491" i="5"/>
  <c r="K1491" i="5"/>
  <c r="J1490" i="5"/>
  <c r="K1490" i="5"/>
  <c r="J1489" i="5"/>
  <c r="K1489" i="5"/>
  <c r="J1488" i="5"/>
  <c r="K1488" i="5"/>
  <c r="J1487" i="5"/>
  <c r="K1487" i="5"/>
  <c r="J1486" i="5"/>
  <c r="K1486" i="5"/>
  <c r="J1485" i="5"/>
  <c r="K1485" i="5"/>
  <c r="J1484" i="5"/>
  <c r="K1484" i="5"/>
  <c r="J1483" i="5"/>
  <c r="K1483" i="5"/>
  <c r="J1482" i="5"/>
  <c r="K1482" i="5"/>
  <c r="J1481" i="5"/>
  <c r="K1481" i="5"/>
  <c r="J1480" i="5"/>
  <c r="K1480" i="5"/>
  <c r="J1479" i="5"/>
  <c r="K1479" i="5"/>
  <c r="J1478" i="5"/>
  <c r="K1478" i="5"/>
  <c r="J1477" i="5"/>
  <c r="K1477" i="5"/>
  <c r="J1476" i="5"/>
  <c r="K1476" i="5"/>
  <c r="J1475" i="5"/>
  <c r="K1475" i="5"/>
  <c r="J1474" i="5"/>
  <c r="K1474" i="5"/>
  <c r="J1473" i="5"/>
  <c r="K1473" i="5"/>
  <c r="J1472" i="5"/>
  <c r="K1472" i="5"/>
  <c r="J1471" i="5"/>
  <c r="K1471" i="5"/>
  <c r="J1470" i="5"/>
  <c r="K1470" i="5"/>
  <c r="J1469" i="5"/>
  <c r="K1469" i="5"/>
  <c r="J1468" i="5"/>
  <c r="K1468" i="5"/>
  <c r="J1467" i="5"/>
  <c r="K1467" i="5"/>
  <c r="J1466" i="5"/>
  <c r="K1466" i="5"/>
  <c r="J1465" i="5"/>
  <c r="K1465" i="5"/>
  <c r="J1464" i="5"/>
  <c r="K1464" i="5"/>
  <c r="J1463" i="5"/>
  <c r="K1463" i="5"/>
  <c r="J1462" i="5"/>
  <c r="K1462" i="5"/>
  <c r="J1461" i="5"/>
  <c r="K1461" i="5"/>
  <c r="J1460" i="5"/>
  <c r="K1460" i="5"/>
  <c r="J1459" i="5"/>
  <c r="K1459" i="5"/>
  <c r="J1458" i="5"/>
  <c r="K1458" i="5"/>
  <c r="J1457" i="5"/>
  <c r="K1457" i="5"/>
  <c r="J1456" i="5"/>
  <c r="K1456" i="5"/>
  <c r="J1455" i="5"/>
  <c r="K1455" i="5"/>
  <c r="J1454" i="5"/>
  <c r="K1454" i="5"/>
  <c r="J1453" i="5"/>
  <c r="K1453" i="5"/>
  <c r="J1452" i="5"/>
  <c r="K1452" i="5"/>
  <c r="J1451" i="5"/>
  <c r="K1451" i="5"/>
  <c r="J1450" i="5"/>
  <c r="K1450" i="5"/>
  <c r="J1449" i="5"/>
  <c r="K1449" i="5"/>
  <c r="J1448" i="5"/>
  <c r="K1448" i="5"/>
  <c r="J1447" i="5"/>
  <c r="K1447" i="5"/>
  <c r="J1446" i="5"/>
  <c r="K1446" i="5"/>
  <c r="J1445" i="5"/>
  <c r="K1445" i="5"/>
  <c r="J1444" i="5"/>
  <c r="K1444" i="5"/>
  <c r="J1443" i="5"/>
  <c r="K1443" i="5"/>
  <c r="J1442" i="5"/>
  <c r="K1442" i="5"/>
  <c r="J1441" i="5"/>
  <c r="K1441" i="5"/>
  <c r="J1440" i="5"/>
  <c r="K1440" i="5"/>
  <c r="J1439" i="5"/>
  <c r="K1439" i="5"/>
  <c r="J1438" i="5"/>
  <c r="K1438" i="5"/>
  <c r="J1437" i="5"/>
  <c r="K1437" i="5"/>
  <c r="J1436" i="5"/>
  <c r="K1436" i="5"/>
  <c r="J1435" i="5"/>
  <c r="K1435" i="5"/>
  <c r="J1434" i="5"/>
  <c r="K1434" i="5"/>
  <c r="J1433" i="5"/>
  <c r="K1433" i="5"/>
  <c r="J1432" i="5"/>
  <c r="K1432" i="5"/>
  <c r="J1431" i="5"/>
  <c r="K1431" i="5"/>
  <c r="J1430" i="5"/>
  <c r="K1430" i="5"/>
  <c r="J1429" i="5"/>
  <c r="K1429" i="5"/>
  <c r="J1428" i="5" l="1"/>
  <c r="K1428" i="5"/>
  <c r="J1427" i="5"/>
  <c r="K1427" i="5"/>
  <c r="J1426" i="5"/>
  <c r="K1426" i="5"/>
  <c r="J1425" i="5"/>
  <c r="K1425" i="5"/>
  <c r="J1424" i="5"/>
  <c r="K1424" i="5"/>
  <c r="J1423" i="5"/>
  <c r="K1423" i="5"/>
  <c r="J1422" i="5"/>
  <c r="K1422" i="5"/>
  <c r="J1421" i="5"/>
  <c r="K1421" i="5"/>
  <c r="J1420" i="5"/>
  <c r="K1420" i="5"/>
  <c r="J1419" i="5"/>
  <c r="K1419" i="5"/>
  <c r="J1418" i="5"/>
  <c r="K1418" i="5"/>
  <c r="J1417" i="5"/>
  <c r="K1417" i="5"/>
  <c r="J1416" i="5"/>
  <c r="K1416" i="5"/>
  <c r="J1415" i="5"/>
  <c r="K1415" i="5"/>
  <c r="J1414" i="5"/>
  <c r="K1414" i="5"/>
  <c r="J1413" i="5"/>
  <c r="K1413" i="5"/>
  <c r="J1412" i="5"/>
  <c r="K1412" i="5"/>
  <c r="J1411" i="5"/>
  <c r="K1411" i="5"/>
  <c r="J1410" i="5"/>
  <c r="K1410" i="5"/>
  <c r="J1409" i="5"/>
  <c r="K1409" i="5"/>
  <c r="J1408" i="5"/>
  <c r="K1408" i="5"/>
  <c r="J1407" i="5"/>
  <c r="K1407" i="5"/>
  <c r="J1406" i="5"/>
  <c r="K1406" i="5"/>
  <c r="J1405" i="5"/>
  <c r="K1405" i="5"/>
  <c r="J1404" i="5"/>
  <c r="K1404" i="5"/>
  <c r="J1403" i="5"/>
  <c r="K1403" i="5"/>
  <c r="J1402" i="5"/>
  <c r="K1402" i="5"/>
  <c r="J1401" i="5"/>
  <c r="K1401" i="5"/>
  <c r="J1400" i="5"/>
  <c r="K1400" i="5"/>
  <c r="J1399" i="5"/>
  <c r="K1399" i="5"/>
  <c r="J1398" i="5"/>
  <c r="K1398" i="5"/>
  <c r="J1397" i="5"/>
  <c r="K1397" i="5"/>
  <c r="J1396" i="5"/>
  <c r="K1396" i="5"/>
  <c r="J1395" i="5"/>
  <c r="K1395" i="5"/>
  <c r="J1394" i="5"/>
  <c r="K1394" i="5"/>
  <c r="J1393" i="5"/>
  <c r="K1393" i="5"/>
  <c r="J1392" i="5"/>
  <c r="K1392" i="5"/>
  <c r="J1391" i="5"/>
  <c r="K1391" i="5"/>
  <c r="J1390" i="5"/>
  <c r="K1390" i="5"/>
  <c r="J1389" i="5"/>
  <c r="K1389" i="5"/>
  <c r="J1388" i="5"/>
  <c r="K1388" i="5"/>
  <c r="J1387" i="5"/>
  <c r="K1387" i="5"/>
  <c r="J1386" i="5"/>
  <c r="K1386" i="5"/>
  <c r="J1385" i="5"/>
  <c r="K1385" i="5"/>
  <c r="J1384" i="5"/>
  <c r="K1384" i="5"/>
  <c r="J1383" i="5"/>
  <c r="K1383" i="5"/>
  <c r="J1382" i="5"/>
  <c r="K1382" i="5"/>
  <c r="J1381" i="5"/>
  <c r="K1381" i="5"/>
  <c r="J1380" i="5"/>
  <c r="K1380" i="5"/>
  <c r="J1379" i="5"/>
  <c r="K1379" i="5"/>
  <c r="J1378" i="5"/>
  <c r="K1378" i="5"/>
  <c r="J1377" i="5"/>
  <c r="K1377" i="5"/>
  <c r="J1376" i="5"/>
  <c r="K1376" i="5"/>
  <c r="J1375" i="5"/>
  <c r="K1375" i="5"/>
  <c r="J1374" i="5"/>
  <c r="K1374" i="5"/>
  <c r="J1373" i="5"/>
  <c r="K1373" i="5"/>
  <c r="J1372" i="5"/>
  <c r="K1372" i="5"/>
  <c r="J1371" i="5"/>
  <c r="K1371" i="5"/>
  <c r="J1370" i="5"/>
  <c r="K1370" i="5"/>
  <c r="J1369" i="5"/>
  <c r="K1369" i="5"/>
  <c r="J1368" i="5"/>
  <c r="K1368" i="5"/>
  <c r="J1367" i="5"/>
  <c r="K1367" i="5"/>
  <c r="J1366" i="5"/>
  <c r="K1366" i="5"/>
  <c r="J1365" i="5"/>
  <c r="K1365" i="5"/>
  <c r="J1364" i="5"/>
  <c r="K1364" i="5"/>
  <c r="J1363" i="5"/>
  <c r="K1363" i="5"/>
  <c r="J1362" i="5"/>
  <c r="K1362" i="5"/>
  <c r="J1361" i="5"/>
  <c r="K1361" i="5"/>
  <c r="J1360" i="5"/>
  <c r="K1360" i="5"/>
  <c r="J1359" i="5"/>
  <c r="K1359" i="5"/>
  <c r="J1358" i="5"/>
  <c r="K1358" i="5"/>
  <c r="J1357" i="5"/>
  <c r="K1357" i="5"/>
  <c r="J1356" i="5"/>
  <c r="K1356" i="5"/>
  <c r="J1355" i="5"/>
  <c r="K1355" i="5"/>
  <c r="J1354" i="5"/>
  <c r="K1354" i="5"/>
  <c r="J1353" i="5"/>
  <c r="K1353" i="5"/>
  <c r="J1352" i="5"/>
  <c r="K1352" i="5"/>
  <c r="J1351" i="5"/>
  <c r="K1351" i="5"/>
  <c r="J1350" i="5"/>
  <c r="K1350" i="5"/>
  <c r="J1349" i="5"/>
  <c r="K1349" i="5"/>
  <c r="J1348" i="5"/>
  <c r="K1348" i="5"/>
  <c r="J1347" i="5"/>
  <c r="K1347" i="5"/>
  <c r="J1346" i="5"/>
  <c r="K1346" i="5"/>
  <c r="J1345" i="5"/>
  <c r="K1345" i="5"/>
  <c r="J1344" i="5"/>
  <c r="K1344" i="5"/>
  <c r="J1343" i="5"/>
  <c r="K1343" i="5"/>
  <c r="J1342" i="5"/>
  <c r="K1342" i="5"/>
  <c r="J1341" i="5"/>
  <c r="K1341" i="5"/>
  <c r="J1340" i="5"/>
  <c r="K1340" i="5"/>
  <c r="J1339" i="5"/>
  <c r="K1339" i="5"/>
  <c r="J1338" i="5"/>
  <c r="K1338" i="5"/>
  <c r="J1337" i="5"/>
  <c r="K1337" i="5"/>
  <c r="J1336" i="5"/>
  <c r="K1336" i="5"/>
  <c r="J1335" i="5"/>
  <c r="K1335" i="5"/>
  <c r="J1334" i="5"/>
  <c r="K1334" i="5"/>
  <c r="J1333" i="5"/>
  <c r="K1333" i="5"/>
  <c r="J1332" i="5"/>
  <c r="K1332" i="5"/>
  <c r="J1331" i="5"/>
  <c r="K1331" i="5"/>
  <c r="J1330" i="5"/>
  <c r="K1330" i="5"/>
  <c r="J1329" i="5"/>
  <c r="K1329" i="5"/>
  <c r="J1328" i="5"/>
  <c r="K1328" i="5"/>
  <c r="J1327" i="5"/>
  <c r="K1327" i="5"/>
  <c r="J1326" i="5"/>
  <c r="K1326" i="5"/>
  <c r="J1325" i="5"/>
  <c r="K1325" i="5"/>
  <c r="J1324" i="5"/>
  <c r="K1324" i="5"/>
  <c r="J1323" i="5"/>
  <c r="K1323" i="5"/>
  <c r="J1322" i="5"/>
  <c r="K1322" i="5"/>
  <c r="J1321" i="5"/>
  <c r="K1321" i="5"/>
  <c r="J1320" i="5"/>
  <c r="K1320" i="5"/>
  <c r="J1319" i="5"/>
  <c r="K1319" i="5"/>
  <c r="J1318" i="5"/>
  <c r="K1318" i="5"/>
  <c r="J1317" i="5"/>
  <c r="K1317" i="5"/>
  <c r="J1316" i="5"/>
  <c r="K1316" i="5"/>
  <c r="J1315" i="5"/>
  <c r="K1315" i="5"/>
  <c r="J1314" i="5"/>
  <c r="K1314" i="5"/>
  <c r="J1313" i="5"/>
  <c r="K1313" i="5"/>
  <c r="J1312" i="5"/>
  <c r="K1312" i="5"/>
  <c r="J1311" i="5"/>
  <c r="K1311" i="5"/>
  <c r="J1310" i="5"/>
  <c r="K1310" i="5"/>
  <c r="J1309" i="5"/>
  <c r="K1309" i="5"/>
  <c r="J1308" i="5"/>
  <c r="K1308" i="5"/>
  <c r="J1307" i="5"/>
  <c r="K1307" i="5"/>
  <c r="J1306" i="5" l="1"/>
  <c r="K1306" i="5"/>
  <c r="J1305" i="5"/>
  <c r="K1305" i="5"/>
  <c r="J1304" i="5"/>
  <c r="K1304" i="5"/>
  <c r="J1303" i="5"/>
  <c r="K1303" i="5"/>
  <c r="J1302" i="5"/>
  <c r="K1302" i="5"/>
  <c r="J1301" i="5"/>
  <c r="K1301" i="5"/>
  <c r="J1300" i="5"/>
  <c r="K1300" i="5"/>
  <c r="J1299" i="5"/>
  <c r="K1299" i="5"/>
  <c r="J1298" i="5"/>
  <c r="K1298" i="5"/>
  <c r="J1297" i="5"/>
  <c r="K1297" i="5"/>
  <c r="J1296" i="5"/>
  <c r="K1296" i="5"/>
  <c r="J1295" i="5"/>
  <c r="K1295" i="5"/>
  <c r="J1294" i="5"/>
  <c r="K1294" i="5"/>
  <c r="J1293" i="5"/>
  <c r="K1293" i="5"/>
  <c r="J1292" i="5"/>
  <c r="K1292" i="5"/>
  <c r="J1291" i="5"/>
  <c r="K1291" i="5"/>
  <c r="J1290" i="5"/>
  <c r="K1290" i="5"/>
  <c r="J1289" i="5"/>
  <c r="K1289" i="5"/>
  <c r="J1288" i="5"/>
  <c r="K1288" i="5"/>
  <c r="J1287" i="5"/>
  <c r="K1287" i="5"/>
  <c r="J1286" i="5"/>
  <c r="K1286" i="5"/>
  <c r="J1285" i="5"/>
  <c r="K1285" i="5"/>
  <c r="J1284" i="5"/>
  <c r="K1284" i="5"/>
  <c r="J1283" i="5"/>
  <c r="K1283" i="5"/>
  <c r="J1282" i="5"/>
  <c r="K1282" i="5"/>
  <c r="J1281" i="5"/>
  <c r="K1281" i="5"/>
  <c r="J1280" i="5"/>
  <c r="K1280" i="5"/>
  <c r="J1279" i="5"/>
  <c r="K1279" i="5"/>
  <c r="J1278" i="5"/>
  <c r="K1278" i="5"/>
  <c r="J1277" i="5"/>
  <c r="K1277" i="5"/>
  <c r="J1276" i="5"/>
  <c r="K1276" i="5"/>
  <c r="J1275" i="5"/>
  <c r="K1275" i="5"/>
  <c r="J1274" i="5"/>
  <c r="K1274" i="5"/>
  <c r="J1273" i="5"/>
  <c r="K1273" i="5"/>
  <c r="J1272" i="5"/>
  <c r="K1272" i="5"/>
  <c r="J1271" i="5"/>
  <c r="K1271" i="5"/>
  <c r="J1270" i="5"/>
  <c r="K1270" i="5"/>
  <c r="J1269" i="5"/>
  <c r="K1269" i="5"/>
  <c r="J1268" i="5"/>
  <c r="K1268" i="5"/>
  <c r="J1267" i="5"/>
  <c r="K1267" i="5"/>
  <c r="J1266" i="5"/>
  <c r="K1266" i="5"/>
  <c r="J1265" i="5"/>
  <c r="K1265" i="5"/>
  <c r="J1264" i="5"/>
  <c r="K1264" i="5"/>
  <c r="J1263" i="5"/>
  <c r="K1263" i="5"/>
  <c r="J1262" i="5"/>
  <c r="K1262" i="5"/>
  <c r="J1261" i="5"/>
  <c r="K1261" i="5"/>
  <c r="J1260" i="5"/>
  <c r="K1260" i="5"/>
  <c r="J1259" i="5"/>
  <c r="K1259" i="5"/>
  <c r="J1258" i="5"/>
  <c r="K1258" i="5"/>
  <c r="J1257" i="5"/>
  <c r="K1257" i="5"/>
  <c r="J1256" i="5"/>
  <c r="K1256" i="5"/>
  <c r="J1255" i="5"/>
  <c r="K1255" i="5"/>
  <c r="J1254" i="5"/>
  <c r="K1254" i="5"/>
  <c r="J1253" i="5"/>
  <c r="K1253" i="5"/>
  <c r="J1252" i="5"/>
  <c r="K1252" i="5"/>
  <c r="J1251" i="5"/>
  <c r="K1251" i="5"/>
  <c r="J1250" i="5"/>
  <c r="K1250" i="5"/>
  <c r="J1249" i="5"/>
  <c r="K1249" i="5"/>
  <c r="J1248" i="5"/>
  <c r="K1248" i="5"/>
  <c r="J1247" i="5"/>
  <c r="K1247" i="5"/>
  <c r="J1246" i="5"/>
  <c r="K1246" i="5"/>
  <c r="J1245" i="5"/>
  <c r="K1245" i="5"/>
  <c r="J1244" i="5"/>
  <c r="K1244" i="5"/>
  <c r="J1243" i="5"/>
  <c r="K1243" i="5"/>
  <c r="J1242" i="5"/>
  <c r="K1242" i="5"/>
  <c r="J1241" i="5"/>
  <c r="K1241" i="5"/>
  <c r="J1240" i="5"/>
  <c r="K1240" i="5"/>
  <c r="J1239" i="5"/>
  <c r="K1239" i="5"/>
  <c r="J1238" i="5"/>
  <c r="K1238" i="5"/>
  <c r="J1237" i="5"/>
  <c r="K1237" i="5"/>
  <c r="J1236" i="5"/>
  <c r="K1236" i="5"/>
  <c r="J1235" i="5"/>
  <c r="K1235" i="5"/>
  <c r="J1234" i="5"/>
  <c r="K1234" i="5"/>
  <c r="J1233" i="5"/>
  <c r="K1233" i="5"/>
  <c r="J1232" i="5"/>
  <c r="K1232" i="5"/>
  <c r="J1231" i="5"/>
  <c r="K1231" i="5"/>
  <c r="J1230" i="5"/>
  <c r="K1230" i="5"/>
  <c r="J1229" i="5"/>
  <c r="K1229" i="5"/>
  <c r="J1228" i="5"/>
  <c r="K1228" i="5"/>
  <c r="J1227" i="5"/>
  <c r="K1227" i="5"/>
  <c r="J1226" i="5"/>
  <c r="K1226" i="5"/>
  <c r="J1225" i="5"/>
  <c r="K1225" i="5"/>
  <c r="J1224" i="5"/>
  <c r="K1224" i="5"/>
  <c r="J1223" i="5"/>
  <c r="K1223" i="5"/>
  <c r="J1222" i="5"/>
  <c r="K1222" i="5"/>
  <c r="J1221" i="5"/>
  <c r="K1221" i="5"/>
  <c r="J1220" i="5"/>
  <c r="K1220" i="5"/>
  <c r="J1219" i="5"/>
  <c r="K1219" i="5"/>
  <c r="J1218" i="5"/>
  <c r="K1218" i="5"/>
  <c r="J1217" i="5"/>
  <c r="K1217" i="5"/>
  <c r="J1216" i="5"/>
  <c r="K1216" i="5"/>
  <c r="J1215" i="5"/>
  <c r="K1215" i="5"/>
  <c r="J1214" i="5" l="1"/>
  <c r="K1214" i="5"/>
  <c r="J1213" i="5"/>
  <c r="K1213" i="5"/>
  <c r="J1212" i="5"/>
  <c r="K1212" i="5"/>
  <c r="J1211" i="5"/>
  <c r="K1211" i="5"/>
  <c r="J1210" i="5"/>
  <c r="K1210" i="5"/>
  <c r="J1209" i="5"/>
  <c r="K1209" i="5"/>
  <c r="J1208" i="5"/>
  <c r="K1208" i="5"/>
  <c r="J1207" i="5"/>
  <c r="K1207" i="5"/>
  <c r="J1206" i="5"/>
  <c r="K1206" i="5"/>
  <c r="J1205" i="5"/>
  <c r="K1205" i="5"/>
  <c r="J1204" i="5"/>
  <c r="K1204" i="5"/>
  <c r="J1203" i="5"/>
  <c r="K1203" i="5"/>
  <c r="J1202" i="5"/>
  <c r="K1202" i="5"/>
  <c r="J1201" i="5"/>
  <c r="K1201" i="5"/>
  <c r="J1200" i="5"/>
  <c r="K1200" i="5"/>
  <c r="J1199" i="5"/>
  <c r="K1199" i="5"/>
  <c r="J1198" i="5"/>
  <c r="K1198" i="5"/>
  <c r="J1197" i="5"/>
  <c r="K1197" i="5"/>
  <c r="J1196" i="5"/>
  <c r="K1196" i="5"/>
  <c r="J1195" i="5"/>
  <c r="K1195" i="5"/>
  <c r="J1194" i="5"/>
  <c r="K1194" i="5"/>
  <c r="J1193" i="5"/>
  <c r="K1193" i="5"/>
  <c r="J1192" i="5"/>
  <c r="K1192" i="5"/>
  <c r="J1191" i="5"/>
  <c r="K1191" i="5"/>
  <c r="J1190" i="5"/>
  <c r="K1190" i="5"/>
  <c r="J1189" i="5"/>
  <c r="K1189" i="5"/>
  <c r="J1188" i="5"/>
  <c r="K1188" i="5"/>
  <c r="J1187" i="5"/>
  <c r="K1187" i="5"/>
  <c r="J1186" i="5"/>
  <c r="K1186" i="5"/>
  <c r="J1185" i="5"/>
  <c r="K1185" i="5"/>
  <c r="J1184" i="5"/>
  <c r="K1184" i="5"/>
  <c r="J1183" i="5"/>
  <c r="K1183" i="5"/>
  <c r="J1182" i="5"/>
  <c r="K1182" i="5"/>
  <c r="J1181" i="5"/>
  <c r="K1181" i="5"/>
  <c r="J1180" i="5"/>
  <c r="K1180" i="5"/>
  <c r="J1179" i="5"/>
  <c r="K1179" i="5"/>
  <c r="J1178" i="5"/>
  <c r="K1178" i="5"/>
  <c r="J1177" i="5"/>
  <c r="K1177" i="5"/>
  <c r="J1176" i="5"/>
  <c r="K1176" i="5"/>
  <c r="J1175" i="5"/>
  <c r="K1175" i="5"/>
  <c r="J1174" i="5"/>
  <c r="K1174" i="5"/>
  <c r="J1173" i="5"/>
  <c r="K1173" i="5"/>
  <c r="J1172" i="5"/>
  <c r="K1172" i="5"/>
  <c r="J1171" i="5"/>
  <c r="K1171" i="5"/>
  <c r="J1170" i="5"/>
  <c r="K1170" i="5"/>
  <c r="J1169" i="5"/>
  <c r="K1169" i="5"/>
  <c r="J1168" i="5"/>
  <c r="K1168" i="5"/>
  <c r="J1167" i="5"/>
  <c r="K1167" i="5"/>
  <c r="J1166" i="5"/>
  <c r="K1166" i="5"/>
  <c r="J1165" i="5" l="1"/>
  <c r="K1165" i="5"/>
  <c r="J1164" i="5"/>
  <c r="K1164" i="5"/>
  <c r="J1163" i="5"/>
  <c r="K1163" i="5"/>
  <c r="J1162" i="5"/>
  <c r="K1162" i="5"/>
  <c r="J1161" i="5"/>
  <c r="K1161" i="5"/>
  <c r="J1160" i="5"/>
  <c r="K1160" i="5"/>
  <c r="J1159" i="5"/>
  <c r="K1159" i="5"/>
  <c r="J1158" i="5"/>
  <c r="K1158" i="5"/>
  <c r="J1157" i="5"/>
  <c r="K1157" i="5"/>
  <c r="J1156" i="5"/>
  <c r="K1156" i="5"/>
  <c r="J1155" i="5"/>
  <c r="K1155" i="5"/>
  <c r="J1154" i="5"/>
  <c r="K1154" i="5"/>
  <c r="J1153" i="5"/>
  <c r="K1153" i="5"/>
  <c r="J1152" i="5"/>
  <c r="K1152" i="5"/>
  <c r="J1151" i="5"/>
  <c r="K1151" i="5"/>
  <c r="J1150" i="5"/>
  <c r="K1150" i="5"/>
  <c r="J1149" i="5"/>
  <c r="K1149" i="5"/>
  <c r="J1148" i="5"/>
  <c r="K1148" i="5"/>
  <c r="J1147" i="5"/>
  <c r="K1147" i="5"/>
  <c r="J1146" i="5"/>
  <c r="K1146" i="5"/>
  <c r="J1145" i="5"/>
  <c r="K1145" i="5"/>
  <c r="J1144" i="5"/>
  <c r="K1144" i="5"/>
  <c r="J1143" i="5"/>
  <c r="K1143" i="5"/>
  <c r="J1142" i="5"/>
  <c r="K1142" i="5"/>
  <c r="J1141" i="5"/>
  <c r="K1141" i="5"/>
  <c r="J1140" i="5"/>
  <c r="K1140" i="5"/>
  <c r="J1139" i="5"/>
  <c r="K1139" i="5"/>
  <c r="J1138" i="5"/>
  <c r="K1138" i="5"/>
  <c r="J1137" i="5"/>
  <c r="K1137" i="5"/>
  <c r="J1136" i="5"/>
  <c r="K1136" i="5"/>
  <c r="J1135" i="5"/>
  <c r="K1135" i="5"/>
  <c r="J1134" i="5"/>
  <c r="K1134" i="5"/>
  <c r="J1133" i="5"/>
  <c r="K1133" i="5"/>
  <c r="J1132" i="5"/>
  <c r="K1132" i="5"/>
  <c r="J1131" i="5"/>
  <c r="K1131" i="5"/>
  <c r="J1130" i="5"/>
  <c r="K1130" i="5"/>
  <c r="J1129" i="5"/>
  <c r="K1129" i="5"/>
  <c r="J1128" i="5"/>
  <c r="K1128" i="5"/>
  <c r="J1127" i="5"/>
  <c r="K1127" i="5"/>
  <c r="J1126" i="5"/>
  <c r="K1126" i="5"/>
  <c r="J1125" i="5"/>
  <c r="K1125" i="5"/>
  <c r="J1124" i="5"/>
  <c r="K1124" i="5"/>
  <c r="J1123" i="5"/>
  <c r="K1123" i="5"/>
  <c r="J1122" i="5"/>
  <c r="K1122" i="5"/>
  <c r="J1121" i="5"/>
  <c r="K1121" i="5"/>
  <c r="J1120" i="5"/>
  <c r="K1120" i="5"/>
  <c r="J1119" i="5"/>
  <c r="K1119" i="5"/>
  <c r="J1118" i="5"/>
  <c r="K1118" i="5"/>
  <c r="J1117" i="5"/>
  <c r="K1117" i="5"/>
  <c r="J1116" i="5"/>
  <c r="K1116" i="5"/>
  <c r="J1115" i="5"/>
  <c r="K1115" i="5"/>
  <c r="J1114" i="5"/>
  <c r="K1114" i="5"/>
  <c r="J1113" i="5"/>
  <c r="K1113" i="5"/>
  <c r="J1112" i="5"/>
  <c r="K1112" i="5"/>
  <c r="J1111" i="5"/>
  <c r="K1111" i="5"/>
  <c r="J1110" i="5"/>
  <c r="K1110" i="5"/>
  <c r="J1109" i="5"/>
  <c r="K1109" i="5"/>
  <c r="J1108" i="5"/>
  <c r="K1108" i="5"/>
  <c r="J1107" i="5"/>
  <c r="K1107" i="5"/>
  <c r="J1106" i="5"/>
  <c r="K1106" i="5"/>
  <c r="J1105" i="5"/>
  <c r="K1105" i="5"/>
  <c r="J1104" i="5"/>
  <c r="K1104" i="5"/>
  <c r="J1103" i="5"/>
  <c r="K1103" i="5"/>
  <c r="J1102" i="5"/>
  <c r="K1102" i="5"/>
  <c r="J1101" i="5"/>
  <c r="K1101" i="5"/>
  <c r="J1100" i="5"/>
  <c r="K1100" i="5"/>
  <c r="J1099" i="5"/>
  <c r="K1099" i="5"/>
  <c r="J1098" i="5"/>
  <c r="K1098" i="5"/>
  <c r="J1097" i="5"/>
  <c r="K1097" i="5"/>
  <c r="J1096" i="5"/>
  <c r="K1096" i="5"/>
  <c r="J1095" i="5"/>
  <c r="K1095" i="5"/>
  <c r="J1094" i="5"/>
  <c r="K1094" i="5"/>
  <c r="J1093" i="5"/>
  <c r="K1093" i="5"/>
  <c r="J1092" i="5"/>
  <c r="K1092" i="5"/>
  <c r="J1091" i="5"/>
  <c r="K1091" i="5"/>
  <c r="J1090" i="5"/>
  <c r="K1090" i="5"/>
  <c r="J1089" i="5"/>
  <c r="K1089" i="5"/>
  <c r="J1088" i="5"/>
  <c r="K1088" i="5"/>
  <c r="J1087" i="5"/>
  <c r="K1087" i="5"/>
  <c r="J1086" i="5"/>
  <c r="K1086" i="5"/>
  <c r="J1085" i="5"/>
  <c r="K1085" i="5"/>
  <c r="J1084" i="5"/>
  <c r="K1084" i="5"/>
  <c r="J1083" i="5"/>
  <c r="K1083" i="5"/>
  <c r="J1082" i="5"/>
  <c r="K1082" i="5"/>
  <c r="J1081" i="5"/>
  <c r="K1081" i="5"/>
  <c r="J1080" i="5"/>
  <c r="K1080" i="5"/>
  <c r="J1079" i="5"/>
  <c r="K1079" i="5"/>
  <c r="J1078" i="5"/>
  <c r="K1078" i="5"/>
  <c r="J1077" i="5"/>
  <c r="K1077" i="5"/>
  <c r="J1076" i="5"/>
  <c r="K1076" i="5"/>
  <c r="J1075" i="5"/>
  <c r="K1075" i="5"/>
  <c r="J1074" i="5"/>
  <c r="K1074" i="5"/>
  <c r="J1073" i="5"/>
  <c r="K1073" i="5"/>
  <c r="J1072" i="5"/>
  <c r="K1072" i="5"/>
  <c r="J1071" i="5"/>
  <c r="K1071" i="5"/>
  <c r="J1070" i="5"/>
  <c r="K1070" i="5"/>
  <c r="J1069" i="5"/>
  <c r="K1069" i="5"/>
  <c r="J1068" i="5"/>
  <c r="K1068" i="5"/>
  <c r="J1067" i="5"/>
  <c r="K1067" i="5"/>
  <c r="J1066" i="5"/>
  <c r="K1066" i="5"/>
  <c r="J1065" i="5"/>
  <c r="K1065" i="5"/>
  <c r="J1064" i="5"/>
  <c r="K1064" i="5"/>
  <c r="J1063" i="5"/>
  <c r="K1063" i="5"/>
  <c r="J1062" i="5"/>
  <c r="K1062" i="5"/>
  <c r="J1061" i="5"/>
  <c r="K1061" i="5"/>
  <c r="J1060" i="5"/>
  <c r="K1060" i="5"/>
  <c r="J1059" i="5"/>
  <c r="K1059" i="5"/>
  <c r="J1058" i="5"/>
  <c r="K1058" i="5"/>
  <c r="J1057" i="5"/>
  <c r="K1057" i="5"/>
  <c r="J1056" i="5"/>
  <c r="K1056" i="5"/>
  <c r="J1055" i="5"/>
  <c r="K1055" i="5"/>
  <c r="J1054" i="5"/>
  <c r="K1054" i="5"/>
  <c r="J1053" i="5"/>
  <c r="K1053" i="5"/>
  <c r="J1052" i="5"/>
  <c r="K1052" i="5"/>
  <c r="J1051" i="5"/>
  <c r="K1051" i="5"/>
  <c r="J1050" i="5"/>
  <c r="K1050" i="5"/>
  <c r="J1049" i="5"/>
  <c r="K1049" i="5"/>
  <c r="J1048" i="5"/>
  <c r="K1048" i="5"/>
  <c r="J1047" i="5"/>
  <c r="K1047" i="5"/>
  <c r="J1046" i="5"/>
  <c r="K1046" i="5"/>
  <c r="J1045" i="5"/>
  <c r="K1045" i="5"/>
  <c r="J1044" i="5"/>
  <c r="K1044" i="5"/>
  <c r="J1043" i="5"/>
  <c r="K1043" i="5"/>
  <c r="J1042" i="5"/>
  <c r="K1042" i="5"/>
  <c r="J1041" i="5"/>
  <c r="K1041" i="5"/>
  <c r="J1040" i="5"/>
  <c r="K1040" i="5"/>
  <c r="J1039" i="5"/>
  <c r="K1039" i="5"/>
  <c r="J1038" i="5"/>
  <c r="K1038" i="5"/>
  <c r="J1037" i="5"/>
  <c r="K1037" i="5"/>
  <c r="J1036" i="5"/>
  <c r="K1036" i="5"/>
  <c r="J1035" i="5"/>
  <c r="K1035" i="5"/>
  <c r="J1034" i="5"/>
  <c r="K1034" i="5"/>
  <c r="J1033" i="5"/>
  <c r="K1033" i="5"/>
  <c r="J1032" i="5"/>
  <c r="K1032" i="5"/>
  <c r="J1031" i="5"/>
  <c r="K1031" i="5"/>
  <c r="J1030" i="5"/>
  <c r="K1030" i="5"/>
  <c r="J1029" i="5"/>
  <c r="K1029" i="5"/>
  <c r="J1028" i="5"/>
  <c r="K1028" i="5"/>
  <c r="J1027" i="5"/>
  <c r="K1027" i="5"/>
  <c r="J1026" i="5"/>
  <c r="K1026" i="5"/>
  <c r="J1025" i="5"/>
  <c r="K1025" i="5"/>
  <c r="J1024" i="5"/>
  <c r="K1024" i="5"/>
  <c r="J1023" i="5"/>
  <c r="K1023" i="5"/>
  <c r="J1022" i="5"/>
  <c r="K1022" i="5"/>
  <c r="J1021" i="5"/>
  <c r="K1021" i="5"/>
  <c r="J1020" i="5"/>
  <c r="K1020" i="5"/>
  <c r="J1019" i="5"/>
  <c r="K1019" i="5"/>
  <c r="J1018" i="5"/>
  <c r="K1018" i="5"/>
  <c r="J1017" i="5"/>
  <c r="K1017" i="5"/>
  <c r="J1016" i="5"/>
  <c r="K1016" i="5"/>
  <c r="J1015" i="5"/>
  <c r="K1015" i="5"/>
  <c r="J1014" i="5"/>
  <c r="K1014" i="5"/>
  <c r="J1013" i="5"/>
  <c r="K1013" i="5"/>
  <c r="J1012" i="5"/>
  <c r="K1012" i="5"/>
  <c r="J1011" i="5" l="1"/>
  <c r="K1011" i="5"/>
  <c r="J1010" i="5"/>
  <c r="K1010" i="5"/>
  <c r="J1009" i="5"/>
  <c r="K1009" i="5"/>
  <c r="J1008" i="5"/>
  <c r="K1008" i="5"/>
  <c r="J1007" i="5"/>
  <c r="K1007" i="5"/>
  <c r="J1006" i="5"/>
  <c r="K1006" i="5"/>
  <c r="J1005" i="5"/>
  <c r="K1005" i="5"/>
  <c r="J1004" i="5"/>
  <c r="K1004" i="5"/>
  <c r="J1003" i="5"/>
  <c r="K1003" i="5"/>
  <c r="J1002" i="5"/>
  <c r="K1002" i="5"/>
  <c r="J1001" i="5"/>
  <c r="K1001" i="5"/>
  <c r="J1000" i="5"/>
  <c r="K1000" i="5"/>
  <c r="J999" i="5"/>
  <c r="K999" i="5"/>
  <c r="J998" i="5" l="1"/>
  <c r="K998" i="5"/>
  <c r="J997" i="5"/>
  <c r="K997" i="5"/>
  <c r="J996" i="5"/>
  <c r="K996" i="5"/>
  <c r="J995" i="5"/>
  <c r="K995" i="5"/>
  <c r="J994" i="5"/>
  <c r="K994" i="5"/>
  <c r="J993" i="5"/>
  <c r="K993" i="5"/>
  <c r="J992" i="5"/>
  <c r="K992" i="5"/>
  <c r="J991" i="5"/>
  <c r="K991" i="5"/>
  <c r="J990" i="5"/>
  <c r="K990" i="5"/>
  <c r="J989" i="5"/>
  <c r="K989" i="5"/>
  <c r="J988" i="5"/>
  <c r="K988" i="5"/>
  <c r="J987" i="5"/>
  <c r="K987" i="5"/>
  <c r="J986" i="5"/>
  <c r="K986" i="5"/>
  <c r="J985" i="5"/>
  <c r="K985" i="5"/>
  <c r="J984" i="5"/>
  <c r="K984" i="5"/>
  <c r="J983" i="5"/>
  <c r="K983" i="5"/>
  <c r="J982" i="5"/>
  <c r="K982" i="5"/>
  <c r="J981" i="5"/>
  <c r="K981" i="5"/>
  <c r="J980" i="5" l="1"/>
  <c r="K980" i="5"/>
  <c r="J979" i="5"/>
  <c r="K979" i="5"/>
  <c r="J978" i="5"/>
  <c r="K978" i="5"/>
  <c r="J977" i="5"/>
  <c r="K977" i="5"/>
  <c r="J976" i="5"/>
  <c r="K976" i="5"/>
  <c r="J975" i="5"/>
  <c r="K975" i="5"/>
  <c r="J974" i="5"/>
  <c r="K974" i="5"/>
  <c r="J973" i="5"/>
  <c r="K973" i="5"/>
  <c r="J972" i="5"/>
  <c r="K972" i="5"/>
  <c r="J971" i="5"/>
  <c r="K971" i="5"/>
  <c r="J970" i="5"/>
  <c r="K970" i="5"/>
  <c r="J969" i="5"/>
  <c r="K969" i="5"/>
  <c r="J968" i="5"/>
  <c r="K968" i="5"/>
  <c r="J967" i="5"/>
  <c r="K967" i="5"/>
  <c r="J966" i="5"/>
  <c r="K966" i="5"/>
  <c r="J965" i="5"/>
  <c r="K965" i="5"/>
  <c r="J964" i="5"/>
  <c r="K964" i="5"/>
  <c r="J963" i="5"/>
  <c r="K963" i="5"/>
  <c r="J962" i="5"/>
  <c r="K962" i="5"/>
  <c r="J961" i="5"/>
  <c r="K961" i="5"/>
  <c r="J960" i="5"/>
  <c r="K960" i="5"/>
  <c r="J959" i="5"/>
  <c r="K959" i="5"/>
  <c r="J958" i="5"/>
  <c r="K958" i="5"/>
  <c r="J957" i="5"/>
  <c r="K957" i="5"/>
  <c r="J956" i="5"/>
  <c r="K956" i="5"/>
  <c r="J955" i="5"/>
  <c r="K955" i="5"/>
  <c r="J954" i="5"/>
  <c r="K954" i="5"/>
  <c r="J953" i="5"/>
  <c r="K953" i="5"/>
  <c r="J952" i="5"/>
  <c r="K952" i="5"/>
  <c r="J951" i="5"/>
  <c r="K951" i="5"/>
  <c r="J950" i="5"/>
  <c r="K950" i="5"/>
  <c r="J949" i="5"/>
  <c r="K949" i="5"/>
  <c r="J948" i="5"/>
  <c r="K948" i="5"/>
  <c r="J947" i="5"/>
  <c r="K947" i="5"/>
  <c r="J946" i="5"/>
  <c r="K946" i="5"/>
  <c r="J945" i="5"/>
  <c r="K945" i="5"/>
  <c r="J944" i="5"/>
  <c r="K944" i="5"/>
  <c r="J943" i="5"/>
  <c r="K943" i="5"/>
  <c r="J942" i="5"/>
  <c r="K942" i="5"/>
  <c r="J941" i="5"/>
  <c r="K941" i="5"/>
  <c r="J940" i="5"/>
  <c r="K940" i="5"/>
  <c r="J939" i="5"/>
  <c r="K939" i="5"/>
  <c r="J938" i="5"/>
  <c r="K938" i="5"/>
  <c r="J937" i="5"/>
  <c r="K937" i="5"/>
  <c r="J936" i="5"/>
  <c r="K936" i="5"/>
  <c r="J935" i="5"/>
  <c r="K935" i="5"/>
  <c r="J934" i="5"/>
  <c r="K934" i="5"/>
  <c r="J933" i="5"/>
  <c r="K933" i="5"/>
  <c r="J932" i="5"/>
  <c r="K932" i="5"/>
  <c r="J931" i="5"/>
  <c r="K931" i="5"/>
  <c r="J930" i="5"/>
  <c r="K930" i="5"/>
  <c r="J929" i="5"/>
  <c r="K929" i="5"/>
  <c r="J928" i="5"/>
  <c r="K928" i="5"/>
  <c r="J927" i="5"/>
  <c r="K927" i="5"/>
  <c r="J926" i="5"/>
  <c r="K926" i="5"/>
  <c r="J925" i="5"/>
  <c r="K925" i="5"/>
  <c r="J924" i="5"/>
  <c r="K924" i="5"/>
  <c r="J923" i="5"/>
  <c r="K923" i="5"/>
  <c r="J922" i="5"/>
  <c r="K922" i="5"/>
  <c r="J921" i="5"/>
  <c r="K921" i="5"/>
  <c r="J920" i="5"/>
  <c r="K920" i="5"/>
  <c r="J919" i="5"/>
  <c r="K919" i="5"/>
  <c r="J918" i="5"/>
  <c r="K918" i="5"/>
  <c r="J917" i="5"/>
  <c r="K917" i="5"/>
  <c r="J916" i="5"/>
  <c r="K916" i="5"/>
  <c r="J915" i="5"/>
  <c r="K915" i="5"/>
  <c r="J914" i="5"/>
  <c r="K914" i="5"/>
  <c r="J913" i="5"/>
  <c r="K913" i="5"/>
  <c r="J912" i="5"/>
  <c r="K912" i="5"/>
  <c r="J911" i="5"/>
  <c r="K911" i="5"/>
  <c r="J910" i="5"/>
  <c r="K910" i="5"/>
  <c r="J909" i="5"/>
  <c r="K909" i="5"/>
  <c r="J908" i="5"/>
  <c r="K908" i="5"/>
  <c r="J907" i="5"/>
  <c r="K907" i="5"/>
  <c r="J906" i="5"/>
  <c r="K906" i="5"/>
  <c r="J905" i="5"/>
  <c r="K905" i="5"/>
  <c r="J904" i="5"/>
  <c r="K904" i="5"/>
  <c r="J903" i="5"/>
  <c r="K903" i="5"/>
  <c r="J902" i="5"/>
  <c r="K902" i="5"/>
  <c r="J901" i="5"/>
  <c r="K901" i="5"/>
  <c r="J900" i="5"/>
  <c r="K900" i="5"/>
  <c r="J899" i="5"/>
  <c r="K899" i="5"/>
  <c r="J898" i="5"/>
  <c r="K898" i="5"/>
  <c r="J897" i="5"/>
  <c r="K897" i="5"/>
  <c r="J896" i="5"/>
  <c r="K896" i="5"/>
  <c r="J895" i="5"/>
  <c r="K895" i="5"/>
  <c r="J894" i="5"/>
  <c r="K894" i="5"/>
  <c r="J893" i="5"/>
  <c r="K893" i="5"/>
  <c r="J892" i="5"/>
  <c r="K892" i="5"/>
  <c r="J891" i="5"/>
  <c r="K891" i="5"/>
  <c r="J890" i="5"/>
  <c r="K890" i="5"/>
  <c r="J889" i="5"/>
  <c r="K889" i="5"/>
  <c r="J888" i="5"/>
  <c r="K888" i="5"/>
  <c r="J887" i="5"/>
  <c r="K887" i="5"/>
  <c r="J886" i="5"/>
  <c r="K886" i="5"/>
  <c r="J885" i="5"/>
  <c r="K885" i="5"/>
  <c r="J884" i="5"/>
  <c r="K884" i="5"/>
  <c r="J883" i="5"/>
  <c r="K883" i="5"/>
  <c r="J882" i="5"/>
  <c r="K882" i="5"/>
  <c r="J881" i="5"/>
  <c r="K881" i="5"/>
  <c r="J880" i="5"/>
  <c r="K880" i="5"/>
  <c r="J879" i="5"/>
  <c r="K879" i="5"/>
  <c r="J878" i="5"/>
  <c r="K878" i="5"/>
  <c r="J877" i="5"/>
  <c r="K877" i="5"/>
  <c r="J876" i="5"/>
  <c r="K876" i="5"/>
  <c r="J875" i="5"/>
  <c r="K875" i="5"/>
  <c r="J874" i="5"/>
  <c r="K874" i="5"/>
  <c r="J873" i="5"/>
  <c r="K873" i="5"/>
  <c r="J872" i="5"/>
  <c r="K872" i="5"/>
  <c r="J871" i="5"/>
  <c r="K871" i="5"/>
  <c r="J870" i="5"/>
  <c r="K870" i="5"/>
  <c r="J869" i="5"/>
  <c r="K869" i="5"/>
  <c r="J868" i="5"/>
  <c r="K868" i="5"/>
  <c r="J867" i="5"/>
  <c r="K867" i="5"/>
  <c r="J866" i="5"/>
  <c r="K866" i="5"/>
  <c r="J865" i="5"/>
  <c r="K865" i="5"/>
  <c r="J864" i="5"/>
  <c r="K864" i="5"/>
  <c r="J863" i="5"/>
  <c r="K863" i="5"/>
  <c r="J862" i="5"/>
  <c r="K862" i="5"/>
  <c r="J861" i="5"/>
  <c r="K861" i="5"/>
  <c r="J860" i="5"/>
  <c r="K860" i="5"/>
  <c r="J859" i="5"/>
  <c r="K859" i="5"/>
  <c r="J858" i="5"/>
  <c r="K858" i="5"/>
  <c r="J857" i="5"/>
  <c r="K857" i="5"/>
  <c r="J856" i="5"/>
  <c r="K856" i="5"/>
  <c r="J855" i="5"/>
  <c r="K855" i="5"/>
  <c r="J854" i="5"/>
  <c r="K854" i="5"/>
  <c r="J853" i="5"/>
  <c r="K853" i="5"/>
  <c r="J852" i="5"/>
  <c r="K852" i="5"/>
  <c r="J851" i="5"/>
  <c r="K851" i="5"/>
  <c r="J850" i="5"/>
  <c r="K850" i="5"/>
  <c r="J849" i="5"/>
  <c r="K849" i="5"/>
  <c r="J848" i="5"/>
  <c r="K848" i="5"/>
  <c r="J847" i="5"/>
  <c r="K847" i="5"/>
  <c r="J846" i="5" l="1"/>
  <c r="K846" i="5"/>
  <c r="J845" i="5"/>
  <c r="K845" i="5"/>
  <c r="J844" i="5"/>
  <c r="K844" i="5"/>
  <c r="J843" i="5"/>
  <c r="K843" i="5"/>
  <c r="J842" i="5"/>
  <c r="K842" i="5"/>
  <c r="J841" i="5"/>
  <c r="K841" i="5"/>
  <c r="J840" i="5"/>
  <c r="K840" i="5"/>
  <c r="J839" i="5"/>
  <c r="K839" i="5"/>
  <c r="J838" i="5"/>
  <c r="K838" i="5"/>
  <c r="J837" i="5"/>
  <c r="K837" i="5"/>
  <c r="J836" i="5"/>
  <c r="K836" i="5"/>
  <c r="J835" i="5"/>
  <c r="K835" i="5"/>
  <c r="J834" i="5"/>
  <c r="K834" i="5"/>
  <c r="J833" i="5"/>
  <c r="K833" i="5"/>
  <c r="J832" i="5"/>
  <c r="K832" i="5"/>
  <c r="J831" i="5"/>
  <c r="K831" i="5"/>
  <c r="J830" i="5"/>
  <c r="K830" i="5"/>
  <c r="J829" i="5"/>
  <c r="K829" i="5"/>
  <c r="J828" i="5"/>
  <c r="K828" i="5"/>
  <c r="J827" i="5"/>
  <c r="K827" i="5"/>
  <c r="J826" i="5"/>
  <c r="K826" i="5"/>
  <c r="J825" i="5"/>
  <c r="K825" i="5"/>
  <c r="J824" i="5"/>
  <c r="K824" i="5"/>
  <c r="J823" i="5"/>
  <c r="K823" i="5"/>
  <c r="J822" i="5"/>
  <c r="K822" i="5"/>
  <c r="J821" i="5"/>
  <c r="K821" i="5"/>
  <c r="J820" i="5"/>
  <c r="K820" i="5"/>
  <c r="J819" i="5"/>
  <c r="K819" i="5"/>
  <c r="J818" i="5"/>
  <c r="K818" i="5"/>
  <c r="J817" i="5"/>
  <c r="K817" i="5"/>
  <c r="J816" i="5"/>
  <c r="K816" i="5"/>
  <c r="J815" i="5"/>
  <c r="K815" i="5"/>
  <c r="J814" i="5"/>
  <c r="K814" i="5"/>
  <c r="J813" i="5"/>
  <c r="K813" i="5"/>
  <c r="J812" i="5"/>
  <c r="K812" i="5"/>
  <c r="J811" i="5"/>
  <c r="K811" i="5"/>
  <c r="J810" i="5"/>
  <c r="K810" i="5"/>
  <c r="J809" i="5"/>
  <c r="K809" i="5"/>
  <c r="J808" i="5"/>
  <c r="K808" i="5"/>
  <c r="J807" i="5"/>
  <c r="K807" i="5"/>
  <c r="J806" i="5"/>
  <c r="K806" i="5"/>
  <c r="J805" i="5"/>
  <c r="K805" i="5"/>
  <c r="J804" i="5"/>
  <c r="K804" i="5"/>
  <c r="J803" i="5"/>
  <c r="K803" i="5"/>
  <c r="J802" i="5"/>
  <c r="K802" i="5"/>
  <c r="J801" i="5"/>
  <c r="K801" i="5"/>
  <c r="J800" i="5"/>
  <c r="K800" i="5"/>
  <c r="J799" i="5"/>
  <c r="K799" i="5"/>
  <c r="J798" i="5"/>
  <c r="K798" i="5"/>
  <c r="J797" i="5"/>
  <c r="K797" i="5"/>
  <c r="J796" i="5"/>
  <c r="K796" i="5"/>
  <c r="J795" i="5" l="1"/>
  <c r="K795" i="5"/>
  <c r="J794" i="5"/>
  <c r="K794" i="5"/>
  <c r="J793" i="5"/>
  <c r="K793" i="5"/>
  <c r="J792" i="5"/>
  <c r="K792" i="5"/>
  <c r="J791" i="5"/>
  <c r="K791" i="5"/>
  <c r="J790" i="5"/>
  <c r="K790" i="5"/>
  <c r="J789" i="5"/>
  <c r="K789" i="5"/>
  <c r="J788" i="5"/>
  <c r="K788" i="5"/>
  <c r="J787" i="5"/>
  <c r="K787" i="5"/>
  <c r="J786" i="5"/>
  <c r="K786" i="5"/>
  <c r="J785" i="5"/>
  <c r="K785" i="5"/>
  <c r="J784" i="5"/>
  <c r="K784" i="5"/>
  <c r="J783" i="5"/>
  <c r="K783" i="5"/>
  <c r="J782" i="5"/>
  <c r="K782" i="5"/>
  <c r="J781" i="5"/>
  <c r="K781" i="5"/>
  <c r="J780" i="5"/>
  <c r="K780" i="5"/>
  <c r="J779" i="5"/>
  <c r="K779" i="5"/>
  <c r="J778" i="5"/>
  <c r="K778" i="5"/>
  <c r="J777" i="5"/>
  <c r="K777" i="5"/>
  <c r="J776" i="5"/>
  <c r="K776" i="5"/>
  <c r="J775" i="5"/>
  <c r="K775" i="5"/>
  <c r="J774" i="5"/>
  <c r="K774" i="5"/>
  <c r="J773" i="5"/>
  <c r="K773" i="5"/>
  <c r="J772" i="5"/>
  <c r="K772" i="5"/>
  <c r="J771" i="5"/>
  <c r="K771" i="5"/>
  <c r="J770" i="5"/>
  <c r="K770" i="5"/>
  <c r="J769" i="5"/>
  <c r="K769" i="5"/>
  <c r="J768" i="5"/>
  <c r="K768" i="5"/>
  <c r="J767" i="5"/>
  <c r="K767" i="5"/>
  <c r="J766" i="5"/>
  <c r="K766" i="5"/>
  <c r="J765" i="5"/>
  <c r="K765" i="5"/>
  <c r="J764" i="5"/>
  <c r="K764" i="5"/>
  <c r="J763" i="5"/>
  <c r="K763" i="5"/>
  <c r="J762" i="5"/>
  <c r="K762" i="5"/>
  <c r="J761" i="5"/>
  <c r="K761" i="5"/>
  <c r="J760" i="5"/>
  <c r="K760" i="5"/>
  <c r="J759" i="5"/>
  <c r="K759" i="5"/>
  <c r="J758" i="5"/>
  <c r="K758" i="5"/>
  <c r="J757" i="5"/>
  <c r="K757" i="5"/>
  <c r="J756" i="5"/>
  <c r="K756" i="5"/>
  <c r="J755" i="5"/>
  <c r="K755" i="5"/>
  <c r="J754" i="5"/>
  <c r="K754" i="5"/>
  <c r="J753" i="5"/>
  <c r="K753" i="5"/>
  <c r="J752" i="5"/>
  <c r="K752" i="5"/>
  <c r="J751" i="5"/>
  <c r="K751" i="5"/>
  <c r="J750" i="5"/>
  <c r="K750" i="5"/>
  <c r="J749" i="5"/>
  <c r="K749" i="5"/>
  <c r="J748" i="5"/>
  <c r="K748" i="5"/>
  <c r="J747" i="5"/>
  <c r="K747" i="5"/>
  <c r="J746" i="5"/>
  <c r="K746" i="5"/>
  <c r="J745" i="5"/>
  <c r="K745" i="5"/>
  <c r="J744" i="5"/>
  <c r="K744" i="5"/>
  <c r="J743" i="5"/>
  <c r="K743" i="5"/>
  <c r="J742" i="5"/>
  <c r="K742" i="5"/>
  <c r="J741" i="5"/>
  <c r="K741" i="5"/>
  <c r="J740" i="5"/>
  <c r="K740" i="5"/>
  <c r="J739" i="5"/>
  <c r="K739" i="5"/>
  <c r="J738" i="5"/>
  <c r="K738" i="5"/>
  <c r="J737" i="5"/>
  <c r="K737" i="5"/>
  <c r="J736" i="5"/>
  <c r="K736" i="5"/>
  <c r="J735" i="5"/>
  <c r="K735" i="5"/>
  <c r="J734" i="5"/>
  <c r="K734" i="5"/>
  <c r="J733" i="5"/>
  <c r="K733" i="5"/>
  <c r="J732" i="5"/>
  <c r="K732" i="5"/>
  <c r="J731" i="5"/>
  <c r="K731" i="5"/>
  <c r="J730" i="5"/>
  <c r="K730" i="5"/>
  <c r="J729" i="5"/>
  <c r="K729" i="5"/>
  <c r="J728" i="5"/>
  <c r="K728" i="5"/>
  <c r="J727" i="5"/>
  <c r="K727" i="5"/>
  <c r="J726" i="5"/>
  <c r="K726" i="5"/>
  <c r="J725" i="5"/>
  <c r="K725" i="5"/>
  <c r="J724" i="5"/>
  <c r="K724" i="5"/>
  <c r="J723" i="5"/>
  <c r="K723" i="5"/>
  <c r="J722" i="5"/>
  <c r="K722" i="5"/>
  <c r="J721" i="5"/>
  <c r="K721" i="5"/>
  <c r="J720" i="5"/>
  <c r="K720" i="5"/>
  <c r="J719" i="5"/>
  <c r="K719" i="5"/>
  <c r="J718" i="5"/>
  <c r="K718" i="5"/>
  <c r="J717" i="5"/>
  <c r="K717" i="5"/>
  <c r="J716" i="5"/>
  <c r="K716" i="5"/>
  <c r="J715" i="5"/>
  <c r="K715" i="5"/>
  <c r="J714" i="5"/>
  <c r="K714" i="5"/>
  <c r="J713" i="5"/>
  <c r="K713" i="5"/>
  <c r="J712" i="5"/>
  <c r="K712" i="5"/>
  <c r="J711" i="5"/>
  <c r="K711" i="5"/>
  <c r="J710" i="5"/>
  <c r="K710" i="5"/>
  <c r="J709" i="5"/>
  <c r="K709" i="5"/>
  <c r="J708" i="5"/>
  <c r="K708" i="5"/>
  <c r="J707" i="5"/>
  <c r="K707" i="5"/>
  <c r="J706" i="5"/>
  <c r="K706" i="5"/>
  <c r="J705" i="5"/>
  <c r="K705" i="5"/>
  <c r="J704" i="5"/>
  <c r="K704" i="5"/>
  <c r="J703" i="5"/>
  <c r="K703" i="5"/>
  <c r="J702" i="5"/>
  <c r="K702" i="5"/>
  <c r="J701" i="5"/>
  <c r="K701" i="5"/>
  <c r="J700" i="5"/>
  <c r="K700" i="5"/>
  <c r="J699" i="5"/>
  <c r="K699" i="5"/>
  <c r="J698" i="5"/>
  <c r="K698" i="5"/>
  <c r="J697" i="5"/>
  <c r="K697" i="5"/>
  <c r="J696" i="5"/>
  <c r="K696" i="5"/>
  <c r="J695" i="5"/>
  <c r="K695" i="5"/>
  <c r="J694" i="5"/>
  <c r="K694" i="5"/>
  <c r="J693" i="5"/>
  <c r="K693" i="5"/>
  <c r="J692" i="5"/>
  <c r="K692" i="5"/>
  <c r="J691" i="5"/>
  <c r="K691" i="5"/>
  <c r="J690" i="5"/>
  <c r="K690" i="5"/>
  <c r="J689" i="5"/>
  <c r="K689" i="5"/>
  <c r="J688" i="5"/>
  <c r="K688" i="5"/>
  <c r="J687" i="5"/>
  <c r="K687" i="5"/>
  <c r="J686" i="5"/>
  <c r="K686" i="5"/>
  <c r="J685" i="5"/>
  <c r="K685" i="5"/>
  <c r="J684" i="5"/>
  <c r="K684" i="5"/>
  <c r="J683" i="5"/>
  <c r="K683" i="5"/>
  <c r="J682" i="5"/>
  <c r="K682" i="5"/>
  <c r="J681" i="5"/>
  <c r="K681" i="5"/>
  <c r="J680" i="5"/>
  <c r="K680" i="5"/>
  <c r="J679" i="5"/>
  <c r="K679" i="5"/>
  <c r="J678" i="5"/>
  <c r="K678" i="5"/>
  <c r="J677" i="5"/>
  <c r="K677" i="5"/>
  <c r="J676" i="5"/>
  <c r="K676" i="5"/>
  <c r="J675" i="5"/>
  <c r="K675" i="5"/>
  <c r="J674" i="5"/>
  <c r="K674" i="5"/>
  <c r="J673" i="5"/>
  <c r="K673" i="5"/>
  <c r="J672" i="5"/>
  <c r="K672" i="5"/>
  <c r="J671" i="5"/>
  <c r="K671" i="5"/>
  <c r="J670" i="5"/>
  <c r="K670" i="5"/>
  <c r="J669" i="5"/>
  <c r="K669" i="5"/>
  <c r="J668" i="5"/>
  <c r="K668" i="5"/>
  <c r="J667" i="5"/>
  <c r="K667" i="5"/>
  <c r="J666" i="5"/>
  <c r="K666" i="5"/>
  <c r="J665" i="5"/>
  <c r="K665" i="5"/>
  <c r="J664" i="5"/>
  <c r="K664" i="5"/>
  <c r="J663" i="5"/>
  <c r="K663" i="5"/>
  <c r="J662" i="5"/>
  <c r="K662" i="5"/>
  <c r="J661" i="5"/>
  <c r="K661" i="5"/>
  <c r="J660" i="5"/>
  <c r="K660" i="5"/>
  <c r="J659" i="5"/>
  <c r="K659" i="5"/>
  <c r="J658" i="5"/>
  <c r="K658" i="5"/>
  <c r="J657" i="5"/>
  <c r="K657" i="5"/>
  <c r="J656" i="5"/>
  <c r="K656" i="5"/>
  <c r="J655" i="5"/>
  <c r="K655" i="5"/>
  <c r="J654" i="5"/>
  <c r="K654" i="5"/>
  <c r="J653" i="5"/>
  <c r="K653" i="5"/>
  <c r="J652" i="5"/>
  <c r="K652" i="5"/>
  <c r="J651" i="5"/>
  <c r="K651" i="5"/>
  <c r="J650" i="5"/>
  <c r="K650" i="5"/>
  <c r="J649" i="5"/>
  <c r="K649" i="5"/>
  <c r="J648" i="5"/>
  <c r="K648" i="5"/>
  <c r="J647" i="5"/>
  <c r="K647" i="5"/>
  <c r="J646" i="5"/>
  <c r="K646" i="5"/>
  <c r="J645" i="5"/>
  <c r="K645" i="5"/>
  <c r="J644" i="5"/>
  <c r="K644" i="5"/>
  <c r="J643" i="5"/>
  <c r="K643" i="5"/>
  <c r="J642" i="5"/>
  <c r="K642" i="5"/>
  <c r="J641" i="5"/>
  <c r="K641" i="5"/>
  <c r="J640" i="5"/>
  <c r="K640" i="5"/>
  <c r="J639" i="5"/>
  <c r="K639" i="5"/>
  <c r="J638" i="5"/>
  <c r="K638" i="5"/>
  <c r="J637" i="5"/>
  <c r="K637" i="5"/>
  <c r="J636" i="5"/>
  <c r="K636" i="5"/>
  <c r="J635" i="5"/>
  <c r="K635" i="5"/>
  <c r="J634" i="5"/>
  <c r="K634" i="5"/>
  <c r="J633" i="5"/>
  <c r="K633" i="5"/>
  <c r="J632" i="5"/>
  <c r="K632" i="5"/>
  <c r="J631" i="5"/>
  <c r="K631" i="5"/>
  <c r="J630" i="5"/>
  <c r="K630" i="5"/>
  <c r="J629" i="5"/>
  <c r="K629" i="5"/>
  <c r="J628" i="5"/>
  <c r="K628" i="5"/>
  <c r="J627" i="5"/>
  <c r="K627" i="5"/>
  <c r="J626" i="5"/>
  <c r="K626" i="5"/>
  <c r="J625" i="5"/>
  <c r="K625" i="5"/>
  <c r="J624" i="5"/>
  <c r="K624" i="5"/>
  <c r="J623" i="5"/>
  <c r="K623" i="5"/>
  <c r="J622" i="5"/>
  <c r="K622" i="5"/>
  <c r="J621" i="5"/>
  <c r="K621" i="5"/>
  <c r="J620" i="5"/>
  <c r="K620" i="5"/>
  <c r="J619" i="5"/>
  <c r="K619" i="5"/>
  <c r="J618" i="5"/>
  <c r="K618" i="5"/>
  <c r="J617" i="5"/>
  <c r="K617" i="5"/>
  <c r="J616" i="5"/>
  <c r="K616" i="5"/>
  <c r="J615" i="5"/>
  <c r="K615" i="5"/>
  <c r="J614" i="5"/>
  <c r="K614" i="5"/>
  <c r="J613" i="5"/>
  <c r="K613" i="5"/>
  <c r="J612" i="5"/>
  <c r="K612" i="5"/>
  <c r="J611" i="5"/>
  <c r="K611" i="5"/>
  <c r="J610" i="5"/>
  <c r="K610" i="5"/>
  <c r="J609" i="5"/>
  <c r="K609" i="5"/>
  <c r="J608" i="5"/>
  <c r="K608" i="5"/>
  <c r="J607" i="5"/>
  <c r="K607" i="5"/>
  <c r="J606" i="5"/>
  <c r="K606" i="5"/>
  <c r="J605" i="5"/>
  <c r="K605" i="5"/>
  <c r="J604" i="5"/>
  <c r="K604" i="5"/>
  <c r="J603" i="5"/>
  <c r="K603" i="5"/>
  <c r="J602" i="5"/>
  <c r="K602" i="5"/>
  <c r="J601" i="5"/>
  <c r="K601" i="5"/>
  <c r="J600" i="5"/>
  <c r="K600" i="5"/>
  <c r="J599" i="5"/>
  <c r="K599" i="5"/>
  <c r="J598" i="5"/>
  <c r="K598" i="5"/>
  <c r="J597" i="5"/>
  <c r="K597" i="5"/>
  <c r="J596" i="5" l="1"/>
  <c r="K596" i="5"/>
  <c r="J595" i="5"/>
  <c r="K595" i="5"/>
  <c r="J594" i="5"/>
  <c r="K594" i="5"/>
  <c r="J593" i="5"/>
  <c r="K593" i="5"/>
  <c r="J592" i="5"/>
  <c r="K592" i="5"/>
  <c r="J591" i="5"/>
  <c r="K591" i="5"/>
  <c r="J590" i="5"/>
  <c r="K590" i="5"/>
  <c r="J589" i="5"/>
  <c r="K589" i="5"/>
  <c r="J588" i="5"/>
  <c r="K588" i="5"/>
  <c r="J587" i="5"/>
  <c r="K587" i="5"/>
  <c r="J586" i="5"/>
  <c r="K586" i="5"/>
  <c r="J585" i="5"/>
  <c r="K585" i="5"/>
  <c r="J584" i="5"/>
  <c r="K584" i="5"/>
  <c r="J583" i="5"/>
  <c r="K583" i="5"/>
  <c r="J582" i="5"/>
  <c r="K582" i="5"/>
  <c r="J581" i="5"/>
  <c r="K581" i="5"/>
  <c r="J580" i="5"/>
  <c r="K580" i="5"/>
  <c r="J579" i="5"/>
  <c r="K579" i="5"/>
  <c r="J578" i="5"/>
  <c r="K578" i="5"/>
  <c r="J577" i="5"/>
  <c r="K577" i="5"/>
  <c r="J576" i="5"/>
  <c r="K576" i="5"/>
  <c r="J575" i="5"/>
  <c r="K575" i="5"/>
  <c r="J574" i="5"/>
  <c r="K574" i="5"/>
  <c r="J573" i="5"/>
  <c r="K573" i="5"/>
  <c r="J572" i="5"/>
  <c r="K572" i="5"/>
  <c r="J571" i="5"/>
  <c r="K571" i="5"/>
  <c r="J570" i="5"/>
  <c r="K570" i="5"/>
  <c r="J569" i="5"/>
  <c r="K569" i="5"/>
  <c r="J568" i="5"/>
  <c r="K568" i="5"/>
  <c r="J567" i="5"/>
  <c r="K567" i="5"/>
  <c r="J566" i="5"/>
  <c r="K566" i="5"/>
  <c r="J565" i="5"/>
  <c r="K565" i="5"/>
  <c r="J564" i="5"/>
  <c r="K564" i="5"/>
  <c r="J563" i="5"/>
  <c r="K563" i="5"/>
  <c r="J562" i="5"/>
  <c r="K562" i="5"/>
  <c r="J561" i="5"/>
  <c r="K561" i="5"/>
  <c r="J560" i="5"/>
  <c r="K560" i="5"/>
  <c r="J559" i="5"/>
  <c r="K559" i="5"/>
  <c r="J558" i="5"/>
  <c r="K558" i="5"/>
  <c r="J557" i="5" l="1"/>
  <c r="K557" i="5"/>
  <c r="J556" i="5"/>
  <c r="K556" i="5"/>
  <c r="J555" i="5"/>
  <c r="K555" i="5"/>
  <c r="J554" i="5"/>
  <c r="K554" i="5"/>
  <c r="J553" i="5"/>
  <c r="K553" i="5"/>
  <c r="J552" i="5"/>
  <c r="K552" i="5"/>
  <c r="J551" i="5"/>
  <c r="K551" i="5"/>
  <c r="J550" i="5"/>
  <c r="K550" i="5"/>
  <c r="J549" i="5"/>
  <c r="K549" i="5"/>
  <c r="J548" i="5"/>
  <c r="K548" i="5"/>
  <c r="J547" i="5"/>
  <c r="K547" i="5"/>
  <c r="J546" i="5"/>
  <c r="K546" i="5"/>
  <c r="J545" i="5"/>
  <c r="K545" i="5"/>
  <c r="J544" i="5"/>
  <c r="K544" i="5"/>
  <c r="J543" i="5"/>
  <c r="K543" i="5"/>
  <c r="J542" i="5"/>
  <c r="K542" i="5"/>
  <c r="J541" i="5"/>
  <c r="K541" i="5"/>
  <c r="J540" i="5"/>
  <c r="K540" i="5"/>
  <c r="J539" i="5"/>
  <c r="K539" i="5"/>
  <c r="J538" i="5"/>
  <c r="K538" i="5"/>
  <c r="J537" i="5"/>
  <c r="K537" i="5"/>
  <c r="J536" i="5"/>
  <c r="K536" i="5"/>
  <c r="J535" i="5"/>
  <c r="K535" i="5"/>
  <c r="J534" i="5"/>
  <c r="K534" i="5"/>
  <c r="J533" i="5"/>
  <c r="K533" i="5"/>
  <c r="J532" i="5"/>
  <c r="K532" i="5"/>
  <c r="J531" i="5"/>
  <c r="K531" i="5"/>
  <c r="J530" i="5"/>
  <c r="K530" i="5"/>
  <c r="J529" i="5"/>
  <c r="K529" i="5"/>
  <c r="J528" i="5"/>
  <c r="K528" i="5"/>
  <c r="J527" i="5"/>
  <c r="K527" i="5"/>
  <c r="J526" i="5"/>
  <c r="K526" i="5"/>
  <c r="J525" i="5"/>
  <c r="K525" i="5"/>
  <c r="J524" i="5"/>
  <c r="K524" i="5"/>
  <c r="J523" i="5"/>
  <c r="K523" i="5"/>
  <c r="J522" i="5"/>
  <c r="K522" i="5"/>
  <c r="J521" i="5"/>
  <c r="K521" i="5"/>
  <c r="J520" i="5"/>
  <c r="K520" i="5"/>
  <c r="J519" i="5"/>
  <c r="K519" i="5"/>
  <c r="J518" i="5"/>
  <c r="K518" i="5"/>
  <c r="J517" i="5"/>
  <c r="K517" i="5"/>
  <c r="J516" i="5"/>
  <c r="K516" i="5"/>
  <c r="J515" i="5"/>
  <c r="K515" i="5"/>
  <c r="J514" i="5"/>
  <c r="K514" i="5"/>
  <c r="J513" i="5"/>
  <c r="K513" i="5"/>
  <c r="J512" i="5"/>
  <c r="K512" i="5"/>
  <c r="J511" i="5"/>
  <c r="K511" i="5"/>
  <c r="J510" i="5"/>
  <c r="K510" i="5"/>
  <c r="J509" i="5"/>
  <c r="K509" i="5"/>
  <c r="J508" i="5"/>
  <c r="K508" i="5"/>
  <c r="J507" i="5"/>
  <c r="K507" i="5"/>
  <c r="J506" i="5"/>
  <c r="K506" i="5"/>
  <c r="J505" i="5"/>
  <c r="K505" i="5"/>
  <c r="J504" i="5"/>
  <c r="K504" i="5"/>
  <c r="J503" i="5"/>
  <c r="K503" i="5"/>
  <c r="J502" i="5"/>
  <c r="K502" i="5"/>
  <c r="J501" i="5"/>
  <c r="K501" i="5"/>
  <c r="J500" i="5"/>
  <c r="K500" i="5"/>
  <c r="J499" i="5"/>
  <c r="K499" i="5"/>
  <c r="J498" i="5"/>
  <c r="K498" i="5"/>
  <c r="J497" i="5"/>
  <c r="K497" i="5"/>
  <c r="J496" i="5"/>
  <c r="K496" i="5"/>
  <c r="J495" i="5"/>
  <c r="K495" i="5"/>
  <c r="J494" i="5"/>
  <c r="K494" i="5"/>
  <c r="J493" i="5"/>
  <c r="K493" i="5"/>
  <c r="J492" i="5"/>
  <c r="K492" i="5"/>
  <c r="J491" i="5"/>
  <c r="K491" i="5"/>
  <c r="J490" i="5"/>
  <c r="K490" i="5"/>
  <c r="J489" i="5"/>
  <c r="K489" i="5"/>
  <c r="J488" i="5"/>
  <c r="K488" i="5"/>
  <c r="J487" i="5"/>
  <c r="K487" i="5"/>
  <c r="J486" i="5"/>
  <c r="K486" i="5"/>
  <c r="J485" i="5"/>
  <c r="K485" i="5"/>
  <c r="J484" i="5"/>
  <c r="K484" i="5"/>
  <c r="J483" i="5"/>
  <c r="K483" i="5"/>
  <c r="J482" i="5"/>
  <c r="K482" i="5"/>
  <c r="J481" i="5"/>
  <c r="K481" i="5"/>
  <c r="J480" i="5"/>
  <c r="K480" i="5"/>
  <c r="J479" i="5"/>
  <c r="K479" i="5"/>
  <c r="J478" i="5"/>
  <c r="K478" i="5"/>
  <c r="J477" i="5"/>
  <c r="K477" i="5"/>
  <c r="J476" i="5"/>
  <c r="K476" i="5"/>
  <c r="J475" i="5"/>
  <c r="K475" i="5"/>
  <c r="J474" i="5"/>
  <c r="K474" i="5"/>
  <c r="J473" i="5"/>
  <c r="K473" i="5"/>
  <c r="J472" i="5"/>
  <c r="K472" i="5"/>
  <c r="J471" i="5"/>
  <c r="K471" i="5"/>
  <c r="J470" i="5"/>
  <c r="K470" i="5"/>
  <c r="J469" i="5"/>
  <c r="K469" i="5"/>
  <c r="J468" i="5"/>
  <c r="K468" i="5"/>
  <c r="J467" i="5"/>
  <c r="K467" i="5"/>
  <c r="J466" i="5"/>
  <c r="K466" i="5"/>
  <c r="J465" i="5"/>
  <c r="K465" i="5"/>
  <c r="J464" i="5"/>
  <c r="K464" i="5"/>
  <c r="J463" i="5"/>
  <c r="K463" i="5"/>
  <c r="J462" i="5"/>
  <c r="K462" i="5"/>
  <c r="J461" i="5"/>
  <c r="K461" i="5"/>
  <c r="J460" i="5"/>
  <c r="K460" i="5"/>
  <c r="J459" i="5"/>
  <c r="K459" i="5"/>
  <c r="J458" i="5"/>
  <c r="K458" i="5"/>
  <c r="J457" i="5"/>
  <c r="K457" i="5"/>
  <c r="J456" i="5"/>
  <c r="K456" i="5"/>
  <c r="J455" i="5"/>
  <c r="K455" i="5"/>
  <c r="J454" i="5"/>
  <c r="K454" i="5"/>
  <c r="J453" i="5"/>
  <c r="K453" i="5"/>
  <c r="J452" i="5"/>
  <c r="K452" i="5"/>
  <c r="J451" i="5"/>
  <c r="K451" i="5"/>
  <c r="J450" i="5"/>
  <c r="K450" i="5"/>
  <c r="J449" i="5"/>
  <c r="K449" i="5"/>
  <c r="J448" i="5"/>
  <c r="K448" i="5"/>
  <c r="J447" i="5"/>
  <c r="K447" i="5"/>
  <c r="J446" i="5"/>
  <c r="K446" i="5"/>
  <c r="J445" i="5"/>
  <c r="K445" i="5"/>
  <c r="J444" i="5"/>
  <c r="K444" i="5"/>
  <c r="J443" i="5"/>
  <c r="K443" i="5"/>
  <c r="J442" i="5"/>
  <c r="K442" i="5"/>
  <c r="J441" i="5"/>
  <c r="K441" i="5"/>
  <c r="J440" i="5"/>
  <c r="K440" i="5"/>
  <c r="J439" i="5"/>
  <c r="K439" i="5"/>
  <c r="J438" i="5"/>
  <c r="K438" i="5"/>
  <c r="J437" i="5"/>
  <c r="K437" i="5"/>
  <c r="J436" i="5"/>
  <c r="K436" i="5"/>
  <c r="J435" i="5"/>
  <c r="K435" i="5"/>
  <c r="J434" i="5"/>
  <c r="K434" i="5"/>
  <c r="J433" i="5"/>
  <c r="K433" i="5"/>
  <c r="J432" i="5"/>
  <c r="K432" i="5"/>
  <c r="J431" i="5"/>
  <c r="K431" i="5"/>
  <c r="J430" i="5"/>
  <c r="K430" i="5"/>
  <c r="J429" i="5"/>
  <c r="K429" i="5"/>
  <c r="J428" i="5"/>
  <c r="K428" i="5"/>
  <c r="J427" i="5"/>
  <c r="K427" i="5"/>
  <c r="J426" i="5"/>
  <c r="K426" i="5"/>
  <c r="J425" i="5" l="1"/>
  <c r="K425" i="5"/>
  <c r="J424" i="5"/>
  <c r="K424" i="5"/>
  <c r="J423" i="5"/>
  <c r="K423" i="5"/>
  <c r="J422" i="5"/>
  <c r="K422" i="5"/>
  <c r="J421" i="5"/>
  <c r="K421" i="5"/>
  <c r="J420" i="5"/>
  <c r="K420" i="5"/>
  <c r="J419" i="5"/>
  <c r="K419" i="5"/>
  <c r="J418" i="5"/>
  <c r="K418" i="5"/>
  <c r="J417" i="5"/>
  <c r="K417" i="5"/>
  <c r="J416" i="5"/>
  <c r="K416" i="5"/>
  <c r="J415" i="5"/>
  <c r="K415" i="5"/>
  <c r="J414" i="5"/>
  <c r="K414" i="5"/>
  <c r="J413" i="5"/>
  <c r="K413" i="5"/>
  <c r="J412" i="5"/>
  <c r="K412" i="5"/>
  <c r="J411" i="5"/>
  <c r="K411" i="5"/>
  <c r="J410" i="5"/>
  <c r="K410" i="5"/>
  <c r="J409" i="5"/>
  <c r="K409" i="5"/>
  <c r="J408" i="5"/>
  <c r="K408" i="5"/>
  <c r="J407" i="5"/>
  <c r="K407" i="5"/>
  <c r="J406" i="5"/>
  <c r="K406" i="5"/>
  <c r="J405" i="5"/>
  <c r="K405" i="5"/>
  <c r="J404" i="5"/>
  <c r="K404" i="5"/>
  <c r="J403" i="5"/>
  <c r="K403" i="5"/>
  <c r="J402" i="5"/>
  <c r="K402" i="5"/>
  <c r="J401" i="5"/>
  <c r="K401" i="5"/>
  <c r="J400" i="5"/>
  <c r="K400" i="5"/>
  <c r="J399" i="5"/>
  <c r="K399" i="5"/>
  <c r="J398" i="5"/>
  <c r="K398" i="5"/>
  <c r="J397" i="5"/>
  <c r="K397" i="5"/>
  <c r="J396" i="5"/>
  <c r="K396" i="5"/>
  <c r="J395" i="5"/>
  <c r="K395" i="5"/>
  <c r="J394" i="5"/>
  <c r="K394" i="5"/>
  <c r="J393" i="5"/>
  <c r="K393" i="5"/>
  <c r="J392" i="5"/>
  <c r="K392" i="5"/>
  <c r="J391" i="5"/>
  <c r="K391" i="5"/>
  <c r="J390" i="5"/>
  <c r="K390" i="5"/>
  <c r="J389" i="5"/>
  <c r="K389" i="5"/>
  <c r="J388" i="5"/>
  <c r="K388" i="5"/>
  <c r="J387" i="5"/>
  <c r="K387" i="5"/>
  <c r="J386" i="5"/>
  <c r="K386" i="5"/>
  <c r="J385" i="5"/>
  <c r="K385" i="5"/>
  <c r="J384" i="5"/>
  <c r="K384" i="5"/>
  <c r="J383" i="5"/>
  <c r="K383" i="5"/>
  <c r="J382" i="5"/>
  <c r="K382" i="5"/>
  <c r="J381" i="5"/>
  <c r="K381" i="5"/>
  <c r="J380" i="5"/>
  <c r="K380" i="5"/>
  <c r="J379" i="5"/>
  <c r="K379" i="5"/>
  <c r="J378" i="5"/>
  <c r="K378" i="5"/>
  <c r="J377" i="5"/>
  <c r="K377" i="5"/>
  <c r="J376" i="5"/>
  <c r="K376" i="5"/>
  <c r="J375" i="5"/>
  <c r="K375" i="5"/>
  <c r="J374" i="5"/>
  <c r="K374" i="5"/>
  <c r="J373" i="5"/>
  <c r="K373" i="5"/>
  <c r="J372" i="5"/>
  <c r="K372" i="5"/>
  <c r="J371" i="5"/>
  <c r="K371" i="5"/>
  <c r="J370" i="5"/>
  <c r="K370" i="5"/>
  <c r="J369" i="5"/>
  <c r="K369" i="5"/>
  <c r="J368" i="5"/>
  <c r="K368" i="5"/>
  <c r="J367" i="5"/>
  <c r="K367" i="5"/>
  <c r="J366" i="5"/>
  <c r="K366" i="5"/>
  <c r="J365" i="5"/>
  <c r="K365" i="5"/>
  <c r="J364" i="5"/>
  <c r="K364" i="5"/>
  <c r="J363" i="5"/>
  <c r="K363" i="5"/>
  <c r="J362" i="5"/>
  <c r="K362" i="5"/>
  <c r="J361" i="5"/>
  <c r="K361" i="5"/>
  <c r="J360" i="5"/>
  <c r="K360" i="5"/>
  <c r="J359" i="5"/>
  <c r="K359" i="5"/>
  <c r="J358" i="5"/>
  <c r="K358" i="5"/>
  <c r="J357" i="5"/>
  <c r="K357" i="5"/>
  <c r="J356" i="5"/>
  <c r="K356" i="5"/>
  <c r="J355" i="5"/>
  <c r="K355" i="5"/>
  <c r="J354" i="5"/>
  <c r="K354" i="5"/>
  <c r="J353" i="5"/>
  <c r="K353" i="5"/>
  <c r="J352" i="5"/>
  <c r="K352" i="5"/>
  <c r="J351" i="5"/>
  <c r="K351" i="5"/>
  <c r="J350" i="5"/>
  <c r="K350" i="5"/>
  <c r="J349" i="5"/>
  <c r="K349" i="5"/>
  <c r="J348" i="5"/>
  <c r="K348" i="5"/>
  <c r="J347" i="5"/>
  <c r="K347" i="5"/>
  <c r="J346" i="5"/>
  <c r="K346" i="5"/>
  <c r="J345" i="5"/>
  <c r="K345" i="5"/>
  <c r="J344" i="5"/>
  <c r="K344" i="5"/>
  <c r="J343" i="5"/>
  <c r="K343" i="5"/>
  <c r="J342" i="5" l="1"/>
  <c r="K342" i="5"/>
  <c r="J341" i="5"/>
  <c r="K341" i="5"/>
  <c r="J340" i="5"/>
  <c r="K340" i="5"/>
  <c r="J339" i="5"/>
  <c r="K339" i="5"/>
  <c r="J338" i="5"/>
  <c r="K338" i="5"/>
  <c r="J337" i="5"/>
  <c r="K337" i="5"/>
  <c r="J336" i="5"/>
  <c r="K336" i="5"/>
  <c r="J335" i="5"/>
  <c r="K335" i="5"/>
  <c r="J334" i="5"/>
  <c r="K334" i="5"/>
  <c r="J333" i="5"/>
  <c r="K333" i="5"/>
  <c r="J332" i="5"/>
  <c r="K332" i="5"/>
  <c r="J331" i="5"/>
  <c r="K331" i="5"/>
  <c r="J330" i="5"/>
  <c r="K330" i="5"/>
  <c r="J329" i="5"/>
  <c r="K329" i="5"/>
  <c r="J328" i="5"/>
  <c r="K328" i="5"/>
  <c r="J327" i="5"/>
  <c r="K327" i="5"/>
  <c r="J326" i="5"/>
  <c r="K326" i="5"/>
  <c r="J325" i="5"/>
  <c r="K325" i="5"/>
  <c r="J324" i="5"/>
  <c r="K324" i="5"/>
  <c r="J323" i="5"/>
  <c r="K323" i="5"/>
  <c r="J322" i="5"/>
  <c r="K322" i="5"/>
  <c r="J321" i="5"/>
  <c r="K321" i="5"/>
  <c r="J320" i="5"/>
  <c r="K320" i="5"/>
  <c r="J319" i="5"/>
  <c r="K319" i="5"/>
  <c r="J318" i="5"/>
  <c r="K318" i="5"/>
  <c r="J317" i="5"/>
  <c r="K317" i="5"/>
  <c r="J316" i="5"/>
  <c r="K316" i="5"/>
  <c r="J315" i="5"/>
  <c r="K315" i="5"/>
  <c r="J314" i="5"/>
  <c r="K314" i="5"/>
  <c r="J313" i="5"/>
  <c r="K313" i="5"/>
  <c r="J312" i="5"/>
  <c r="K312" i="5"/>
  <c r="J311" i="5"/>
  <c r="K311" i="5"/>
  <c r="J310" i="5"/>
  <c r="K310" i="5"/>
  <c r="J309" i="5"/>
  <c r="K309" i="5"/>
  <c r="J308" i="5"/>
  <c r="K308" i="5"/>
  <c r="J307" i="5"/>
  <c r="K307" i="5"/>
  <c r="J306" i="5"/>
  <c r="K306" i="5"/>
  <c r="J305" i="5"/>
  <c r="K305" i="5"/>
  <c r="J304" i="5"/>
  <c r="K304" i="5"/>
  <c r="J303" i="5"/>
  <c r="K303" i="5"/>
  <c r="J302" i="5"/>
  <c r="K302" i="5"/>
  <c r="J301" i="5"/>
  <c r="K301" i="5"/>
  <c r="J300" i="5"/>
  <c r="K300" i="5"/>
  <c r="J299" i="5"/>
  <c r="K299" i="5"/>
  <c r="J298" i="5"/>
  <c r="K298" i="5"/>
  <c r="J297" i="5"/>
  <c r="K297" i="5"/>
  <c r="J296" i="5"/>
  <c r="K296" i="5"/>
  <c r="J295" i="5"/>
  <c r="K295" i="5"/>
  <c r="J294" i="5"/>
  <c r="K294" i="5"/>
  <c r="J293" i="5"/>
  <c r="K293" i="5"/>
  <c r="J292" i="5"/>
  <c r="K292" i="5"/>
  <c r="J291" i="5"/>
  <c r="K291" i="5"/>
  <c r="J290" i="5"/>
  <c r="K290" i="5"/>
  <c r="J289" i="5"/>
  <c r="K289" i="5"/>
  <c r="J288" i="5"/>
  <c r="K288" i="5"/>
  <c r="J287" i="5"/>
  <c r="K287" i="5"/>
  <c r="J286" i="5"/>
  <c r="K286" i="5"/>
  <c r="J285" i="5"/>
  <c r="K285" i="5"/>
  <c r="J284" i="5"/>
  <c r="K284" i="5"/>
  <c r="J283" i="5"/>
  <c r="K283" i="5"/>
  <c r="J282" i="5"/>
  <c r="K282" i="5"/>
  <c r="J281" i="5"/>
  <c r="K281" i="5"/>
  <c r="J280" i="5"/>
  <c r="K280" i="5"/>
  <c r="J279" i="5"/>
  <c r="K279" i="5"/>
  <c r="J278" i="5"/>
  <c r="K278" i="5"/>
  <c r="J277" i="5"/>
  <c r="K277" i="5"/>
  <c r="J276" i="5"/>
  <c r="K276" i="5"/>
  <c r="J275" i="5"/>
  <c r="K275" i="5"/>
  <c r="J274" i="5"/>
  <c r="K274" i="5"/>
  <c r="J273" i="5"/>
  <c r="K273" i="5"/>
  <c r="J272" i="5"/>
  <c r="K272" i="5"/>
  <c r="J271" i="5"/>
  <c r="K271" i="5"/>
  <c r="J270" i="5"/>
  <c r="K270" i="5"/>
  <c r="J269" i="5"/>
  <c r="K269" i="5"/>
  <c r="J268" i="5"/>
  <c r="K268" i="5"/>
  <c r="J267" i="5"/>
  <c r="K267" i="5"/>
  <c r="J266" i="5"/>
  <c r="K266" i="5"/>
  <c r="J265" i="5"/>
  <c r="K265" i="5"/>
  <c r="J264" i="5"/>
  <c r="K264" i="5"/>
  <c r="J263" i="5"/>
  <c r="K263" i="5"/>
  <c r="J262" i="5"/>
  <c r="K262" i="5"/>
  <c r="J261" i="5"/>
  <c r="K261" i="5"/>
  <c r="J260" i="5"/>
  <c r="K260" i="5"/>
  <c r="J259" i="5"/>
  <c r="K259" i="5"/>
  <c r="J258" i="5"/>
  <c r="K258" i="5"/>
  <c r="J257" i="5"/>
  <c r="K257" i="5"/>
  <c r="J256" i="5"/>
  <c r="K256" i="5"/>
  <c r="J255" i="5"/>
  <c r="K255" i="5"/>
  <c r="J254" i="5"/>
  <c r="K254" i="5"/>
  <c r="J253" i="5"/>
  <c r="K253" i="5"/>
  <c r="J252" i="5"/>
  <c r="K252" i="5"/>
  <c r="J251" i="5"/>
  <c r="K251" i="5"/>
  <c r="J250" i="5"/>
  <c r="K250" i="5"/>
  <c r="J249" i="5"/>
  <c r="K249" i="5"/>
  <c r="J248" i="5"/>
  <c r="K248" i="5"/>
  <c r="J247" i="5"/>
  <c r="K247" i="5"/>
  <c r="J246" i="5"/>
  <c r="K246" i="5"/>
  <c r="J245" i="5"/>
  <c r="K245" i="5"/>
  <c r="J244" i="5"/>
  <c r="K244" i="5"/>
  <c r="J243" i="5"/>
  <c r="K243" i="5"/>
  <c r="J242" i="5"/>
  <c r="K242" i="5"/>
  <c r="J241" i="5"/>
  <c r="K241" i="5"/>
  <c r="J240" i="5"/>
  <c r="K240" i="5"/>
  <c r="J239" i="5"/>
  <c r="K239" i="5"/>
  <c r="J238" i="5"/>
  <c r="K238" i="5"/>
  <c r="J237" i="5"/>
  <c r="K237" i="5"/>
  <c r="J236" i="5"/>
  <c r="K236" i="5"/>
  <c r="J235" i="5"/>
  <c r="K235" i="5"/>
  <c r="J234" i="5"/>
  <c r="K234" i="5"/>
  <c r="J233" i="5"/>
  <c r="K233" i="5"/>
  <c r="J232" i="5"/>
  <c r="K232" i="5"/>
  <c r="J231" i="5"/>
  <c r="K231" i="5"/>
  <c r="J230" i="5"/>
  <c r="K230" i="5"/>
  <c r="J229" i="5"/>
  <c r="K229" i="5"/>
  <c r="J228" i="5"/>
  <c r="K228" i="5"/>
  <c r="J227" i="5"/>
  <c r="K227" i="5"/>
  <c r="J226" i="5"/>
  <c r="K226" i="5"/>
  <c r="J225" i="5"/>
  <c r="K225" i="5"/>
  <c r="J224" i="5"/>
  <c r="K224" i="5"/>
  <c r="J223" i="5"/>
  <c r="K223" i="5"/>
  <c r="J222" i="5"/>
  <c r="K222" i="5"/>
  <c r="J221" i="5"/>
  <c r="K221" i="5"/>
  <c r="J220" i="5"/>
  <c r="K220" i="5"/>
  <c r="J219" i="5"/>
  <c r="K219" i="5"/>
  <c r="J218" i="5"/>
  <c r="K218" i="5"/>
  <c r="J217" i="5"/>
  <c r="K217" i="5"/>
  <c r="J216" i="5"/>
  <c r="K216" i="5"/>
  <c r="J215" i="5"/>
  <c r="K215" i="5"/>
  <c r="J214" i="5"/>
  <c r="K214" i="5"/>
  <c r="J213" i="5"/>
  <c r="K213" i="5"/>
  <c r="J212" i="5"/>
  <c r="K212" i="5"/>
  <c r="J211" i="5"/>
  <c r="K211" i="5"/>
  <c r="J210" i="5"/>
  <c r="K210" i="5"/>
  <c r="J209" i="5"/>
  <c r="K209" i="5"/>
  <c r="J208" i="5"/>
  <c r="K208" i="5"/>
  <c r="J207" i="5"/>
  <c r="K207" i="5"/>
  <c r="J206" i="5"/>
  <c r="K206" i="5"/>
  <c r="J205" i="5"/>
  <c r="K205" i="5"/>
  <c r="J204" i="5"/>
  <c r="K204" i="5"/>
  <c r="J203" i="5"/>
  <c r="K203" i="5"/>
  <c r="J202" i="5"/>
  <c r="K202" i="5"/>
  <c r="J201" i="5"/>
  <c r="K201" i="5"/>
  <c r="J200" i="5"/>
  <c r="K200" i="5"/>
  <c r="J199" i="5"/>
  <c r="K199" i="5"/>
  <c r="J198" i="5"/>
  <c r="K198" i="5"/>
  <c r="J197" i="5"/>
  <c r="K197" i="5"/>
  <c r="J196" i="5"/>
  <c r="K196" i="5"/>
  <c r="J195" i="5"/>
  <c r="K195" i="5"/>
  <c r="J194" i="5"/>
  <c r="K194" i="5"/>
  <c r="J193" i="5"/>
  <c r="K193" i="5"/>
  <c r="J192" i="5"/>
  <c r="K192" i="5"/>
  <c r="J191" i="5"/>
  <c r="K191" i="5"/>
  <c r="J190" i="5"/>
  <c r="K190" i="5"/>
  <c r="J189" i="5"/>
  <c r="K189" i="5"/>
  <c r="J188" i="5"/>
  <c r="K188" i="5"/>
  <c r="J187" i="5"/>
  <c r="K187" i="5"/>
  <c r="J186" i="5"/>
  <c r="K186" i="5"/>
  <c r="J185" i="5"/>
  <c r="K185" i="5"/>
  <c r="J184" i="5"/>
  <c r="K184" i="5"/>
  <c r="J183" i="5"/>
  <c r="K183" i="5"/>
  <c r="J182" i="5"/>
  <c r="K182" i="5"/>
  <c r="J181" i="5"/>
  <c r="K181" i="5"/>
  <c r="J180" i="5"/>
  <c r="K180" i="5"/>
  <c r="J179" i="5"/>
  <c r="K179" i="5"/>
  <c r="J178" i="5"/>
  <c r="K178" i="5"/>
  <c r="J177" i="5"/>
  <c r="K177" i="5"/>
  <c r="J176" i="5"/>
  <c r="K176" i="5"/>
  <c r="J175" i="5"/>
  <c r="K175" i="5"/>
  <c r="J174" i="5"/>
  <c r="K174" i="5"/>
  <c r="J173" i="5"/>
  <c r="K173" i="5"/>
  <c r="J172" i="5"/>
  <c r="K172" i="5"/>
  <c r="J171" i="5"/>
  <c r="K171" i="5"/>
  <c r="J170" i="5"/>
  <c r="K170" i="5"/>
  <c r="J169" i="5"/>
  <c r="K169" i="5"/>
  <c r="J168" i="5"/>
  <c r="K168" i="5"/>
  <c r="J167" i="5"/>
  <c r="K167" i="5"/>
  <c r="J166" i="5"/>
  <c r="K166" i="5"/>
  <c r="J165" i="5"/>
  <c r="K165" i="5"/>
  <c r="J164" i="5"/>
  <c r="K164" i="5"/>
  <c r="J163" i="5"/>
  <c r="K163" i="5"/>
  <c r="J162" i="5"/>
  <c r="K162" i="5"/>
  <c r="J161" i="5"/>
  <c r="K161" i="5"/>
  <c r="J160" i="5"/>
  <c r="K160" i="5"/>
  <c r="J159" i="5"/>
  <c r="K159" i="5"/>
  <c r="J158" i="5"/>
  <c r="K158" i="5"/>
  <c r="J157" i="5"/>
  <c r="K157" i="5"/>
  <c r="J156" i="5"/>
  <c r="K156" i="5"/>
  <c r="J155" i="5"/>
  <c r="K155" i="5"/>
  <c r="J154" i="5"/>
  <c r="K154" i="5"/>
  <c r="J153" i="5"/>
  <c r="K153" i="5"/>
  <c r="J152" i="5"/>
  <c r="K152" i="5"/>
  <c r="J151" i="5"/>
  <c r="K151" i="5"/>
  <c r="J150" i="5"/>
  <c r="K150" i="5"/>
  <c r="J149" i="5"/>
  <c r="K149" i="5"/>
  <c r="J148" i="5"/>
  <c r="K148" i="5"/>
  <c r="J147" i="5"/>
  <c r="K147" i="5"/>
  <c r="J146" i="5"/>
  <c r="K146" i="5"/>
  <c r="J145" i="5"/>
  <c r="K145" i="5"/>
  <c r="J144" i="5"/>
  <c r="K144" i="5"/>
  <c r="J143" i="5"/>
  <c r="K143" i="5"/>
  <c r="J142" i="5"/>
  <c r="K142" i="5"/>
  <c r="J141" i="5"/>
  <c r="K141" i="5"/>
  <c r="J140" i="5"/>
  <c r="K140" i="5"/>
  <c r="J139" i="5"/>
  <c r="K139" i="5"/>
  <c r="J138" i="5"/>
  <c r="K138" i="5"/>
  <c r="J137" i="5"/>
  <c r="K137" i="5"/>
  <c r="J136" i="5"/>
  <c r="K136" i="5"/>
  <c r="J135" i="5"/>
  <c r="K135" i="5"/>
  <c r="J134" i="5"/>
  <c r="K134" i="5"/>
  <c r="J133" i="5"/>
  <c r="K133" i="5"/>
  <c r="J132" i="5"/>
  <c r="K132" i="5"/>
  <c r="J131" i="5"/>
  <c r="K131" i="5"/>
  <c r="J130" i="5"/>
  <c r="K130" i="5"/>
  <c r="J129" i="5"/>
  <c r="K129" i="5"/>
  <c r="J128" i="5"/>
  <c r="K128" i="5"/>
  <c r="J127" i="5"/>
  <c r="K127" i="5"/>
  <c r="J126" i="5"/>
  <c r="K126" i="5"/>
  <c r="J125" i="5"/>
  <c r="K125" i="5"/>
  <c r="J124" i="5"/>
  <c r="K124" i="5"/>
  <c r="J123" i="5"/>
  <c r="K123" i="5"/>
  <c r="J122" i="5"/>
  <c r="K122" i="5"/>
  <c r="J121" i="5"/>
  <c r="K121" i="5"/>
  <c r="J120" i="5"/>
  <c r="K120" i="5"/>
  <c r="J119" i="5"/>
  <c r="K119" i="5"/>
  <c r="J118" i="5"/>
  <c r="K118" i="5"/>
  <c r="J117" i="5"/>
  <c r="K117" i="5"/>
  <c r="J116" i="5"/>
  <c r="K116" i="5"/>
  <c r="J115" i="5"/>
  <c r="K115" i="5"/>
  <c r="J114" i="5"/>
  <c r="K114" i="5"/>
  <c r="J113" i="5"/>
  <c r="K113" i="5"/>
  <c r="J112" i="5"/>
  <c r="K112" i="5"/>
  <c r="J111" i="5"/>
  <c r="K111" i="5"/>
  <c r="J110" i="5"/>
  <c r="K110" i="5"/>
  <c r="J109" i="5"/>
  <c r="K109" i="5"/>
  <c r="J108" i="5"/>
  <c r="K108" i="5"/>
  <c r="J107" i="5"/>
  <c r="K107" i="5"/>
  <c r="J106" i="5"/>
  <c r="K106" i="5"/>
  <c r="J105" i="5"/>
  <c r="K105" i="5"/>
  <c r="J104" i="5"/>
  <c r="K104" i="5"/>
  <c r="J103" i="5"/>
  <c r="K103" i="5"/>
  <c r="J102" i="5"/>
  <c r="K102" i="5"/>
  <c r="J101" i="5"/>
  <c r="K101" i="5"/>
  <c r="J100" i="5"/>
  <c r="K100" i="5"/>
  <c r="J99" i="5"/>
  <c r="K99" i="5"/>
  <c r="J98" i="5"/>
  <c r="K98" i="5"/>
  <c r="J97" i="5"/>
  <c r="K97" i="5"/>
  <c r="J96" i="5"/>
  <c r="K96" i="5"/>
  <c r="J95" i="5"/>
  <c r="K95" i="5"/>
  <c r="J94" i="5"/>
  <c r="K94" i="5"/>
  <c r="J93" i="5"/>
  <c r="K93" i="5"/>
  <c r="J92" i="5"/>
  <c r="K92" i="5"/>
  <c r="J91" i="5"/>
  <c r="K91" i="5"/>
  <c r="J90" i="5"/>
  <c r="K90" i="5"/>
  <c r="J89" i="5"/>
  <c r="K89" i="5"/>
  <c r="J88" i="5"/>
  <c r="K88" i="5"/>
  <c r="J87" i="5"/>
  <c r="K87" i="5"/>
  <c r="J86" i="5"/>
  <c r="K86" i="5"/>
  <c r="J85" i="5"/>
  <c r="K85" i="5"/>
  <c r="J84" i="5"/>
  <c r="K84" i="5"/>
  <c r="J83" i="5"/>
  <c r="K83" i="5"/>
  <c r="J82" i="5"/>
  <c r="K82" i="5"/>
  <c r="J81" i="5"/>
  <c r="K81" i="5"/>
  <c r="J80" i="5"/>
  <c r="K80" i="5"/>
  <c r="J79" i="5"/>
  <c r="K79" i="5"/>
  <c r="J78" i="5"/>
  <c r="K78" i="5"/>
  <c r="J77" i="5"/>
  <c r="K77" i="5"/>
  <c r="J76" i="5"/>
  <c r="K76" i="5"/>
  <c r="J75" i="5"/>
  <c r="K75" i="5"/>
  <c r="J74" i="5"/>
  <c r="K74" i="5"/>
  <c r="J73" i="5"/>
  <c r="K73" i="5"/>
  <c r="J72" i="5"/>
  <c r="K72" i="5"/>
  <c r="J71" i="5"/>
  <c r="K71" i="5"/>
  <c r="J70" i="5"/>
  <c r="K70" i="5"/>
  <c r="J69" i="5"/>
  <c r="K69" i="5"/>
  <c r="J68" i="5"/>
  <c r="K68" i="5"/>
  <c r="J67" i="5"/>
  <c r="K67" i="5"/>
  <c r="J66" i="5"/>
  <c r="K66" i="5"/>
  <c r="J65" i="5"/>
  <c r="K65" i="5"/>
  <c r="J64" i="5"/>
  <c r="K64" i="5"/>
  <c r="J63" i="5"/>
  <c r="K63" i="5"/>
  <c r="J62" i="5"/>
  <c r="K62" i="5"/>
  <c r="J61" i="5"/>
  <c r="K61" i="5"/>
  <c r="J60" i="5"/>
  <c r="K60" i="5"/>
  <c r="J59" i="5"/>
  <c r="K59" i="5"/>
  <c r="J58" i="5"/>
  <c r="K58" i="5"/>
  <c r="J57" i="5"/>
  <c r="K57" i="5"/>
  <c r="J56" i="5"/>
  <c r="K56" i="5"/>
  <c r="J55" i="5"/>
  <c r="K55" i="5"/>
  <c r="J54" i="5"/>
  <c r="K54" i="5"/>
  <c r="J53" i="5"/>
  <c r="K53" i="5"/>
  <c r="J52" i="5"/>
  <c r="K52" i="5"/>
  <c r="J51" i="5"/>
  <c r="K51" i="5"/>
  <c r="J50" i="5"/>
  <c r="K50" i="5"/>
  <c r="J49" i="5"/>
  <c r="K49" i="5"/>
  <c r="J48" i="5"/>
  <c r="K48" i="5"/>
  <c r="J47" i="5"/>
  <c r="K47" i="5"/>
  <c r="J46" i="5"/>
  <c r="K46" i="5"/>
  <c r="J45" i="5"/>
  <c r="K45" i="5"/>
  <c r="J44" i="5"/>
  <c r="K44" i="5"/>
  <c r="J43" i="5"/>
  <c r="K43" i="5"/>
  <c r="J42" i="5"/>
  <c r="K42" i="5"/>
  <c r="J41" i="5"/>
  <c r="K41" i="5"/>
  <c r="J40" i="5"/>
  <c r="K40" i="5"/>
  <c r="J39" i="5"/>
  <c r="K39" i="5"/>
  <c r="J38" i="5"/>
  <c r="K38" i="5"/>
  <c r="J37" i="5"/>
  <c r="K37" i="5"/>
  <c r="J36" i="5"/>
  <c r="K36" i="5"/>
  <c r="J35" i="5"/>
  <c r="K35" i="5"/>
  <c r="J34" i="5"/>
  <c r="K34" i="5"/>
  <c r="J33" i="5"/>
  <c r="K33" i="5"/>
  <c r="J32" i="5"/>
  <c r="K32" i="5"/>
  <c r="J31" i="5"/>
  <c r="K31" i="5"/>
  <c r="J30" i="5"/>
  <c r="K30" i="5"/>
  <c r="J29" i="5"/>
  <c r="K29" i="5"/>
  <c r="J28" i="5"/>
  <c r="K28" i="5"/>
  <c r="J27" i="5"/>
  <c r="K27" i="5"/>
  <c r="J26" i="5"/>
  <c r="K26" i="5"/>
  <c r="J25" i="5"/>
  <c r="K25" i="5"/>
  <c r="J24" i="5"/>
  <c r="K24" i="5"/>
  <c r="J23" i="5"/>
  <c r="K23" i="5"/>
  <c r="J22" i="5"/>
  <c r="K22" i="5"/>
  <c r="J21" i="5"/>
  <c r="K21" i="5"/>
  <c r="J20" i="5"/>
  <c r="K20" i="5"/>
  <c r="J19" i="5"/>
  <c r="K19" i="5"/>
  <c r="J18" i="5"/>
  <c r="K18" i="5"/>
  <c r="J17" i="5"/>
  <c r="K17" i="5"/>
  <c r="J16" i="5"/>
  <c r="K16" i="5"/>
  <c r="J15" i="5"/>
  <c r="K15" i="5"/>
  <c r="J14" i="5"/>
  <c r="K14" i="5"/>
  <c r="J13" i="5"/>
  <c r="K13" i="5"/>
  <c r="J12" i="5"/>
  <c r="K12" i="5"/>
  <c r="J11" i="5"/>
  <c r="K11" i="5"/>
  <c r="J10" i="5"/>
  <c r="K10" i="5"/>
  <c r="J9" i="5"/>
  <c r="K9" i="5"/>
  <c r="J8" i="5"/>
  <c r="K8" i="5"/>
  <c r="J7" i="5"/>
  <c r="K7" i="5"/>
  <c r="J6" i="5"/>
  <c r="K6" i="5"/>
  <c r="J5" i="5"/>
  <c r="K5" i="5"/>
  <c r="J4" i="5"/>
  <c r="K4" i="5"/>
  <c r="J3" i="5"/>
  <c r="K3" i="5"/>
  <c r="J2" i="5"/>
  <c r="K2" i="5"/>
  <c r="N51" i="1" l="1"/>
  <c r="M51" i="1"/>
  <c r="K51" i="1"/>
  <c r="J51" i="1"/>
  <c r="H51" i="1"/>
  <c r="G51" i="1"/>
  <c r="E51" i="1"/>
  <c r="D51" i="1"/>
</calcChain>
</file>

<file path=xl/sharedStrings.xml><?xml version="1.0" encoding="utf-8"?>
<sst xmlns="http://schemas.openxmlformats.org/spreadsheetml/2006/main" count="16063" uniqueCount="125">
  <si>
    <t>LOCATIONS</t>
  </si>
  <si>
    <t>DOW</t>
  </si>
  <si>
    <t>MON</t>
  </si>
  <si>
    <t>TUE</t>
  </si>
  <si>
    <t>WED</t>
  </si>
  <si>
    <t>THU</t>
  </si>
  <si>
    <t>FRI</t>
  </si>
  <si>
    <t>AM Cycle 1</t>
  </si>
  <si>
    <t>AM Cycle 2</t>
  </si>
  <si>
    <t>PM Cycle 1</t>
  </si>
  <si>
    <t>PM Cycle 2</t>
  </si>
  <si>
    <t>Location</t>
  </si>
  <si>
    <t>Bus Number</t>
  </si>
  <si>
    <t>Shuttle Route</t>
  </si>
  <si>
    <t>Measurement Date</t>
  </si>
  <si>
    <t>SHUTTLE_ROUTES</t>
  </si>
  <si>
    <t>Driver Sheet - Students Loaded</t>
  </si>
  <si>
    <t>Para Sheet - Students Unloaded</t>
  </si>
  <si>
    <t>Day of Week</t>
  </si>
  <si>
    <t>BusNumber</t>
  </si>
  <si>
    <t>Count</t>
  </si>
  <si>
    <t>Cycle</t>
  </si>
  <si>
    <t>MeasurementDate</t>
  </si>
  <si>
    <t>DayofWeek</t>
  </si>
  <si>
    <t>ShuttleRoute</t>
  </si>
  <si>
    <t>AMPM</t>
  </si>
  <si>
    <t>OnOff</t>
  </si>
  <si>
    <t>To Update:</t>
  </si>
  <si>
    <t>Edit list as needed</t>
  </si>
  <si>
    <t>In Formulas tab, select Name Manager</t>
  </si>
  <si>
    <t>Click the updated list and then press "Edit..."</t>
  </si>
  <si>
    <t>Update the range under "refers to" as needed to match the updated list</t>
  </si>
  <si>
    <t>Grand Total</t>
  </si>
  <si>
    <t>PM Cycle1</t>
  </si>
  <si>
    <t>Total # Students</t>
  </si>
  <si>
    <t>Month</t>
  </si>
  <si>
    <t>Week</t>
  </si>
  <si>
    <t>Ridership Average</t>
  </si>
  <si>
    <t>Ridership Total</t>
  </si>
  <si>
    <t>(All)</t>
  </si>
  <si>
    <t xml:space="preserve"> </t>
  </si>
  <si>
    <t>(blank)</t>
  </si>
  <si>
    <t>ACADEMY 360</t>
  </si>
  <si>
    <t>AMESSE</t>
  </si>
  <si>
    <t>ARCHULETA</t>
  </si>
  <si>
    <t>CEYLON ST &amp; E 58TH AVE</t>
  </si>
  <si>
    <t>DCIS @ FORD</t>
  </si>
  <si>
    <t>E 55TH &amp; LIVERPOOL</t>
  </si>
  <si>
    <t>E ROBINS &amp; CATHAY</t>
  </si>
  <si>
    <t>ELMENDORF DR. &amp; ARGONNE ST.</t>
  </si>
  <si>
    <t>ELMENDORF DR. &amp; WALDEN</t>
  </si>
  <si>
    <t>ESCALANTE BIGGS</t>
  </si>
  <si>
    <t>EVIE DENNIS CAMPUS</t>
  </si>
  <si>
    <t>FALCON PARK</t>
  </si>
  <si>
    <t>GREEN VALLEY ES</t>
  </si>
  <si>
    <t>GREENWOOD</t>
  </si>
  <si>
    <t>HIGHLINE ACADEMY</t>
  </si>
  <si>
    <t>HOWELL</t>
  </si>
  <si>
    <t>IRELAND ST &amp; E 55TH PL</t>
  </si>
  <si>
    <t>KIPP CAMPUS (47TH &amp; WALDEN)</t>
  </si>
  <si>
    <t>KITTREDGE PARK &amp; ELK</t>
  </si>
  <si>
    <t>LEGACY</t>
  </si>
  <si>
    <t>MALAYA &amp; GVR (NORTH)</t>
  </si>
  <si>
    <t>MALAYA &amp; GVR (SOUTH)</t>
  </si>
  <si>
    <t>MARRAMA</t>
  </si>
  <si>
    <t>MAXWELL</t>
  </si>
  <si>
    <t>MCGLONE</t>
  </si>
  <si>
    <t>MLK MS &amp; HS</t>
  </si>
  <si>
    <t>MONARCH MONTESSORI</t>
  </si>
  <si>
    <t>MONTBELLO CAMPUS</t>
  </si>
  <si>
    <t>NOEL CAMPUS</t>
  </si>
  <si>
    <t>OAKLAND</t>
  </si>
  <si>
    <t>OMAR D BLAIR CAMPUS</t>
  </si>
  <si>
    <t>PITT WALLER</t>
  </si>
  <si>
    <t>REGIS GROFF CAMPUS</t>
  </si>
  <si>
    <t>SAMSONITE CAMPUS</t>
  </si>
  <si>
    <t xml:space="preserve">(4225) KITTREDGE </t>
  </si>
  <si>
    <t>59TH &amp; N. DUNKIRK ST.</t>
  </si>
  <si>
    <t>61ST &amp; SALIDA</t>
  </si>
  <si>
    <t>YELLOW 1</t>
  </si>
  <si>
    <t>YELLOW 2</t>
  </si>
  <si>
    <t>YELLOW 3</t>
  </si>
  <si>
    <t>YELLOW 4</t>
  </si>
  <si>
    <t>YELLOW 5</t>
  </si>
  <si>
    <t>YELLOW 6</t>
  </si>
  <si>
    <t>YELLOW 7</t>
  </si>
  <si>
    <t>YELLOW 8</t>
  </si>
  <si>
    <t>YELLOW 9</t>
  </si>
  <si>
    <t>YELLOW 10</t>
  </si>
  <si>
    <t>YELLOW 11</t>
  </si>
  <si>
    <t>YELLOW 12</t>
  </si>
  <si>
    <t>GREEN 1</t>
  </si>
  <si>
    <t>GREEN 2</t>
  </si>
  <si>
    <t>GREEN 3</t>
  </si>
  <si>
    <t>GREEN 4</t>
  </si>
  <si>
    <t>GREEN 5</t>
  </si>
  <si>
    <t>GREEN 6</t>
  </si>
  <si>
    <t>GREEN 7</t>
  </si>
  <si>
    <t>GREEN 8</t>
  </si>
  <si>
    <t>GREEN 9</t>
  </si>
  <si>
    <t>GREEN 10</t>
  </si>
  <si>
    <t>GREEN 11</t>
  </si>
  <si>
    <t>GREEN 12</t>
  </si>
  <si>
    <t>YELLOW EXP 103</t>
  </si>
  <si>
    <t>YELLOW EXP 104</t>
  </si>
  <si>
    <t>YELLOW EXP 101</t>
  </si>
  <si>
    <t>GREEN EXP 101</t>
  </si>
  <si>
    <t>GREEN EXP 102</t>
  </si>
  <si>
    <t>GREEN ASA 101</t>
  </si>
  <si>
    <t>PM</t>
  </si>
  <si>
    <t>ON</t>
  </si>
  <si>
    <t>AM</t>
  </si>
  <si>
    <t>OFF</t>
  </si>
  <si>
    <t>Green 1</t>
  </si>
  <si>
    <t>Green 2</t>
  </si>
  <si>
    <t>Green 6</t>
  </si>
  <si>
    <t>Yellow 1</t>
  </si>
  <si>
    <t>Yellow 10</t>
  </si>
  <si>
    <t>yellow 10</t>
  </si>
  <si>
    <t>Yellow 4</t>
  </si>
  <si>
    <t>Yellow 5</t>
  </si>
  <si>
    <t>Green 8</t>
  </si>
  <si>
    <t>Green 10</t>
  </si>
  <si>
    <t>yellow 8</t>
  </si>
  <si>
    <t>Green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</si>
</sst>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2" borderId="1" xfId="0" applyFont="1" applyFill="1" applyBorder="1"/>
    <xf numFmtId="0" fontId="0" fillId="3" borderId="1" xfId="0" applyFill="1" applyBorder="1"/>
    <xf numFmtId="0" fontId="0" fillId="5" borderId="0" xfId="0" applyFill="1" applyBorder="1"/>
    <xf numFmtId="0" fontId="0" fillId="5" borderId="0" xfId="0" applyFill="1"/>
    <xf numFmtId="0" fontId="1" fillId="5" borderId="0" xfId="0" applyFont="1" applyFill="1"/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righ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right"/>
    </xf>
    <xf numFmtId="0" fontId="0" fillId="5" borderId="0" xfId="0" applyFill="1" applyBorder="1" applyAlignment="1"/>
    <xf numFmtId="0" fontId="1" fillId="5" borderId="0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1" fillId="0" borderId="1" xfId="0" applyFont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4" borderId="1" xfId="0" applyFont="1" applyFill="1" applyBorder="1" applyAlignment="1" applyProtection="1">
      <alignment horizontal="right"/>
      <protection locked="0"/>
    </xf>
    <xf numFmtId="0" fontId="0" fillId="4" borderId="1" xfId="0" applyFill="1" applyBorder="1" applyAlignment="1" applyProtection="1">
      <alignment horizontal="center"/>
      <protection locked="0"/>
    </xf>
    <xf numFmtId="0" fontId="1" fillId="6" borderId="1" xfId="0" applyFont="1" applyFill="1" applyBorder="1"/>
    <xf numFmtId="0" fontId="4" fillId="5" borderId="0" xfId="0" applyFont="1" applyFill="1"/>
    <xf numFmtId="0" fontId="4" fillId="6" borderId="6" xfId="0" applyFont="1" applyFill="1" applyBorder="1"/>
    <xf numFmtId="0" fontId="0" fillId="5" borderId="0" xfId="0" applyFill="1" applyBorder="1" applyProtection="1">
      <protection locked="0"/>
    </xf>
    <xf numFmtId="0" fontId="0" fillId="4" borderId="5" xfId="0" applyFill="1" applyBorder="1" applyAlignment="1" applyProtection="1">
      <alignment horizontal="center"/>
      <protection locked="0"/>
    </xf>
    <xf numFmtId="0" fontId="1" fillId="0" borderId="1" xfId="0" applyFont="1" applyFill="1" applyBorder="1" applyAlignment="1" applyProtection="1">
      <alignment horizontal="right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0" fillId="4" borderId="7" xfId="0" applyFill="1" applyBorder="1" applyAlignment="1" applyProtection="1">
      <alignment horizontal="center"/>
      <protection locked="0"/>
    </xf>
    <xf numFmtId="14" fontId="0" fillId="0" borderId="0" xfId="0" applyNumberFormat="1"/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0" fillId="0" borderId="2" xfId="0" applyNumberFormat="1" applyBorder="1" applyAlignment="1" applyProtection="1">
      <alignment horizontal="center"/>
      <protection locked="0"/>
    </xf>
    <xf numFmtId="14" fontId="0" fillId="0" borderId="3" xfId="0" applyNumberFormat="1" applyBorder="1" applyAlignment="1" applyProtection="1">
      <alignment horizontal="center"/>
      <protection locked="0"/>
    </xf>
    <xf numFmtId="14" fontId="0" fillId="0" borderId="4" xfId="0" applyNumberFormat="1" applyBorder="1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0" fontId="0" fillId="0" borderId="3" xfId="0" applyNumberFormat="1" applyBorder="1" applyAlignment="1" applyProtection="1">
      <alignment horizontal="center"/>
      <protection locked="0"/>
    </xf>
    <xf numFmtId="0" fontId="0" fillId="0" borderId="4" xfId="0" applyNumberFormat="1" applyBorder="1" applyAlignment="1" applyProtection="1">
      <alignment horizontal="center"/>
      <protection locked="0"/>
    </xf>
  </cellXfs>
  <cellStyles count="1">
    <cellStyle name="Normal" xfId="0" builtinId="0"/>
  </cellStyles>
  <dxfs count="44">
    <dxf>
      <numFmt numFmtId="0" formatCode="General"/>
    </dxf>
    <dxf>
      <numFmt numFmtId="0" formatCode="General"/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1</xdr:row>
          <xdr:rowOff>28575</xdr:rowOff>
        </xdr:from>
        <xdr:to>
          <xdr:col>19</xdr:col>
          <xdr:colOff>219075</xdr:colOff>
          <xdr:row>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3986.4918412037" createdVersion="5" refreshedVersion="6" minRefreshableVersion="3" recordCount="3141">
  <cacheSource type="worksheet">
    <worksheetSource name="tblRidershipData"/>
  </cacheSource>
  <cacheFields count="11">
    <cacheField name="MeasurementDate" numFmtId="14">
      <sharedItems containsSemiMixedTypes="0" containsNonDate="0" containsDate="1" containsString="0" minDate="2019-09-16T00:00:00" maxDate="2020-07-18T00:00:00"/>
    </cacheField>
    <cacheField name="DayofWeek" numFmtId="0">
      <sharedItems containsMixedTypes="1" containsNumber="1" containsInteger="1" minValue="6551" maxValue="6552" count="6">
        <s v="MON"/>
        <s v="WED"/>
        <s v="THU"/>
        <s v="FRI"/>
        <n v="6551" u="1"/>
        <n v="6552" u="1"/>
      </sharedItems>
    </cacheField>
    <cacheField name="BusNumber" numFmtId="0">
      <sharedItems containsSemiMixedTypes="0" containsDate="1" containsString="0" containsMixedTypes="1" minDate="1899-12-31T14:25:04" maxDate="2019-10-03T00:00:00"/>
    </cacheField>
    <cacheField name="ShuttleRoute" numFmtId="0">
      <sharedItems containsBlank="1" count="70">
        <s v="YELLOW 2"/>
        <s v="YELLOW EXP 101"/>
        <s v="GREEN EXP 101"/>
        <s v="YELLOW 3"/>
        <s v="YELLOW 1"/>
        <s v="YELLOW 10"/>
        <s v="YELLOW 6"/>
        <s v="YELLOW 7"/>
        <s v="YELLOW 9"/>
        <s v="YELLOW 5"/>
        <s v="YELLOW 8"/>
        <s v="YELLOW 12"/>
        <s v="YELLOW 11"/>
        <s v="Green 1"/>
        <s v="GREEN 3"/>
        <s v="GREEN 12"/>
        <m/>
        <s v="GREEN 2"/>
        <s v="GREEN 6"/>
        <s v="GREEN 11"/>
        <s v="GREEN 10"/>
        <s v="GREEN 8"/>
        <s v="GREEN 7"/>
        <s v="GREEN 4"/>
        <s v="GREEN 9"/>
        <s v="YELLOW 4"/>
        <s v="GREEN EXP 102"/>
        <s v="GREEN 5"/>
        <s v="BLUE 10" u="1"/>
        <s v="RED 13" u="1"/>
        <s v="ORANGE 3" u="1"/>
        <s v="BLUE 11" u="1"/>
        <s v="RED 6" u="1"/>
        <s v="PURPLE 5" u="1"/>
        <s v="RED 16" u="1"/>
        <s v="BLUE 13" u="1"/>
        <s v="BLUE 32" u="1"/>
        <s v="RED 5" u="1"/>
        <s v="RED 18" u="1"/>
        <s v="BLUE 14" u="1"/>
        <s v="ORANGE 2" u="1"/>
        <s v="BLUE 1" u="1"/>
        <s v="BLUE 2" u="1"/>
        <s v="PURPLE 4" u="1"/>
        <s v="BLUE 3" u="1"/>
        <s v="RED 4" u="1"/>
        <s v="BLUE 4" u="1"/>
        <s v="ORANGE 1" u="1"/>
        <s v="BLUE 27" u="1"/>
        <s v="ORANGE 6" u="1"/>
        <s v="BLUE 5" u="1"/>
        <s v="BLUE 6" u="1"/>
        <s v="PURPLE 3" u="1"/>
        <s v="RED 3" u="1"/>
        <s v="BLUE 7" u="1"/>
        <s v="BLUE 8" u="1"/>
        <s v="RED 9" u="1"/>
        <s v="BLUE 9" u="1"/>
        <s v="ORANGE 5" u="1"/>
        <s v="RED 2" u="1"/>
        <s v="PURPLE 2" u="1"/>
        <s v="RED 8" u="1"/>
        <s v="RED 36" u="1"/>
        <s v="ORANGE 4" u="1"/>
        <s v="RED 1" u="1"/>
        <s v="RED 10" u="1"/>
        <s v="RED 7" u="1"/>
        <s v="PURPLE 1" u="1"/>
        <s v="RED 11" u="1"/>
        <s v="PURPLE 6" u="1"/>
      </sharedItems>
    </cacheField>
    <cacheField name="AMPM" numFmtId="0">
      <sharedItems containsBlank="1" count="3">
        <s v="PM"/>
        <s v="AM"/>
        <m u="1"/>
      </sharedItems>
    </cacheField>
    <cacheField name="Cycle" numFmtId="0">
      <sharedItems containsSemiMixedTypes="0" containsString="0" containsNumber="1" containsInteger="1" minValue="1" maxValue="2"/>
    </cacheField>
    <cacheField name="Location" numFmtId="0">
      <sharedItems containsBlank="1" count="92">
        <s v="ARCHULETA"/>
        <s v="HOWELL"/>
        <s v="KIPP CAMPUS (47TH &amp; WALDEN)"/>
        <s v="NOEL CAMPUS"/>
        <s v="AMESSE"/>
        <s v="GREENWOOD"/>
        <s v="KITTREDGE PARK &amp; ELK"/>
        <s v="MCGLONE"/>
        <s v="MONARCH MONTESSORI"/>
        <s v="OAKLAND"/>
        <s v="(4225) KITTREDGE "/>
        <s v="DCIS @ FORD"/>
        <s v="ESCALANTE BIGGS"/>
        <s v="MONTBELLO CAMPUS"/>
        <s v="SAMSONITE CAMPUS"/>
        <s v="GREEN VALLEY ES"/>
        <s v="OMAR D BLAIR CAMPUS"/>
        <s v="REGIS GROFF CAMPUS"/>
        <s v="ACADEMY 360"/>
        <s v="PITT WALLER"/>
        <s v="EVIE DENNIS CAMPUS"/>
        <s v="MLK MS &amp; HS"/>
        <s v="LEGACY"/>
        <s v="MARRAMA"/>
        <s v="HIGHLINE ACADEMY"/>
        <s v="MALAYA &amp; GVR (NORTH)"/>
        <s v="MAXWELL"/>
        <s v="CEYLON ST &amp; E 58TH AVE"/>
        <s v="ELMENDORF DR. &amp; WALDEN"/>
        <s v="IRELAND ST &amp; E 55TH PL"/>
        <s v="59TH &amp; N. DUNKIRK ST."/>
        <s v="E ROBINS &amp; CATHAY"/>
        <s v="ELMENDORF DR. &amp; ARGONNE ST."/>
        <s v="E 55TH &amp; LIVERPOOL"/>
        <s v="MALAYA &amp; GVR (SOUTH)"/>
        <s v="61ST &amp; SALIDA"/>
        <s v="FALCON PARK"/>
        <m u="1"/>
        <s v="Whittier" u="1"/>
        <s v="Harrington ES" u="1"/>
        <s v="48th Ave &amp; High St " u="1"/>
        <s v="E 45th Ave &amp; Clayton St" u="1"/>
        <s v="Arkins Ct @ 31st ST " u="1"/>
        <s v="Swansea ES" u="1"/>
        <s v="Univ Prep @ Steele" u="1"/>
        <s v="E 43rd Ave &amp; Cook St" u="1"/>
        <s v="KITTREDGE" u="1"/>
        <s v="W 45th Ave &amp; Cherokee" u="1"/>
        <s v="DC-21 @ Wyman ES" u="1"/>
        <s v="DC-21 AT WYMAN" u="1"/>
        <s v="GREEN VALLEY" u="1"/>
        <s v="SWANSEA" u="1"/>
        <s v="Randolph MS &amp; HS" u="1"/>
        <s v="4725 HIGH ST." u="1"/>
        <s v="ARKINS CT. &amp; 31ST ST." u="1"/>
        <s v="COLUMBINE" u="1"/>
        <s v="GILPIN CAMPUS" u="1"/>
        <s v="HIGHLINE" u="1"/>
        <s v="Barrett ES" u="1"/>
        <s v="E 51ST AVE. &amp; LOGAN ST." u="1"/>
        <s v="Garden Place ES" u="1"/>
        <s v="BRUCE RANDOLPH" u="1"/>
        <s v="INTERNATIONAL ACADEMY OF DENVER" u="1"/>
        <s v="OMAR D BLAIR" u="1"/>
        <s v="Cole Arts/DSST @ Cole" u="1"/>
        <s v="Manual HS/Mcauliff @ Manual" u="1"/>
        <s v="Manual HS\Mcauliff @ Manual" u="1"/>
        <s v="35TH AVE. &amp; MADISON ST." u="1"/>
        <s v="WYATT" u="1"/>
        <s v="Wyatt Academy" u="1"/>
        <s v="Gilpin" u="1"/>
        <s v="Columbine ES" u="1"/>
        <s v="51st Ave &amp; Logan St" u="1"/>
        <s v="MANUAL CAMPUS" u="1"/>
        <s v="Delgany St @ Wewetta Way" u="1"/>
        <s v="COLE ARTS &amp; SCIENCE/DSST: COLE" u="1"/>
        <s v="E 45TH AVE. &amp; CLAYTON ST." u="1"/>
        <s v="UNIVERSITY PREP - STEELE ST." u="1"/>
        <s v="MALAYA &amp; GVR" u="1"/>
        <s v="UNIVERSITY PREP - ARAPAHOE ST." u="1"/>
        <s v="P.U.S.H" u="1"/>
        <s v="HI TECH" u="1"/>
        <s v="E 52nd Ave &amp; Adams St" u="1"/>
        <s v="47TH &amp; WALDEN" u="1"/>
        <s v="E 52ND AVE. &amp; ADAMS ST." u="1"/>
        <s v="GARDEN PLACE" u="1"/>
        <s v="SB 22nd St at Court Pl " u="1"/>
        <s v="CEYLONN ST &amp; E 58TH AVE" u="1"/>
        <s v="E 35th Ave &amp; Madison St" u="1"/>
        <s v="DELGANY ST. &amp; WEWATTA WAY" u="1"/>
        <s v="4725 High St" u="1"/>
        <s v="Univ Prep @ Arapahoe" u="1"/>
      </sharedItems>
    </cacheField>
    <cacheField name="OnOff" numFmtId="0">
      <sharedItems containsBlank="1" count="3">
        <s v="ON"/>
        <s v="OFF"/>
        <m u="1"/>
      </sharedItems>
    </cacheField>
    <cacheField name="Count" numFmtId="0">
      <sharedItems containsSemiMixedTypes="0" containsString="0" containsNumber="1" containsInteger="1" minValue="1" maxValue="65"/>
    </cacheField>
    <cacheField name="Week" numFmtId="0">
      <sharedItems containsSemiMixedTypes="0" containsString="0" containsNumber="1" containsInteger="1" minValue="3" maxValue="50" count="15">
        <n v="38"/>
        <n v="40"/>
        <n v="46"/>
        <n v="50"/>
        <n v="3"/>
        <n v="29"/>
        <n v="34" u="1"/>
        <n v="16" u="1"/>
        <n v="19" u="1"/>
        <n v="7" u="1"/>
        <n v="35" u="1"/>
        <n v="37" u="1"/>
        <n v="41" u="1"/>
        <n v="10" u="1"/>
        <n v="49" u="1"/>
      </sharedItems>
    </cacheField>
    <cacheField name="Month" numFmtId="0">
      <sharedItems containsSemiMixedTypes="0" containsString="0" containsNumber="1" containsInteger="1" minValue="1" maxValue="12" count="11">
        <n v="9"/>
        <n v="10"/>
        <n v="11"/>
        <n v="12"/>
        <n v="1"/>
        <n v="7"/>
        <n v="3" u="1"/>
        <n v="8" u="1"/>
        <n v="4" u="1"/>
        <n v="2" u="1"/>
        <n v="5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41">
  <r>
    <d v="2019-09-16T00:00:00"/>
    <x v="0"/>
    <n v="1030"/>
    <x v="0"/>
    <x v="0"/>
    <n v="1"/>
    <x v="0"/>
    <x v="0"/>
    <n v="15"/>
    <x v="0"/>
    <x v="0"/>
  </r>
  <r>
    <d v="2019-09-16T00:00:00"/>
    <x v="0"/>
    <n v="1030"/>
    <x v="0"/>
    <x v="0"/>
    <n v="1"/>
    <x v="1"/>
    <x v="0"/>
    <n v="17"/>
    <x v="0"/>
    <x v="0"/>
  </r>
  <r>
    <d v="2019-09-16T00:00:00"/>
    <x v="0"/>
    <n v="1030"/>
    <x v="0"/>
    <x v="0"/>
    <n v="1"/>
    <x v="2"/>
    <x v="0"/>
    <n v="36"/>
    <x v="0"/>
    <x v="0"/>
  </r>
  <r>
    <d v="2019-09-16T00:00:00"/>
    <x v="0"/>
    <n v="1030"/>
    <x v="0"/>
    <x v="0"/>
    <n v="1"/>
    <x v="3"/>
    <x v="0"/>
    <n v="10"/>
    <x v="0"/>
    <x v="0"/>
  </r>
  <r>
    <d v="2019-09-16T00:00:00"/>
    <x v="0"/>
    <n v="1030"/>
    <x v="0"/>
    <x v="1"/>
    <n v="1"/>
    <x v="4"/>
    <x v="0"/>
    <n v="18"/>
    <x v="0"/>
    <x v="0"/>
  </r>
  <r>
    <d v="2019-09-16T00:00:00"/>
    <x v="0"/>
    <n v="1030"/>
    <x v="0"/>
    <x v="1"/>
    <n v="1"/>
    <x v="5"/>
    <x v="0"/>
    <n v="2"/>
    <x v="0"/>
    <x v="0"/>
  </r>
  <r>
    <d v="2019-09-16T00:00:00"/>
    <x v="0"/>
    <n v="1030"/>
    <x v="0"/>
    <x v="1"/>
    <n v="1"/>
    <x v="2"/>
    <x v="0"/>
    <n v="3"/>
    <x v="0"/>
    <x v="0"/>
  </r>
  <r>
    <d v="2019-09-16T00:00:00"/>
    <x v="0"/>
    <n v="1030"/>
    <x v="0"/>
    <x v="1"/>
    <n v="1"/>
    <x v="6"/>
    <x v="0"/>
    <n v="3"/>
    <x v="0"/>
    <x v="0"/>
  </r>
  <r>
    <d v="2019-09-16T00:00:00"/>
    <x v="0"/>
    <n v="1030"/>
    <x v="0"/>
    <x v="1"/>
    <n v="1"/>
    <x v="7"/>
    <x v="0"/>
    <n v="5"/>
    <x v="0"/>
    <x v="0"/>
  </r>
  <r>
    <d v="2019-09-16T00:00:00"/>
    <x v="0"/>
    <n v="1030"/>
    <x v="0"/>
    <x v="1"/>
    <n v="1"/>
    <x v="8"/>
    <x v="0"/>
    <n v="2"/>
    <x v="0"/>
    <x v="0"/>
  </r>
  <r>
    <d v="2019-09-16T00:00:00"/>
    <x v="0"/>
    <n v="1030"/>
    <x v="0"/>
    <x v="1"/>
    <n v="1"/>
    <x v="3"/>
    <x v="0"/>
    <n v="2"/>
    <x v="0"/>
    <x v="0"/>
  </r>
  <r>
    <d v="2019-09-16T00:00:00"/>
    <x v="0"/>
    <n v="1030"/>
    <x v="0"/>
    <x v="1"/>
    <n v="1"/>
    <x v="9"/>
    <x v="0"/>
    <n v="5"/>
    <x v="0"/>
    <x v="0"/>
  </r>
  <r>
    <d v="2019-09-16T00:00:00"/>
    <x v="0"/>
    <n v="1030"/>
    <x v="0"/>
    <x v="1"/>
    <n v="1"/>
    <x v="10"/>
    <x v="0"/>
    <n v="2"/>
    <x v="0"/>
    <x v="0"/>
  </r>
  <r>
    <d v="2019-09-16T00:00:00"/>
    <x v="0"/>
    <n v="1030"/>
    <x v="0"/>
    <x v="1"/>
    <n v="2"/>
    <x v="4"/>
    <x v="0"/>
    <n v="3"/>
    <x v="0"/>
    <x v="0"/>
  </r>
  <r>
    <d v="2019-09-16T00:00:00"/>
    <x v="0"/>
    <n v="1030"/>
    <x v="0"/>
    <x v="1"/>
    <n v="2"/>
    <x v="11"/>
    <x v="0"/>
    <n v="3"/>
    <x v="0"/>
    <x v="0"/>
  </r>
  <r>
    <d v="2019-09-16T00:00:00"/>
    <x v="0"/>
    <n v="1030"/>
    <x v="0"/>
    <x v="1"/>
    <n v="2"/>
    <x v="12"/>
    <x v="0"/>
    <n v="5"/>
    <x v="0"/>
    <x v="0"/>
  </r>
  <r>
    <d v="2019-09-16T00:00:00"/>
    <x v="0"/>
    <n v="1030"/>
    <x v="0"/>
    <x v="1"/>
    <n v="2"/>
    <x v="5"/>
    <x v="0"/>
    <n v="3"/>
    <x v="0"/>
    <x v="0"/>
  </r>
  <r>
    <d v="2019-09-16T00:00:00"/>
    <x v="0"/>
    <n v="1030"/>
    <x v="0"/>
    <x v="1"/>
    <n v="2"/>
    <x v="8"/>
    <x v="0"/>
    <n v="2"/>
    <x v="0"/>
    <x v="0"/>
  </r>
  <r>
    <d v="2019-09-16T00:00:00"/>
    <x v="0"/>
    <n v="1030"/>
    <x v="0"/>
    <x v="1"/>
    <n v="1"/>
    <x v="5"/>
    <x v="1"/>
    <n v="5"/>
    <x v="0"/>
    <x v="0"/>
  </r>
  <r>
    <d v="2019-09-16T00:00:00"/>
    <x v="0"/>
    <n v="1030"/>
    <x v="0"/>
    <x v="1"/>
    <n v="1"/>
    <x v="13"/>
    <x v="1"/>
    <n v="24"/>
    <x v="0"/>
    <x v="0"/>
  </r>
  <r>
    <d v="2019-09-16T00:00:00"/>
    <x v="0"/>
    <n v="1030"/>
    <x v="0"/>
    <x v="1"/>
    <n v="1"/>
    <x v="14"/>
    <x v="1"/>
    <n v="11"/>
    <x v="0"/>
    <x v="0"/>
  </r>
  <r>
    <d v="2019-09-16T00:00:00"/>
    <x v="0"/>
    <n v="1030"/>
    <x v="0"/>
    <x v="1"/>
    <n v="2"/>
    <x v="0"/>
    <x v="1"/>
    <n v="15"/>
    <x v="0"/>
    <x v="0"/>
  </r>
  <r>
    <d v="2019-09-16T00:00:00"/>
    <x v="0"/>
    <n v="1030"/>
    <x v="0"/>
    <x v="1"/>
    <n v="2"/>
    <x v="12"/>
    <x v="1"/>
    <n v="3"/>
    <x v="0"/>
    <x v="0"/>
  </r>
  <r>
    <d v="2019-09-16T00:00:00"/>
    <x v="0"/>
    <n v="1030"/>
    <x v="0"/>
    <x v="0"/>
    <n v="1"/>
    <x v="4"/>
    <x v="1"/>
    <n v="11"/>
    <x v="0"/>
    <x v="0"/>
  </r>
  <r>
    <d v="2019-09-16T00:00:00"/>
    <x v="0"/>
    <n v="1030"/>
    <x v="0"/>
    <x v="0"/>
    <n v="1"/>
    <x v="0"/>
    <x v="1"/>
    <n v="5"/>
    <x v="0"/>
    <x v="0"/>
  </r>
  <r>
    <d v="2019-09-16T00:00:00"/>
    <x v="0"/>
    <n v="1030"/>
    <x v="0"/>
    <x v="0"/>
    <n v="1"/>
    <x v="11"/>
    <x v="1"/>
    <n v="8"/>
    <x v="0"/>
    <x v="0"/>
  </r>
  <r>
    <d v="2019-09-16T00:00:00"/>
    <x v="0"/>
    <n v="1030"/>
    <x v="0"/>
    <x v="0"/>
    <n v="1"/>
    <x v="5"/>
    <x v="1"/>
    <n v="1"/>
    <x v="0"/>
    <x v="0"/>
  </r>
  <r>
    <d v="2019-09-16T00:00:00"/>
    <x v="0"/>
    <n v="1030"/>
    <x v="0"/>
    <x v="0"/>
    <n v="1"/>
    <x v="2"/>
    <x v="1"/>
    <n v="1"/>
    <x v="0"/>
    <x v="0"/>
  </r>
  <r>
    <d v="2019-09-16T00:00:00"/>
    <x v="0"/>
    <n v="1030"/>
    <x v="0"/>
    <x v="0"/>
    <n v="1"/>
    <x v="6"/>
    <x v="1"/>
    <n v="10"/>
    <x v="0"/>
    <x v="0"/>
  </r>
  <r>
    <d v="2019-09-16T00:00:00"/>
    <x v="0"/>
    <n v="1030"/>
    <x v="0"/>
    <x v="0"/>
    <n v="1"/>
    <x v="7"/>
    <x v="1"/>
    <n v="9"/>
    <x v="0"/>
    <x v="0"/>
  </r>
  <r>
    <d v="2019-09-16T00:00:00"/>
    <x v="0"/>
    <n v="1030"/>
    <x v="0"/>
    <x v="0"/>
    <n v="1"/>
    <x v="13"/>
    <x v="1"/>
    <n v="4"/>
    <x v="0"/>
    <x v="0"/>
  </r>
  <r>
    <d v="2019-09-16T00:00:00"/>
    <x v="0"/>
    <n v="1030"/>
    <x v="0"/>
    <x v="0"/>
    <n v="1"/>
    <x v="3"/>
    <x v="1"/>
    <n v="14"/>
    <x v="0"/>
    <x v="0"/>
  </r>
  <r>
    <d v="2019-09-16T00:00:00"/>
    <x v="0"/>
    <n v="1030"/>
    <x v="0"/>
    <x v="0"/>
    <n v="1"/>
    <x v="9"/>
    <x v="1"/>
    <n v="12"/>
    <x v="0"/>
    <x v="0"/>
  </r>
  <r>
    <d v="2019-09-16T00:00:00"/>
    <x v="0"/>
    <n v="1030"/>
    <x v="0"/>
    <x v="0"/>
    <n v="1"/>
    <x v="10"/>
    <x v="1"/>
    <n v="3"/>
    <x v="0"/>
    <x v="0"/>
  </r>
  <r>
    <d v="2019-09-16T00:00:00"/>
    <x v="0"/>
    <n v="1071"/>
    <x v="1"/>
    <x v="1"/>
    <n v="1"/>
    <x v="4"/>
    <x v="0"/>
    <n v="5"/>
    <x v="0"/>
    <x v="0"/>
  </r>
  <r>
    <d v="2019-09-16T00:00:00"/>
    <x v="0"/>
    <n v="1071"/>
    <x v="1"/>
    <x v="1"/>
    <n v="1"/>
    <x v="15"/>
    <x v="0"/>
    <n v="14"/>
    <x v="0"/>
    <x v="0"/>
  </r>
  <r>
    <d v="2019-09-16T00:00:00"/>
    <x v="0"/>
    <n v="1071"/>
    <x v="1"/>
    <x v="1"/>
    <n v="2"/>
    <x v="4"/>
    <x v="0"/>
    <n v="1"/>
    <x v="0"/>
    <x v="0"/>
  </r>
  <r>
    <d v="2019-09-16T00:00:00"/>
    <x v="0"/>
    <n v="1071"/>
    <x v="1"/>
    <x v="1"/>
    <n v="2"/>
    <x v="11"/>
    <x v="0"/>
    <n v="8"/>
    <x v="0"/>
    <x v="0"/>
  </r>
  <r>
    <d v="2019-09-16T00:00:00"/>
    <x v="0"/>
    <n v="1071"/>
    <x v="1"/>
    <x v="1"/>
    <n v="2"/>
    <x v="5"/>
    <x v="0"/>
    <n v="3"/>
    <x v="0"/>
    <x v="0"/>
  </r>
  <r>
    <d v="2019-09-16T00:00:00"/>
    <x v="0"/>
    <n v="1071"/>
    <x v="1"/>
    <x v="1"/>
    <n v="2"/>
    <x v="6"/>
    <x v="0"/>
    <n v="5"/>
    <x v="0"/>
    <x v="0"/>
  </r>
  <r>
    <d v="2019-09-16T00:00:00"/>
    <x v="0"/>
    <n v="1071"/>
    <x v="1"/>
    <x v="1"/>
    <n v="2"/>
    <x v="9"/>
    <x v="0"/>
    <n v="5"/>
    <x v="0"/>
    <x v="0"/>
  </r>
  <r>
    <d v="2019-09-16T00:00:00"/>
    <x v="0"/>
    <n v="1071"/>
    <x v="1"/>
    <x v="1"/>
    <n v="2"/>
    <x v="10"/>
    <x v="0"/>
    <n v="1"/>
    <x v="0"/>
    <x v="0"/>
  </r>
  <r>
    <d v="2019-09-16T00:00:00"/>
    <x v="0"/>
    <n v="1071"/>
    <x v="2"/>
    <x v="1"/>
    <n v="1"/>
    <x v="4"/>
    <x v="0"/>
    <n v="12"/>
    <x v="0"/>
    <x v="0"/>
  </r>
  <r>
    <d v="2019-09-16T00:00:00"/>
    <x v="0"/>
    <n v="1071"/>
    <x v="2"/>
    <x v="1"/>
    <n v="1"/>
    <x v="0"/>
    <x v="0"/>
    <n v="2"/>
    <x v="0"/>
    <x v="0"/>
  </r>
  <r>
    <d v="2019-09-16T00:00:00"/>
    <x v="0"/>
    <n v="1071"/>
    <x v="2"/>
    <x v="1"/>
    <n v="1"/>
    <x v="11"/>
    <x v="0"/>
    <n v="16"/>
    <x v="0"/>
    <x v="0"/>
  </r>
  <r>
    <d v="2019-09-16T00:00:00"/>
    <x v="0"/>
    <n v="1071"/>
    <x v="2"/>
    <x v="1"/>
    <n v="1"/>
    <x v="7"/>
    <x v="0"/>
    <n v="3"/>
    <x v="0"/>
    <x v="0"/>
  </r>
  <r>
    <d v="2019-09-16T00:00:00"/>
    <x v="0"/>
    <n v="1071"/>
    <x v="2"/>
    <x v="1"/>
    <n v="1"/>
    <x v="13"/>
    <x v="0"/>
    <n v="8"/>
    <x v="0"/>
    <x v="0"/>
  </r>
  <r>
    <d v="2019-09-16T00:00:00"/>
    <x v="0"/>
    <n v="1071"/>
    <x v="2"/>
    <x v="1"/>
    <n v="1"/>
    <x v="3"/>
    <x v="0"/>
    <n v="5"/>
    <x v="0"/>
    <x v="0"/>
  </r>
  <r>
    <d v="2019-09-16T00:00:00"/>
    <x v="0"/>
    <n v="1071"/>
    <x v="2"/>
    <x v="1"/>
    <n v="1"/>
    <x v="9"/>
    <x v="0"/>
    <n v="3"/>
    <x v="0"/>
    <x v="0"/>
  </r>
  <r>
    <d v="2019-09-16T00:00:00"/>
    <x v="0"/>
    <n v="1071"/>
    <x v="2"/>
    <x v="1"/>
    <n v="2"/>
    <x v="11"/>
    <x v="0"/>
    <n v="1"/>
    <x v="0"/>
    <x v="0"/>
  </r>
  <r>
    <d v="2019-09-16T00:00:00"/>
    <x v="0"/>
    <n v="1071"/>
    <x v="2"/>
    <x v="1"/>
    <n v="2"/>
    <x v="13"/>
    <x v="0"/>
    <n v="3"/>
    <x v="0"/>
    <x v="0"/>
  </r>
  <r>
    <d v="2019-09-16T00:00:00"/>
    <x v="0"/>
    <n v="1071"/>
    <x v="2"/>
    <x v="1"/>
    <n v="2"/>
    <x v="16"/>
    <x v="0"/>
    <n v="4"/>
    <x v="0"/>
    <x v="0"/>
  </r>
  <r>
    <d v="2019-09-16T00:00:00"/>
    <x v="0"/>
    <n v="1071"/>
    <x v="2"/>
    <x v="1"/>
    <n v="2"/>
    <x v="17"/>
    <x v="0"/>
    <n v="38"/>
    <x v="0"/>
    <x v="0"/>
  </r>
  <r>
    <d v="2019-09-16T00:00:00"/>
    <x v="0"/>
    <n v="1740"/>
    <x v="3"/>
    <x v="1"/>
    <n v="1"/>
    <x v="4"/>
    <x v="1"/>
    <n v="12"/>
    <x v="0"/>
    <x v="0"/>
  </r>
  <r>
    <d v="2019-09-16T00:00:00"/>
    <x v="0"/>
    <n v="1740"/>
    <x v="3"/>
    <x v="1"/>
    <n v="1"/>
    <x v="0"/>
    <x v="1"/>
    <n v="11"/>
    <x v="0"/>
    <x v="0"/>
  </r>
  <r>
    <d v="2019-09-16T00:00:00"/>
    <x v="0"/>
    <n v="1740"/>
    <x v="3"/>
    <x v="1"/>
    <n v="1"/>
    <x v="11"/>
    <x v="1"/>
    <n v="7"/>
    <x v="0"/>
    <x v="0"/>
  </r>
  <r>
    <d v="2019-09-16T00:00:00"/>
    <x v="0"/>
    <n v="1740"/>
    <x v="3"/>
    <x v="1"/>
    <n v="1"/>
    <x v="5"/>
    <x v="1"/>
    <n v="18"/>
    <x v="0"/>
    <x v="0"/>
  </r>
  <r>
    <d v="2019-09-16T00:00:00"/>
    <x v="0"/>
    <n v="1740"/>
    <x v="3"/>
    <x v="1"/>
    <n v="1"/>
    <x v="1"/>
    <x v="1"/>
    <n v="1"/>
    <x v="0"/>
    <x v="0"/>
  </r>
  <r>
    <d v="2019-09-16T00:00:00"/>
    <x v="0"/>
    <n v="1740"/>
    <x v="3"/>
    <x v="1"/>
    <n v="1"/>
    <x v="2"/>
    <x v="1"/>
    <n v="3"/>
    <x v="0"/>
    <x v="0"/>
  </r>
  <r>
    <d v="2019-09-16T00:00:00"/>
    <x v="0"/>
    <n v="1740"/>
    <x v="3"/>
    <x v="1"/>
    <n v="1"/>
    <x v="6"/>
    <x v="1"/>
    <n v="3"/>
    <x v="0"/>
    <x v="0"/>
  </r>
  <r>
    <d v="2019-09-16T00:00:00"/>
    <x v="0"/>
    <n v="1740"/>
    <x v="3"/>
    <x v="1"/>
    <n v="1"/>
    <x v="7"/>
    <x v="1"/>
    <n v="2"/>
    <x v="0"/>
    <x v="0"/>
  </r>
  <r>
    <d v="2019-09-16T00:00:00"/>
    <x v="0"/>
    <n v="1740"/>
    <x v="3"/>
    <x v="1"/>
    <n v="1"/>
    <x v="13"/>
    <x v="1"/>
    <n v="8"/>
    <x v="0"/>
    <x v="0"/>
  </r>
  <r>
    <d v="2019-09-16T00:00:00"/>
    <x v="0"/>
    <n v="1740"/>
    <x v="3"/>
    <x v="1"/>
    <n v="1"/>
    <x v="3"/>
    <x v="1"/>
    <n v="9"/>
    <x v="0"/>
    <x v="0"/>
  </r>
  <r>
    <d v="2019-09-16T00:00:00"/>
    <x v="0"/>
    <n v="1740"/>
    <x v="3"/>
    <x v="1"/>
    <n v="1"/>
    <x v="9"/>
    <x v="1"/>
    <n v="7"/>
    <x v="0"/>
    <x v="0"/>
  </r>
  <r>
    <d v="2019-09-16T00:00:00"/>
    <x v="0"/>
    <n v="1740"/>
    <x v="3"/>
    <x v="1"/>
    <n v="1"/>
    <x v="10"/>
    <x v="1"/>
    <n v="3"/>
    <x v="0"/>
    <x v="0"/>
  </r>
  <r>
    <d v="2019-09-16T00:00:00"/>
    <x v="0"/>
    <n v="1740"/>
    <x v="3"/>
    <x v="0"/>
    <n v="1"/>
    <x v="18"/>
    <x v="1"/>
    <n v="1"/>
    <x v="0"/>
    <x v="0"/>
  </r>
  <r>
    <d v="2019-09-16T00:00:00"/>
    <x v="0"/>
    <n v="1740"/>
    <x v="3"/>
    <x v="0"/>
    <n v="1"/>
    <x v="11"/>
    <x v="1"/>
    <n v="12"/>
    <x v="0"/>
    <x v="0"/>
  </r>
  <r>
    <d v="2019-09-16T00:00:00"/>
    <x v="0"/>
    <n v="1740"/>
    <x v="3"/>
    <x v="0"/>
    <n v="1"/>
    <x v="13"/>
    <x v="1"/>
    <n v="15"/>
    <x v="0"/>
    <x v="0"/>
  </r>
  <r>
    <d v="2019-09-16T00:00:00"/>
    <x v="0"/>
    <n v="1740"/>
    <x v="3"/>
    <x v="0"/>
    <n v="1"/>
    <x v="3"/>
    <x v="1"/>
    <n v="22"/>
    <x v="0"/>
    <x v="0"/>
  </r>
  <r>
    <d v="2019-09-16T00:00:00"/>
    <x v="0"/>
    <n v="2361"/>
    <x v="3"/>
    <x v="1"/>
    <n v="1"/>
    <x v="12"/>
    <x v="0"/>
    <n v="19"/>
    <x v="0"/>
    <x v="0"/>
  </r>
  <r>
    <d v="2019-09-16T00:00:00"/>
    <x v="0"/>
    <n v="2361"/>
    <x v="3"/>
    <x v="1"/>
    <n v="1"/>
    <x v="2"/>
    <x v="0"/>
    <n v="37"/>
    <x v="0"/>
    <x v="0"/>
  </r>
  <r>
    <d v="2019-09-16T00:00:00"/>
    <x v="0"/>
    <n v="2361"/>
    <x v="3"/>
    <x v="1"/>
    <n v="1"/>
    <x v="13"/>
    <x v="0"/>
    <n v="3"/>
    <x v="0"/>
    <x v="0"/>
  </r>
  <r>
    <d v="2019-09-16T00:00:00"/>
    <x v="0"/>
    <n v="2361"/>
    <x v="3"/>
    <x v="1"/>
    <n v="1"/>
    <x v="14"/>
    <x v="0"/>
    <n v="25"/>
    <x v="0"/>
    <x v="0"/>
  </r>
  <r>
    <d v="2019-09-16T00:00:00"/>
    <x v="0"/>
    <n v="2361"/>
    <x v="3"/>
    <x v="0"/>
    <n v="1"/>
    <x v="4"/>
    <x v="0"/>
    <n v="16"/>
    <x v="0"/>
    <x v="0"/>
  </r>
  <r>
    <d v="2019-09-16T00:00:00"/>
    <x v="0"/>
    <n v="2361"/>
    <x v="3"/>
    <x v="0"/>
    <n v="1"/>
    <x v="11"/>
    <x v="0"/>
    <n v="1"/>
    <x v="0"/>
    <x v="0"/>
  </r>
  <r>
    <d v="2019-09-16T00:00:00"/>
    <x v="0"/>
    <n v="2361"/>
    <x v="3"/>
    <x v="0"/>
    <n v="1"/>
    <x v="7"/>
    <x v="0"/>
    <n v="20"/>
    <x v="0"/>
    <x v="0"/>
  </r>
  <r>
    <d v="2019-09-16T00:00:00"/>
    <x v="0"/>
    <n v="2361"/>
    <x v="3"/>
    <x v="0"/>
    <n v="1"/>
    <x v="13"/>
    <x v="0"/>
    <n v="15"/>
    <x v="0"/>
    <x v="0"/>
  </r>
  <r>
    <d v="2019-09-16T00:00:00"/>
    <x v="0"/>
    <n v="2361"/>
    <x v="3"/>
    <x v="0"/>
    <n v="1"/>
    <x v="9"/>
    <x v="0"/>
    <n v="2"/>
    <x v="0"/>
    <x v="0"/>
  </r>
  <r>
    <d v="2019-09-16T00:00:00"/>
    <x v="0"/>
    <n v="2361"/>
    <x v="3"/>
    <x v="0"/>
    <n v="1"/>
    <x v="19"/>
    <x v="0"/>
    <n v="1"/>
    <x v="0"/>
    <x v="0"/>
  </r>
  <r>
    <d v="2019-09-16T00:00:00"/>
    <x v="0"/>
    <n v="2361"/>
    <x v="3"/>
    <x v="0"/>
    <n v="1"/>
    <x v="10"/>
    <x v="0"/>
    <n v="4"/>
    <x v="0"/>
    <x v="0"/>
  </r>
  <r>
    <d v="2019-09-16T00:00:00"/>
    <x v="0"/>
    <n v="4501"/>
    <x v="4"/>
    <x v="1"/>
    <n v="1"/>
    <x v="4"/>
    <x v="0"/>
    <n v="9"/>
    <x v="0"/>
    <x v="0"/>
  </r>
  <r>
    <d v="2019-09-16T00:00:00"/>
    <x v="0"/>
    <n v="4501"/>
    <x v="4"/>
    <x v="1"/>
    <n v="1"/>
    <x v="0"/>
    <x v="0"/>
    <n v="3"/>
    <x v="0"/>
    <x v="0"/>
  </r>
  <r>
    <d v="2019-09-16T00:00:00"/>
    <x v="0"/>
    <n v="4501"/>
    <x v="4"/>
    <x v="1"/>
    <n v="1"/>
    <x v="11"/>
    <x v="0"/>
    <n v="5"/>
    <x v="0"/>
    <x v="0"/>
  </r>
  <r>
    <d v="2019-09-16T00:00:00"/>
    <x v="0"/>
    <n v="4501"/>
    <x v="4"/>
    <x v="1"/>
    <n v="1"/>
    <x v="7"/>
    <x v="0"/>
    <n v="5"/>
    <x v="0"/>
    <x v="0"/>
  </r>
  <r>
    <d v="2019-09-16T00:00:00"/>
    <x v="0"/>
    <n v="4501"/>
    <x v="4"/>
    <x v="1"/>
    <n v="1"/>
    <x v="3"/>
    <x v="0"/>
    <n v="1"/>
    <x v="0"/>
    <x v="0"/>
  </r>
  <r>
    <d v="2019-09-16T00:00:00"/>
    <x v="0"/>
    <n v="4501"/>
    <x v="4"/>
    <x v="1"/>
    <n v="1"/>
    <x v="10"/>
    <x v="0"/>
    <n v="3"/>
    <x v="0"/>
    <x v="0"/>
  </r>
  <r>
    <d v="2019-09-16T00:00:00"/>
    <x v="0"/>
    <n v="4501"/>
    <x v="4"/>
    <x v="0"/>
    <n v="1"/>
    <x v="20"/>
    <x v="0"/>
    <n v="34"/>
    <x v="0"/>
    <x v="0"/>
  </r>
  <r>
    <d v="2019-09-16T00:00:00"/>
    <x v="0"/>
    <n v="4501"/>
    <x v="4"/>
    <x v="0"/>
    <n v="1"/>
    <x v="7"/>
    <x v="0"/>
    <n v="1"/>
    <x v="0"/>
    <x v="0"/>
  </r>
  <r>
    <d v="2019-09-16T00:00:00"/>
    <x v="0"/>
    <n v="4501"/>
    <x v="4"/>
    <x v="0"/>
    <n v="1"/>
    <x v="3"/>
    <x v="0"/>
    <n v="6"/>
    <x v="0"/>
    <x v="0"/>
  </r>
  <r>
    <d v="2019-09-16T00:00:00"/>
    <x v="0"/>
    <n v="4501"/>
    <x v="4"/>
    <x v="0"/>
    <n v="1"/>
    <x v="19"/>
    <x v="0"/>
    <n v="10"/>
    <x v="0"/>
    <x v="0"/>
  </r>
  <r>
    <d v="2019-09-16T00:00:00"/>
    <x v="0"/>
    <n v="4501"/>
    <x v="4"/>
    <x v="0"/>
    <n v="1"/>
    <x v="17"/>
    <x v="0"/>
    <n v="26"/>
    <x v="0"/>
    <x v="0"/>
  </r>
  <r>
    <d v="2019-09-16T00:00:00"/>
    <x v="0"/>
    <n v="4501"/>
    <x v="4"/>
    <x v="1"/>
    <n v="1"/>
    <x v="11"/>
    <x v="1"/>
    <n v="4"/>
    <x v="0"/>
    <x v="0"/>
  </r>
  <r>
    <d v="2019-09-16T00:00:00"/>
    <x v="0"/>
    <n v="4501"/>
    <x v="4"/>
    <x v="1"/>
    <n v="1"/>
    <x v="5"/>
    <x v="1"/>
    <n v="3"/>
    <x v="0"/>
    <x v="0"/>
  </r>
  <r>
    <d v="2019-09-16T00:00:00"/>
    <x v="0"/>
    <n v="4501"/>
    <x v="4"/>
    <x v="1"/>
    <n v="1"/>
    <x v="7"/>
    <x v="1"/>
    <n v="3"/>
    <x v="0"/>
    <x v="0"/>
  </r>
  <r>
    <d v="2019-09-16T00:00:00"/>
    <x v="0"/>
    <n v="4501"/>
    <x v="4"/>
    <x v="1"/>
    <n v="1"/>
    <x v="13"/>
    <x v="1"/>
    <n v="11"/>
    <x v="0"/>
    <x v="0"/>
  </r>
  <r>
    <d v="2019-09-16T00:00:00"/>
    <x v="0"/>
    <n v="4501"/>
    <x v="4"/>
    <x v="1"/>
    <n v="1"/>
    <x v="3"/>
    <x v="1"/>
    <n v="5"/>
    <x v="0"/>
    <x v="0"/>
  </r>
  <r>
    <d v="2019-09-16T00:00:00"/>
    <x v="0"/>
    <n v="4501"/>
    <x v="4"/>
    <x v="0"/>
    <n v="1"/>
    <x v="4"/>
    <x v="1"/>
    <n v="7"/>
    <x v="0"/>
    <x v="0"/>
  </r>
  <r>
    <d v="2019-09-16T00:00:00"/>
    <x v="0"/>
    <n v="4501"/>
    <x v="4"/>
    <x v="0"/>
    <n v="1"/>
    <x v="0"/>
    <x v="1"/>
    <n v="9"/>
    <x v="0"/>
    <x v="0"/>
  </r>
  <r>
    <d v="2019-09-16T00:00:00"/>
    <x v="0"/>
    <n v="4501"/>
    <x v="4"/>
    <x v="0"/>
    <n v="1"/>
    <x v="11"/>
    <x v="1"/>
    <n v="4"/>
    <x v="0"/>
    <x v="0"/>
  </r>
  <r>
    <d v="2019-09-16T00:00:00"/>
    <x v="0"/>
    <n v="4501"/>
    <x v="4"/>
    <x v="0"/>
    <n v="1"/>
    <x v="5"/>
    <x v="1"/>
    <n v="3"/>
    <x v="0"/>
    <x v="0"/>
  </r>
  <r>
    <d v="2019-09-16T00:00:00"/>
    <x v="0"/>
    <n v="4501"/>
    <x v="4"/>
    <x v="0"/>
    <n v="1"/>
    <x v="1"/>
    <x v="1"/>
    <n v="4"/>
    <x v="0"/>
    <x v="0"/>
  </r>
  <r>
    <d v="2019-09-16T00:00:00"/>
    <x v="0"/>
    <n v="4501"/>
    <x v="4"/>
    <x v="0"/>
    <n v="1"/>
    <x v="7"/>
    <x v="1"/>
    <n v="8"/>
    <x v="0"/>
    <x v="0"/>
  </r>
  <r>
    <d v="2019-09-16T00:00:00"/>
    <x v="0"/>
    <n v="4501"/>
    <x v="4"/>
    <x v="0"/>
    <n v="1"/>
    <x v="13"/>
    <x v="1"/>
    <n v="10"/>
    <x v="0"/>
    <x v="0"/>
  </r>
  <r>
    <d v="2019-09-16T00:00:00"/>
    <x v="0"/>
    <n v="4501"/>
    <x v="4"/>
    <x v="0"/>
    <n v="1"/>
    <x v="3"/>
    <x v="1"/>
    <n v="3"/>
    <x v="0"/>
    <x v="0"/>
  </r>
  <r>
    <d v="2019-09-16T00:00:00"/>
    <x v="0"/>
    <n v="4501"/>
    <x v="4"/>
    <x v="0"/>
    <n v="1"/>
    <x v="9"/>
    <x v="1"/>
    <n v="24"/>
    <x v="0"/>
    <x v="0"/>
  </r>
  <r>
    <d v="2019-09-16T00:00:00"/>
    <x v="0"/>
    <n v="4501"/>
    <x v="4"/>
    <x v="0"/>
    <n v="1"/>
    <x v="10"/>
    <x v="1"/>
    <n v="5"/>
    <x v="0"/>
    <x v="0"/>
  </r>
  <r>
    <d v="2019-09-16T00:00:00"/>
    <x v="0"/>
    <n v="4502"/>
    <x v="5"/>
    <x v="1"/>
    <n v="1"/>
    <x v="4"/>
    <x v="0"/>
    <n v="7"/>
    <x v="0"/>
    <x v="0"/>
  </r>
  <r>
    <d v="2019-09-16T00:00:00"/>
    <x v="0"/>
    <n v="4502"/>
    <x v="5"/>
    <x v="1"/>
    <n v="1"/>
    <x v="11"/>
    <x v="0"/>
    <n v="9"/>
    <x v="0"/>
    <x v="0"/>
  </r>
  <r>
    <d v="2019-09-16T00:00:00"/>
    <x v="0"/>
    <n v="4502"/>
    <x v="5"/>
    <x v="1"/>
    <n v="1"/>
    <x v="7"/>
    <x v="0"/>
    <n v="5"/>
    <x v="0"/>
    <x v="0"/>
  </r>
  <r>
    <d v="2019-09-16T00:00:00"/>
    <x v="0"/>
    <n v="4502"/>
    <x v="5"/>
    <x v="1"/>
    <n v="1"/>
    <x v="13"/>
    <x v="0"/>
    <n v="5"/>
    <x v="0"/>
    <x v="0"/>
  </r>
  <r>
    <d v="2019-09-16T00:00:00"/>
    <x v="0"/>
    <n v="4502"/>
    <x v="5"/>
    <x v="1"/>
    <n v="1"/>
    <x v="3"/>
    <x v="0"/>
    <n v="2"/>
    <x v="0"/>
    <x v="0"/>
  </r>
  <r>
    <d v="2019-09-16T00:00:00"/>
    <x v="0"/>
    <n v="4502"/>
    <x v="5"/>
    <x v="1"/>
    <n v="1"/>
    <x v="9"/>
    <x v="0"/>
    <n v="5"/>
    <x v="0"/>
    <x v="0"/>
  </r>
  <r>
    <d v="2019-09-16T00:00:00"/>
    <x v="0"/>
    <n v="4502"/>
    <x v="5"/>
    <x v="0"/>
    <n v="1"/>
    <x v="12"/>
    <x v="0"/>
    <n v="25"/>
    <x v="0"/>
    <x v="0"/>
  </r>
  <r>
    <d v="2019-09-16T00:00:00"/>
    <x v="0"/>
    <n v="4502"/>
    <x v="5"/>
    <x v="0"/>
    <n v="1"/>
    <x v="20"/>
    <x v="0"/>
    <n v="3"/>
    <x v="0"/>
    <x v="0"/>
  </r>
  <r>
    <d v="2019-09-16T00:00:00"/>
    <x v="0"/>
    <n v="4502"/>
    <x v="5"/>
    <x v="0"/>
    <n v="1"/>
    <x v="2"/>
    <x v="0"/>
    <n v="13"/>
    <x v="0"/>
    <x v="0"/>
  </r>
  <r>
    <d v="2019-09-16T00:00:00"/>
    <x v="0"/>
    <n v="4502"/>
    <x v="5"/>
    <x v="0"/>
    <n v="1"/>
    <x v="21"/>
    <x v="0"/>
    <n v="32"/>
    <x v="0"/>
    <x v="0"/>
  </r>
  <r>
    <d v="2019-09-16T00:00:00"/>
    <x v="0"/>
    <n v="4502"/>
    <x v="5"/>
    <x v="0"/>
    <n v="1"/>
    <x v="17"/>
    <x v="0"/>
    <n v="2"/>
    <x v="0"/>
    <x v="0"/>
  </r>
  <r>
    <d v="2019-09-16T00:00:00"/>
    <x v="0"/>
    <n v="4502"/>
    <x v="5"/>
    <x v="1"/>
    <n v="1"/>
    <x v="15"/>
    <x v="1"/>
    <n v="12"/>
    <x v="0"/>
    <x v="0"/>
  </r>
  <r>
    <d v="2019-09-16T00:00:00"/>
    <x v="0"/>
    <n v="4502"/>
    <x v="5"/>
    <x v="1"/>
    <n v="1"/>
    <x v="22"/>
    <x v="1"/>
    <n v="10"/>
    <x v="0"/>
    <x v="0"/>
  </r>
  <r>
    <d v="2019-09-16T00:00:00"/>
    <x v="0"/>
    <n v="4502"/>
    <x v="5"/>
    <x v="1"/>
    <n v="1"/>
    <x v="23"/>
    <x v="1"/>
    <n v="2"/>
    <x v="0"/>
    <x v="0"/>
  </r>
  <r>
    <d v="2019-09-16T00:00:00"/>
    <x v="0"/>
    <n v="4502"/>
    <x v="5"/>
    <x v="1"/>
    <n v="1"/>
    <x v="3"/>
    <x v="1"/>
    <n v="9"/>
    <x v="0"/>
    <x v="0"/>
  </r>
  <r>
    <d v="2019-09-16T00:00:00"/>
    <x v="0"/>
    <n v="4502"/>
    <x v="5"/>
    <x v="0"/>
    <n v="1"/>
    <x v="4"/>
    <x v="1"/>
    <n v="32"/>
    <x v="0"/>
    <x v="0"/>
  </r>
  <r>
    <d v="2019-09-16T00:00:00"/>
    <x v="0"/>
    <n v="4502"/>
    <x v="5"/>
    <x v="0"/>
    <n v="1"/>
    <x v="0"/>
    <x v="1"/>
    <n v="14"/>
    <x v="0"/>
    <x v="0"/>
  </r>
  <r>
    <d v="2019-09-16T00:00:00"/>
    <x v="0"/>
    <n v="4502"/>
    <x v="5"/>
    <x v="0"/>
    <n v="1"/>
    <x v="11"/>
    <x v="1"/>
    <n v="1"/>
    <x v="0"/>
    <x v="0"/>
  </r>
  <r>
    <d v="2019-09-16T00:00:00"/>
    <x v="0"/>
    <n v="4502"/>
    <x v="5"/>
    <x v="0"/>
    <n v="1"/>
    <x v="5"/>
    <x v="1"/>
    <n v="5"/>
    <x v="0"/>
    <x v="0"/>
  </r>
  <r>
    <d v="2019-09-16T00:00:00"/>
    <x v="0"/>
    <n v="4502"/>
    <x v="5"/>
    <x v="0"/>
    <n v="1"/>
    <x v="2"/>
    <x v="1"/>
    <n v="4"/>
    <x v="0"/>
    <x v="0"/>
  </r>
  <r>
    <d v="2019-09-16T00:00:00"/>
    <x v="0"/>
    <n v="4502"/>
    <x v="5"/>
    <x v="0"/>
    <n v="1"/>
    <x v="6"/>
    <x v="1"/>
    <n v="2"/>
    <x v="0"/>
    <x v="0"/>
  </r>
  <r>
    <d v="2019-09-16T00:00:00"/>
    <x v="0"/>
    <n v="4502"/>
    <x v="5"/>
    <x v="0"/>
    <n v="1"/>
    <x v="13"/>
    <x v="1"/>
    <n v="3"/>
    <x v="0"/>
    <x v="0"/>
  </r>
  <r>
    <d v="2019-09-16T00:00:00"/>
    <x v="0"/>
    <n v="4502"/>
    <x v="5"/>
    <x v="0"/>
    <n v="1"/>
    <x v="3"/>
    <x v="1"/>
    <n v="2"/>
    <x v="0"/>
    <x v="0"/>
  </r>
  <r>
    <d v="2019-09-16T00:00:00"/>
    <x v="0"/>
    <n v="4502"/>
    <x v="5"/>
    <x v="0"/>
    <n v="1"/>
    <x v="9"/>
    <x v="1"/>
    <n v="2"/>
    <x v="0"/>
    <x v="0"/>
  </r>
  <r>
    <d v="2019-09-16T00:00:00"/>
    <x v="0"/>
    <n v="4502"/>
    <x v="5"/>
    <x v="0"/>
    <n v="1"/>
    <x v="10"/>
    <x v="1"/>
    <n v="3"/>
    <x v="0"/>
    <x v="0"/>
  </r>
  <r>
    <d v="2019-09-16T00:00:00"/>
    <x v="0"/>
    <n v="4502"/>
    <x v="5"/>
    <x v="0"/>
    <n v="2"/>
    <x v="4"/>
    <x v="1"/>
    <n v="5"/>
    <x v="0"/>
    <x v="0"/>
  </r>
  <r>
    <d v="2019-09-16T00:00:00"/>
    <x v="0"/>
    <n v="4502"/>
    <x v="5"/>
    <x v="0"/>
    <n v="2"/>
    <x v="9"/>
    <x v="1"/>
    <n v="2"/>
    <x v="0"/>
    <x v="0"/>
  </r>
  <r>
    <d v="2019-09-16T00:00:00"/>
    <x v="0"/>
    <n v="4503"/>
    <x v="6"/>
    <x v="1"/>
    <n v="1"/>
    <x v="4"/>
    <x v="0"/>
    <n v="8"/>
    <x v="0"/>
    <x v="0"/>
  </r>
  <r>
    <d v="2019-09-16T00:00:00"/>
    <x v="0"/>
    <n v="4503"/>
    <x v="6"/>
    <x v="1"/>
    <n v="1"/>
    <x v="0"/>
    <x v="0"/>
    <n v="3"/>
    <x v="0"/>
    <x v="0"/>
  </r>
  <r>
    <d v="2019-09-16T00:00:00"/>
    <x v="0"/>
    <n v="4503"/>
    <x v="6"/>
    <x v="1"/>
    <n v="1"/>
    <x v="11"/>
    <x v="0"/>
    <n v="7"/>
    <x v="0"/>
    <x v="0"/>
  </r>
  <r>
    <d v="2019-09-16T00:00:00"/>
    <x v="0"/>
    <n v="4503"/>
    <x v="6"/>
    <x v="1"/>
    <n v="1"/>
    <x v="1"/>
    <x v="0"/>
    <n v="3"/>
    <x v="0"/>
    <x v="0"/>
  </r>
  <r>
    <d v="2019-09-16T00:00:00"/>
    <x v="0"/>
    <n v="4503"/>
    <x v="6"/>
    <x v="1"/>
    <n v="1"/>
    <x v="7"/>
    <x v="0"/>
    <n v="5"/>
    <x v="0"/>
    <x v="0"/>
  </r>
  <r>
    <d v="2019-09-16T00:00:00"/>
    <x v="0"/>
    <n v="4503"/>
    <x v="6"/>
    <x v="1"/>
    <n v="1"/>
    <x v="13"/>
    <x v="0"/>
    <n v="8"/>
    <x v="0"/>
    <x v="0"/>
  </r>
  <r>
    <d v="2019-09-16T00:00:00"/>
    <x v="0"/>
    <n v="4503"/>
    <x v="6"/>
    <x v="1"/>
    <n v="1"/>
    <x v="3"/>
    <x v="0"/>
    <n v="13"/>
    <x v="0"/>
    <x v="0"/>
  </r>
  <r>
    <d v="2019-09-16T00:00:00"/>
    <x v="0"/>
    <n v="4503"/>
    <x v="6"/>
    <x v="1"/>
    <n v="1"/>
    <x v="9"/>
    <x v="0"/>
    <n v="2"/>
    <x v="0"/>
    <x v="0"/>
  </r>
  <r>
    <d v="2019-09-16T00:00:00"/>
    <x v="0"/>
    <n v="4503"/>
    <x v="6"/>
    <x v="1"/>
    <n v="1"/>
    <x v="10"/>
    <x v="0"/>
    <n v="3"/>
    <x v="0"/>
    <x v="0"/>
  </r>
  <r>
    <d v="2019-09-16T00:00:00"/>
    <x v="0"/>
    <n v="4503"/>
    <x v="6"/>
    <x v="1"/>
    <n v="2"/>
    <x v="10"/>
    <x v="0"/>
    <n v="1"/>
    <x v="0"/>
    <x v="0"/>
  </r>
  <r>
    <d v="2019-09-16T00:00:00"/>
    <x v="0"/>
    <n v="4503"/>
    <x v="6"/>
    <x v="0"/>
    <n v="1"/>
    <x v="11"/>
    <x v="0"/>
    <n v="7"/>
    <x v="0"/>
    <x v="0"/>
  </r>
  <r>
    <d v="2019-09-16T00:00:00"/>
    <x v="0"/>
    <n v="4503"/>
    <x v="6"/>
    <x v="0"/>
    <n v="1"/>
    <x v="20"/>
    <x v="0"/>
    <n v="10"/>
    <x v="0"/>
    <x v="0"/>
  </r>
  <r>
    <d v="2019-09-16T00:00:00"/>
    <x v="0"/>
    <n v="4503"/>
    <x v="6"/>
    <x v="0"/>
    <n v="1"/>
    <x v="15"/>
    <x v="0"/>
    <n v="7"/>
    <x v="0"/>
    <x v="0"/>
  </r>
  <r>
    <d v="2019-09-16T00:00:00"/>
    <x v="0"/>
    <n v="4503"/>
    <x v="6"/>
    <x v="0"/>
    <n v="1"/>
    <x v="13"/>
    <x v="0"/>
    <n v="8"/>
    <x v="0"/>
    <x v="0"/>
  </r>
  <r>
    <d v="2019-09-16T00:00:00"/>
    <x v="0"/>
    <n v="4503"/>
    <x v="6"/>
    <x v="0"/>
    <n v="1"/>
    <x v="3"/>
    <x v="0"/>
    <n v="10"/>
    <x v="0"/>
    <x v="0"/>
  </r>
  <r>
    <d v="2019-09-16T00:00:00"/>
    <x v="0"/>
    <n v="4503"/>
    <x v="6"/>
    <x v="0"/>
    <n v="1"/>
    <x v="17"/>
    <x v="0"/>
    <n v="16"/>
    <x v="0"/>
    <x v="0"/>
  </r>
  <r>
    <d v="2019-09-16T00:00:00"/>
    <x v="0"/>
    <n v="4503"/>
    <x v="6"/>
    <x v="0"/>
    <n v="1"/>
    <x v="14"/>
    <x v="0"/>
    <n v="43"/>
    <x v="0"/>
    <x v="0"/>
  </r>
  <r>
    <d v="2019-09-16T00:00:00"/>
    <x v="0"/>
    <n v="4503"/>
    <x v="6"/>
    <x v="1"/>
    <n v="1"/>
    <x v="11"/>
    <x v="1"/>
    <n v="7"/>
    <x v="0"/>
    <x v="0"/>
  </r>
  <r>
    <d v="2019-09-16T00:00:00"/>
    <x v="0"/>
    <n v="4503"/>
    <x v="6"/>
    <x v="1"/>
    <n v="1"/>
    <x v="20"/>
    <x v="1"/>
    <n v="10"/>
    <x v="0"/>
    <x v="0"/>
  </r>
  <r>
    <d v="2019-09-16T00:00:00"/>
    <x v="0"/>
    <n v="4503"/>
    <x v="6"/>
    <x v="1"/>
    <n v="1"/>
    <x v="24"/>
    <x v="1"/>
    <n v="1"/>
    <x v="0"/>
    <x v="0"/>
  </r>
  <r>
    <d v="2019-09-16T00:00:00"/>
    <x v="0"/>
    <n v="4503"/>
    <x v="6"/>
    <x v="1"/>
    <n v="1"/>
    <x v="2"/>
    <x v="1"/>
    <n v="9"/>
    <x v="0"/>
    <x v="0"/>
  </r>
  <r>
    <d v="2019-09-16T00:00:00"/>
    <x v="0"/>
    <n v="4503"/>
    <x v="6"/>
    <x v="1"/>
    <n v="1"/>
    <x v="8"/>
    <x v="1"/>
    <n v="4"/>
    <x v="0"/>
    <x v="0"/>
  </r>
  <r>
    <d v="2019-09-16T00:00:00"/>
    <x v="0"/>
    <n v="4503"/>
    <x v="6"/>
    <x v="1"/>
    <n v="1"/>
    <x v="13"/>
    <x v="1"/>
    <n v="4"/>
    <x v="0"/>
    <x v="0"/>
  </r>
  <r>
    <d v="2019-09-16T00:00:00"/>
    <x v="0"/>
    <n v="4503"/>
    <x v="6"/>
    <x v="1"/>
    <n v="1"/>
    <x v="3"/>
    <x v="1"/>
    <n v="14"/>
    <x v="0"/>
    <x v="0"/>
  </r>
  <r>
    <d v="2019-09-16T00:00:00"/>
    <x v="0"/>
    <n v="4503"/>
    <x v="6"/>
    <x v="1"/>
    <n v="1"/>
    <x v="16"/>
    <x v="1"/>
    <n v="4"/>
    <x v="0"/>
    <x v="0"/>
  </r>
  <r>
    <d v="2019-09-16T00:00:00"/>
    <x v="0"/>
    <n v="4503"/>
    <x v="6"/>
    <x v="0"/>
    <n v="1"/>
    <x v="4"/>
    <x v="1"/>
    <n v="7"/>
    <x v="0"/>
    <x v="0"/>
  </r>
  <r>
    <d v="2019-09-16T00:00:00"/>
    <x v="0"/>
    <n v="4503"/>
    <x v="6"/>
    <x v="0"/>
    <n v="1"/>
    <x v="0"/>
    <x v="1"/>
    <n v="12"/>
    <x v="0"/>
    <x v="0"/>
  </r>
  <r>
    <d v="2019-09-16T00:00:00"/>
    <x v="0"/>
    <n v="4503"/>
    <x v="6"/>
    <x v="0"/>
    <n v="1"/>
    <x v="11"/>
    <x v="1"/>
    <n v="12"/>
    <x v="0"/>
    <x v="0"/>
  </r>
  <r>
    <d v="2019-09-16T00:00:00"/>
    <x v="0"/>
    <n v="4503"/>
    <x v="6"/>
    <x v="0"/>
    <n v="1"/>
    <x v="20"/>
    <x v="1"/>
    <n v="12"/>
    <x v="0"/>
    <x v="0"/>
  </r>
  <r>
    <d v="2019-09-16T00:00:00"/>
    <x v="0"/>
    <n v="4503"/>
    <x v="6"/>
    <x v="0"/>
    <n v="1"/>
    <x v="15"/>
    <x v="1"/>
    <n v="15"/>
    <x v="0"/>
    <x v="0"/>
  </r>
  <r>
    <d v="2019-09-16T00:00:00"/>
    <x v="0"/>
    <n v="4503"/>
    <x v="6"/>
    <x v="0"/>
    <n v="1"/>
    <x v="5"/>
    <x v="1"/>
    <n v="2"/>
    <x v="0"/>
    <x v="0"/>
  </r>
  <r>
    <d v="2019-09-16T00:00:00"/>
    <x v="0"/>
    <n v="4503"/>
    <x v="6"/>
    <x v="0"/>
    <n v="1"/>
    <x v="1"/>
    <x v="1"/>
    <n v="2"/>
    <x v="0"/>
    <x v="0"/>
  </r>
  <r>
    <d v="2019-09-16T00:00:00"/>
    <x v="0"/>
    <n v="4503"/>
    <x v="6"/>
    <x v="0"/>
    <n v="1"/>
    <x v="2"/>
    <x v="1"/>
    <n v="5"/>
    <x v="0"/>
    <x v="0"/>
  </r>
  <r>
    <d v="2019-09-16T00:00:00"/>
    <x v="0"/>
    <n v="4503"/>
    <x v="6"/>
    <x v="0"/>
    <n v="1"/>
    <x v="25"/>
    <x v="1"/>
    <n v="9"/>
    <x v="0"/>
    <x v="0"/>
  </r>
  <r>
    <d v="2019-09-16T00:00:00"/>
    <x v="0"/>
    <n v="4503"/>
    <x v="6"/>
    <x v="0"/>
    <n v="1"/>
    <x v="21"/>
    <x v="1"/>
    <n v="4"/>
    <x v="0"/>
    <x v="0"/>
  </r>
  <r>
    <d v="2019-09-16T00:00:00"/>
    <x v="0"/>
    <n v="4503"/>
    <x v="6"/>
    <x v="0"/>
    <n v="1"/>
    <x v="13"/>
    <x v="1"/>
    <n v="12"/>
    <x v="0"/>
    <x v="0"/>
  </r>
  <r>
    <d v="2019-09-16T00:00:00"/>
    <x v="0"/>
    <n v="4503"/>
    <x v="6"/>
    <x v="0"/>
    <n v="1"/>
    <x v="3"/>
    <x v="1"/>
    <n v="7"/>
    <x v="0"/>
    <x v="0"/>
  </r>
  <r>
    <d v="2019-09-16T00:00:00"/>
    <x v="0"/>
    <n v="4503"/>
    <x v="6"/>
    <x v="0"/>
    <n v="1"/>
    <x v="16"/>
    <x v="1"/>
    <n v="2"/>
    <x v="0"/>
    <x v="0"/>
  </r>
  <r>
    <d v="2019-09-16T00:00:00"/>
    <x v="0"/>
    <n v="4503"/>
    <x v="6"/>
    <x v="0"/>
    <n v="2"/>
    <x v="11"/>
    <x v="1"/>
    <n v="1"/>
    <x v="0"/>
    <x v="0"/>
  </r>
  <r>
    <d v="2019-09-16T00:00:00"/>
    <x v="0"/>
    <n v="6552"/>
    <x v="7"/>
    <x v="1"/>
    <n v="1"/>
    <x v="1"/>
    <x v="0"/>
    <n v="3"/>
    <x v="0"/>
    <x v="0"/>
  </r>
  <r>
    <d v="2019-09-16T00:00:00"/>
    <x v="0"/>
    <n v="6552"/>
    <x v="7"/>
    <x v="1"/>
    <n v="1"/>
    <x v="2"/>
    <x v="0"/>
    <n v="3"/>
    <x v="0"/>
    <x v="0"/>
  </r>
  <r>
    <d v="2019-09-16T00:00:00"/>
    <x v="0"/>
    <n v="6552"/>
    <x v="7"/>
    <x v="1"/>
    <n v="1"/>
    <x v="6"/>
    <x v="0"/>
    <n v="8"/>
    <x v="0"/>
    <x v="0"/>
  </r>
  <r>
    <d v="2019-09-16T00:00:00"/>
    <x v="0"/>
    <n v="6552"/>
    <x v="7"/>
    <x v="1"/>
    <n v="1"/>
    <x v="9"/>
    <x v="0"/>
    <n v="9"/>
    <x v="0"/>
    <x v="0"/>
  </r>
  <r>
    <d v="2019-09-16T00:00:00"/>
    <x v="0"/>
    <n v="6552"/>
    <x v="7"/>
    <x v="1"/>
    <n v="1"/>
    <x v="10"/>
    <x v="0"/>
    <n v="5"/>
    <x v="0"/>
    <x v="0"/>
  </r>
  <r>
    <d v="2019-09-16T00:00:00"/>
    <x v="0"/>
    <n v="6552"/>
    <x v="7"/>
    <x v="0"/>
    <n v="1"/>
    <x v="0"/>
    <x v="0"/>
    <n v="17"/>
    <x v="0"/>
    <x v="0"/>
  </r>
  <r>
    <d v="2019-09-16T00:00:00"/>
    <x v="0"/>
    <n v="6552"/>
    <x v="7"/>
    <x v="0"/>
    <n v="1"/>
    <x v="1"/>
    <x v="0"/>
    <n v="21"/>
    <x v="0"/>
    <x v="0"/>
  </r>
  <r>
    <d v="2019-09-16T00:00:00"/>
    <x v="0"/>
    <n v="6552"/>
    <x v="7"/>
    <x v="0"/>
    <n v="1"/>
    <x v="7"/>
    <x v="0"/>
    <n v="1"/>
    <x v="0"/>
    <x v="0"/>
  </r>
  <r>
    <d v="2019-09-16T00:00:00"/>
    <x v="0"/>
    <n v="6552"/>
    <x v="7"/>
    <x v="0"/>
    <n v="1"/>
    <x v="21"/>
    <x v="0"/>
    <n v="42"/>
    <x v="0"/>
    <x v="0"/>
  </r>
  <r>
    <d v="2019-09-16T00:00:00"/>
    <x v="0"/>
    <n v="6552"/>
    <x v="7"/>
    <x v="0"/>
    <n v="1"/>
    <x v="17"/>
    <x v="0"/>
    <n v="4"/>
    <x v="0"/>
    <x v="0"/>
  </r>
  <r>
    <d v="2019-09-16T00:00:00"/>
    <x v="0"/>
    <n v="6552"/>
    <x v="7"/>
    <x v="1"/>
    <n v="1"/>
    <x v="20"/>
    <x v="1"/>
    <n v="8"/>
    <x v="0"/>
    <x v="0"/>
  </r>
  <r>
    <d v="2019-09-16T00:00:00"/>
    <x v="0"/>
    <n v="6552"/>
    <x v="7"/>
    <x v="1"/>
    <n v="1"/>
    <x v="24"/>
    <x v="1"/>
    <n v="4"/>
    <x v="0"/>
    <x v="0"/>
  </r>
  <r>
    <d v="2019-09-16T00:00:00"/>
    <x v="0"/>
    <n v="6552"/>
    <x v="7"/>
    <x v="1"/>
    <n v="1"/>
    <x v="16"/>
    <x v="1"/>
    <n v="15"/>
    <x v="0"/>
    <x v="0"/>
  </r>
  <r>
    <d v="2019-09-16T00:00:00"/>
    <x v="0"/>
    <n v="6552"/>
    <x v="7"/>
    <x v="0"/>
    <n v="1"/>
    <x v="4"/>
    <x v="1"/>
    <n v="5"/>
    <x v="0"/>
    <x v="0"/>
  </r>
  <r>
    <d v="2019-09-16T00:00:00"/>
    <x v="0"/>
    <n v="6552"/>
    <x v="7"/>
    <x v="0"/>
    <n v="1"/>
    <x v="11"/>
    <x v="1"/>
    <n v="3"/>
    <x v="0"/>
    <x v="0"/>
  </r>
  <r>
    <d v="2019-09-16T00:00:00"/>
    <x v="0"/>
    <n v="6552"/>
    <x v="7"/>
    <x v="0"/>
    <n v="1"/>
    <x v="5"/>
    <x v="1"/>
    <n v="1"/>
    <x v="0"/>
    <x v="0"/>
  </r>
  <r>
    <d v="2019-09-16T00:00:00"/>
    <x v="0"/>
    <n v="6552"/>
    <x v="7"/>
    <x v="0"/>
    <n v="1"/>
    <x v="1"/>
    <x v="1"/>
    <n v="4"/>
    <x v="0"/>
    <x v="0"/>
  </r>
  <r>
    <d v="2019-09-16T00:00:00"/>
    <x v="0"/>
    <n v="6552"/>
    <x v="7"/>
    <x v="0"/>
    <n v="1"/>
    <x v="7"/>
    <x v="1"/>
    <n v="15"/>
    <x v="0"/>
    <x v="0"/>
  </r>
  <r>
    <d v="2019-09-16T00:00:00"/>
    <x v="0"/>
    <n v="6552"/>
    <x v="7"/>
    <x v="0"/>
    <n v="1"/>
    <x v="13"/>
    <x v="1"/>
    <n v="1"/>
    <x v="0"/>
    <x v="0"/>
  </r>
  <r>
    <d v="2019-09-16T00:00:00"/>
    <x v="0"/>
    <n v="6552"/>
    <x v="7"/>
    <x v="0"/>
    <n v="1"/>
    <x v="3"/>
    <x v="1"/>
    <n v="1"/>
    <x v="0"/>
    <x v="0"/>
  </r>
  <r>
    <d v="2019-09-16T00:00:00"/>
    <x v="0"/>
    <n v="6552"/>
    <x v="7"/>
    <x v="0"/>
    <n v="1"/>
    <x v="9"/>
    <x v="1"/>
    <n v="35"/>
    <x v="0"/>
    <x v="0"/>
  </r>
  <r>
    <d v="2019-09-16T00:00:00"/>
    <x v="0"/>
    <n v="6552"/>
    <x v="7"/>
    <x v="0"/>
    <n v="1"/>
    <x v="10"/>
    <x v="1"/>
    <n v="1"/>
    <x v="0"/>
    <x v="0"/>
  </r>
  <r>
    <d v="2019-09-16T00:00:00"/>
    <x v="0"/>
    <n v="6552"/>
    <x v="7"/>
    <x v="0"/>
    <n v="2"/>
    <x v="4"/>
    <x v="1"/>
    <n v="1"/>
    <x v="0"/>
    <x v="0"/>
  </r>
  <r>
    <d v="2019-09-16T00:00:00"/>
    <x v="0"/>
    <n v="6552"/>
    <x v="7"/>
    <x v="0"/>
    <n v="2"/>
    <x v="11"/>
    <x v="1"/>
    <n v="4"/>
    <x v="0"/>
    <x v="0"/>
  </r>
  <r>
    <d v="2019-09-16T00:00:00"/>
    <x v="0"/>
    <n v="6552"/>
    <x v="7"/>
    <x v="0"/>
    <n v="2"/>
    <x v="5"/>
    <x v="1"/>
    <n v="2"/>
    <x v="0"/>
    <x v="0"/>
  </r>
  <r>
    <d v="2019-09-16T00:00:00"/>
    <x v="0"/>
    <n v="6552"/>
    <x v="7"/>
    <x v="0"/>
    <n v="2"/>
    <x v="1"/>
    <x v="1"/>
    <n v="3"/>
    <x v="0"/>
    <x v="0"/>
  </r>
  <r>
    <d v="2019-09-16T00:00:00"/>
    <x v="0"/>
    <n v="6552"/>
    <x v="7"/>
    <x v="0"/>
    <n v="2"/>
    <x v="7"/>
    <x v="1"/>
    <n v="4"/>
    <x v="0"/>
    <x v="0"/>
  </r>
  <r>
    <d v="2019-09-16T00:00:00"/>
    <x v="0"/>
    <n v="6552"/>
    <x v="7"/>
    <x v="0"/>
    <n v="2"/>
    <x v="13"/>
    <x v="1"/>
    <n v="3"/>
    <x v="0"/>
    <x v="0"/>
  </r>
  <r>
    <d v="2019-09-16T00:00:00"/>
    <x v="0"/>
    <n v="6552"/>
    <x v="7"/>
    <x v="0"/>
    <n v="2"/>
    <x v="9"/>
    <x v="1"/>
    <n v="2"/>
    <x v="0"/>
    <x v="0"/>
  </r>
  <r>
    <d v="2019-09-16T00:00:00"/>
    <x v="0"/>
    <n v="7311"/>
    <x v="8"/>
    <x v="1"/>
    <n v="1"/>
    <x v="4"/>
    <x v="0"/>
    <n v="21"/>
    <x v="0"/>
    <x v="0"/>
  </r>
  <r>
    <d v="2019-09-16T00:00:00"/>
    <x v="0"/>
    <n v="7311"/>
    <x v="8"/>
    <x v="1"/>
    <n v="1"/>
    <x v="0"/>
    <x v="0"/>
    <n v="1"/>
    <x v="0"/>
    <x v="0"/>
  </r>
  <r>
    <d v="2019-09-16T00:00:00"/>
    <x v="0"/>
    <n v="7311"/>
    <x v="8"/>
    <x v="1"/>
    <n v="1"/>
    <x v="20"/>
    <x v="0"/>
    <n v="1"/>
    <x v="0"/>
    <x v="0"/>
  </r>
  <r>
    <d v="2019-09-16T00:00:00"/>
    <x v="0"/>
    <n v="7311"/>
    <x v="8"/>
    <x v="1"/>
    <n v="1"/>
    <x v="1"/>
    <x v="0"/>
    <n v="3"/>
    <x v="0"/>
    <x v="0"/>
  </r>
  <r>
    <d v="2019-09-16T00:00:00"/>
    <x v="0"/>
    <n v="7311"/>
    <x v="8"/>
    <x v="1"/>
    <n v="1"/>
    <x v="2"/>
    <x v="0"/>
    <n v="2"/>
    <x v="0"/>
    <x v="0"/>
  </r>
  <r>
    <d v="2019-09-16T00:00:00"/>
    <x v="0"/>
    <n v="7311"/>
    <x v="8"/>
    <x v="1"/>
    <n v="1"/>
    <x v="6"/>
    <x v="0"/>
    <n v="5"/>
    <x v="0"/>
    <x v="0"/>
  </r>
  <r>
    <d v="2019-09-16T00:00:00"/>
    <x v="0"/>
    <n v="7311"/>
    <x v="8"/>
    <x v="1"/>
    <n v="1"/>
    <x v="7"/>
    <x v="0"/>
    <n v="11"/>
    <x v="0"/>
    <x v="0"/>
  </r>
  <r>
    <d v="2019-09-16T00:00:00"/>
    <x v="0"/>
    <n v="7311"/>
    <x v="8"/>
    <x v="1"/>
    <n v="1"/>
    <x v="9"/>
    <x v="0"/>
    <n v="6"/>
    <x v="0"/>
    <x v="0"/>
  </r>
  <r>
    <d v="2019-09-16T00:00:00"/>
    <x v="0"/>
    <n v="7311"/>
    <x v="8"/>
    <x v="1"/>
    <n v="2"/>
    <x v="2"/>
    <x v="0"/>
    <n v="1"/>
    <x v="0"/>
    <x v="0"/>
  </r>
  <r>
    <d v="2019-09-16T00:00:00"/>
    <x v="0"/>
    <n v="7311"/>
    <x v="8"/>
    <x v="1"/>
    <n v="2"/>
    <x v="6"/>
    <x v="0"/>
    <n v="7"/>
    <x v="0"/>
    <x v="0"/>
  </r>
  <r>
    <d v="2019-09-16T00:00:00"/>
    <x v="0"/>
    <n v="7311"/>
    <x v="8"/>
    <x v="1"/>
    <n v="2"/>
    <x v="9"/>
    <x v="0"/>
    <n v="2"/>
    <x v="0"/>
    <x v="0"/>
  </r>
  <r>
    <d v="2019-09-16T00:00:00"/>
    <x v="0"/>
    <n v="7311"/>
    <x v="8"/>
    <x v="1"/>
    <n v="1"/>
    <x v="20"/>
    <x v="1"/>
    <n v="20"/>
    <x v="0"/>
    <x v="0"/>
  </r>
  <r>
    <d v="2019-09-16T00:00:00"/>
    <x v="0"/>
    <n v="7311"/>
    <x v="8"/>
    <x v="1"/>
    <n v="1"/>
    <x v="5"/>
    <x v="1"/>
    <n v="1"/>
    <x v="0"/>
    <x v="0"/>
  </r>
  <r>
    <d v="2019-09-16T00:00:00"/>
    <x v="0"/>
    <n v="7311"/>
    <x v="8"/>
    <x v="1"/>
    <n v="1"/>
    <x v="2"/>
    <x v="1"/>
    <n v="24"/>
    <x v="0"/>
    <x v="0"/>
  </r>
  <r>
    <d v="2019-09-16T00:00:00"/>
    <x v="0"/>
    <n v="7311"/>
    <x v="8"/>
    <x v="1"/>
    <n v="1"/>
    <x v="3"/>
    <x v="1"/>
    <n v="5"/>
    <x v="0"/>
    <x v="0"/>
  </r>
  <r>
    <d v="2019-09-16T00:00:00"/>
    <x v="0"/>
    <n v="7311"/>
    <x v="8"/>
    <x v="1"/>
    <n v="1"/>
    <x v="9"/>
    <x v="1"/>
    <n v="1"/>
    <x v="0"/>
    <x v="0"/>
  </r>
  <r>
    <d v="2019-09-16T00:00:00"/>
    <x v="0"/>
    <n v="7311"/>
    <x v="8"/>
    <x v="1"/>
    <n v="2"/>
    <x v="20"/>
    <x v="1"/>
    <n v="9"/>
    <x v="0"/>
    <x v="0"/>
  </r>
  <r>
    <d v="2019-09-16T00:00:00"/>
    <x v="0"/>
    <n v="7311"/>
    <x v="8"/>
    <x v="0"/>
    <n v="1"/>
    <x v="4"/>
    <x v="1"/>
    <n v="15"/>
    <x v="0"/>
    <x v="0"/>
  </r>
  <r>
    <d v="2019-09-16T00:00:00"/>
    <x v="0"/>
    <n v="7311"/>
    <x v="8"/>
    <x v="0"/>
    <n v="1"/>
    <x v="0"/>
    <x v="1"/>
    <n v="1"/>
    <x v="0"/>
    <x v="0"/>
  </r>
  <r>
    <d v="2019-09-16T00:00:00"/>
    <x v="0"/>
    <n v="7311"/>
    <x v="8"/>
    <x v="0"/>
    <n v="1"/>
    <x v="12"/>
    <x v="1"/>
    <n v="8"/>
    <x v="0"/>
    <x v="0"/>
  </r>
  <r>
    <d v="2019-09-16T00:00:00"/>
    <x v="0"/>
    <n v="7311"/>
    <x v="8"/>
    <x v="0"/>
    <n v="1"/>
    <x v="6"/>
    <x v="1"/>
    <n v="9"/>
    <x v="0"/>
    <x v="0"/>
  </r>
  <r>
    <d v="2019-09-16T00:00:00"/>
    <x v="0"/>
    <n v="7311"/>
    <x v="8"/>
    <x v="0"/>
    <n v="1"/>
    <x v="26"/>
    <x v="1"/>
    <n v="10"/>
    <x v="0"/>
    <x v="0"/>
  </r>
  <r>
    <d v="2019-09-16T00:00:00"/>
    <x v="0"/>
    <n v="7311"/>
    <x v="8"/>
    <x v="0"/>
    <n v="1"/>
    <x v="7"/>
    <x v="1"/>
    <n v="14"/>
    <x v="0"/>
    <x v="0"/>
  </r>
  <r>
    <d v="2019-09-16T00:00:00"/>
    <x v="0"/>
    <n v="7311"/>
    <x v="8"/>
    <x v="0"/>
    <n v="1"/>
    <x v="13"/>
    <x v="1"/>
    <n v="6"/>
    <x v="0"/>
    <x v="0"/>
  </r>
  <r>
    <d v="2019-09-16T00:00:00"/>
    <x v="0"/>
    <n v="7311"/>
    <x v="8"/>
    <x v="0"/>
    <n v="1"/>
    <x v="3"/>
    <x v="1"/>
    <n v="4"/>
    <x v="0"/>
    <x v="0"/>
  </r>
  <r>
    <d v="2019-09-16T00:00:00"/>
    <x v="0"/>
    <n v="7311"/>
    <x v="8"/>
    <x v="0"/>
    <n v="1"/>
    <x v="9"/>
    <x v="1"/>
    <n v="6"/>
    <x v="0"/>
    <x v="0"/>
  </r>
  <r>
    <d v="2019-09-16T00:00:00"/>
    <x v="0"/>
    <n v="7311"/>
    <x v="8"/>
    <x v="0"/>
    <n v="1"/>
    <x v="14"/>
    <x v="1"/>
    <n v="8"/>
    <x v="0"/>
    <x v="0"/>
  </r>
  <r>
    <d v="2019-09-16T00:00:00"/>
    <x v="0"/>
    <n v="7311"/>
    <x v="8"/>
    <x v="0"/>
    <n v="2"/>
    <x v="4"/>
    <x v="1"/>
    <n v="1"/>
    <x v="0"/>
    <x v="0"/>
  </r>
  <r>
    <d v="2019-09-16T00:00:00"/>
    <x v="0"/>
    <n v="7311"/>
    <x v="8"/>
    <x v="0"/>
    <n v="2"/>
    <x v="0"/>
    <x v="1"/>
    <n v="5"/>
    <x v="0"/>
    <x v="0"/>
  </r>
  <r>
    <d v="2019-09-16T00:00:00"/>
    <x v="0"/>
    <n v="7311"/>
    <x v="8"/>
    <x v="0"/>
    <n v="2"/>
    <x v="11"/>
    <x v="1"/>
    <n v="16"/>
    <x v="0"/>
    <x v="0"/>
  </r>
  <r>
    <d v="2019-09-16T00:00:00"/>
    <x v="0"/>
    <n v="7311"/>
    <x v="8"/>
    <x v="0"/>
    <n v="2"/>
    <x v="5"/>
    <x v="1"/>
    <n v="9"/>
    <x v="0"/>
    <x v="0"/>
  </r>
  <r>
    <d v="2019-09-16T00:00:00"/>
    <x v="0"/>
    <n v="7311"/>
    <x v="8"/>
    <x v="0"/>
    <n v="2"/>
    <x v="7"/>
    <x v="1"/>
    <n v="2"/>
    <x v="0"/>
    <x v="0"/>
  </r>
  <r>
    <d v="2019-09-16T00:00:00"/>
    <x v="0"/>
    <n v="7311"/>
    <x v="8"/>
    <x v="0"/>
    <n v="2"/>
    <x v="13"/>
    <x v="1"/>
    <n v="3"/>
    <x v="0"/>
    <x v="0"/>
  </r>
  <r>
    <d v="2019-09-16T00:00:00"/>
    <x v="0"/>
    <n v="8312"/>
    <x v="9"/>
    <x v="1"/>
    <n v="1"/>
    <x v="4"/>
    <x v="0"/>
    <n v="8"/>
    <x v="0"/>
    <x v="0"/>
  </r>
  <r>
    <d v="2019-09-16T00:00:00"/>
    <x v="0"/>
    <n v="8312"/>
    <x v="9"/>
    <x v="1"/>
    <n v="1"/>
    <x v="0"/>
    <x v="0"/>
    <n v="2"/>
    <x v="0"/>
    <x v="0"/>
  </r>
  <r>
    <d v="2019-09-16T00:00:00"/>
    <x v="0"/>
    <n v="8312"/>
    <x v="9"/>
    <x v="1"/>
    <n v="1"/>
    <x v="11"/>
    <x v="0"/>
    <n v="7"/>
    <x v="0"/>
    <x v="0"/>
  </r>
  <r>
    <d v="2019-09-16T00:00:00"/>
    <x v="0"/>
    <n v="8312"/>
    <x v="9"/>
    <x v="1"/>
    <n v="1"/>
    <x v="5"/>
    <x v="0"/>
    <n v="3"/>
    <x v="0"/>
    <x v="0"/>
  </r>
  <r>
    <d v="2019-09-16T00:00:00"/>
    <x v="0"/>
    <n v="8312"/>
    <x v="9"/>
    <x v="1"/>
    <n v="1"/>
    <x v="13"/>
    <x v="0"/>
    <n v="3"/>
    <x v="0"/>
    <x v="0"/>
  </r>
  <r>
    <d v="2019-09-16T00:00:00"/>
    <x v="0"/>
    <n v="8312"/>
    <x v="9"/>
    <x v="1"/>
    <n v="1"/>
    <x v="3"/>
    <x v="0"/>
    <n v="5"/>
    <x v="0"/>
    <x v="0"/>
  </r>
  <r>
    <d v="2019-09-16T00:00:00"/>
    <x v="0"/>
    <n v="8312"/>
    <x v="9"/>
    <x v="1"/>
    <n v="1"/>
    <x v="10"/>
    <x v="0"/>
    <n v="1"/>
    <x v="0"/>
    <x v="0"/>
  </r>
  <r>
    <d v="2019-09-16T00:00:00"/>
    <x v="0"/>
    <n v="8312"/>
    <x v="9"/>
    <x v="1"/>
    <n v="2"/>
    <x v="2"/>
    <x v="0"/>
    <n v="1"/>
    <x v="0"/>
    <x v="0"/>
  </r>
  <r>
    <d v="2019-09-16T00:00:00"/>
    <x v="0"/>
    <n v="8312"/>
    <x v="9"/>
    <x v="1"/>
    <n v="2"/>
    <x v="6"/>
    <x v="0"/>
    <n v="3"/>
    <x v="0"/>
    <x v="0"/>
  </r>
  <r>
    <d v="2019-09-16T00:00:00"/>
    <x v="0"/>
    <n v="8312"/>
    <x v="9"/>
    <x v="1"/>
    <n v="2"/>
    <x v="3"/>
    <x v="0"/>
    <n v="1"/>
    <x v="0"/>
    <x v="0"/>
  </r>
  <r>
    <d v="2019-09-16T00:00:00"/>
    <x v="0"/>
    <n v="8312"/>
    <x v="9"/>
    <x v="0"/>
    <n v="1"/>
    <x v="3"/>
    <x v="0"/>
    <n v="1"/>
    <x v="0"/>
    <x v="0"/>
  </r>
  <r>
    <d v="2019-09-16T00:00:00"/>
    <x v="0"/>
    <n v="8312"/>
    <x v="9"/>
    <x v="0"/>
    <n v="1"/>
    <x v="16"/>
    <x v="0"/>
    <n v="21"/>
    <x v="0"/>
    <x v="0"/>
  </r>
  <r>
    <d v="2019-09-16T00:00:00"/>
    <x v="0"/>
    <n v="8312"/>
    <x v="9"/>
    <x v="0"/>
    <n v="1"/>
    <x v="17"/>
    <x v="0"/>
    <n v="30"/>
    <x v="0"/>
    <x v="0"/>
  </r>
  <r>
    <d v="2019-09-16T00:00:00"/>
    <x v="0"/>
    <n v="8312"/>
    <x v="9"/>
    <x v="0"/>
    <n v="1"/>
    <x v="14"/>
    <x v="0"/>
    <n v="17"/>
    <x v="0"/>
    <x v="0"/>
  </r>
  <r>
    <d v="2019-09-16T00:00:00"/>
    <x v="0"/>
    <n v="8312"/>
    <x v="9"/>
    <x v="1"/>
    <n v="1"/>
    <x v="18"/>
    <x v="1"/>
    <n v="12"/>
    <x v="0"/>
    <x v="0"/>
  </r>
  <r>
    <d v="2019-09-16T00:00:00"/>
    <x v="0"/>
    <n v="8312"/>
    <x v="9"/>
    <x v="1"/>
    <n v="1"/>
    <x v="1"/>
    <x v="1"/>
    <n v="7"/>
    <x v="0"/>
    <x v="0"/>
  </r>
  <r>
    <d v="2019-09-16T00:00:00"/>
    <x v="0"/>
    <n v="8312"/>
    <x v="9"/>
    <x v="1"/>
    <n v="1"/>
    <x v="13"/>
    <x v="1"/>
    <n v="7"/>
    <x v="0"/>
    <x v="0"/>
  </r>
  <r>
    <d v="2019-09-16T00:00:00"/>
    <x v="0"/>
    <n v="8312"/>
    <x v="9"/>
    <x v="1"/>
    <n v="2"/>
    <x v="0"/>
    <x v="1"/>
    <n v="5"/>
    <x v="0"/>
    <x v="0"/>
  </r>
  <r>
    <d v="2019-09-16T00:00:00"/>
    <x v="0"/>
    <n v="8312"/>
    <x v="9"/>
    <x v="0"/>
    <n v="1"/>
    <x v="4"/>
    <x v="1"/>
    <n v="3"/>
    <x v="0"/>
    <x v="0"/>
  </r>
  <r>
    <d v="2019-09-16T00:00:00"/>
    <x v="0"/>
    <n v="8312"/>
    <x v="9"/>
    <x v="0"/>
    <n v="1"/>
    <x v="0"/>
    <x v="1"/>
    <n v="7"/>
    <x v="0"/>
    <x v="0"/>
  </r>
  <r>
    <d v="2019-09-16T00:00:00"/>
    <x v="0"/>
    <n v="8312"/>
    <x v="9"/>
    <x v="0"/>
    <n v="1"/>
    <x v="11"/>
    <x v="1"/>
    <n v="7"/>
    <x v="0"/>
    <x v="0"/>
  </r>
  <r>
    <d v="2019-09-16T00:00:00"/>
    <x v="0"/>
    <n v="8312"/>
    <x v="9"/>
    <x v="0"/>
    <n v="1"/>
    <x v="5"/>
    <x v="1"/>
    <n v="4"/>
    <x v="0"/>
    <x v="0"/>
  </r>
  <r>
    <d v="2019-09-16T00:00:00"/>
    <x v="0"/>
    <n v="8312"/>
    <x v="9"/>
    <x v="0"/>
    <n v="1"/>
    <x v="2"/>
    <x v="1"/>
    <n v="2"/>
    <x v="0"/>
    <x v="0"/>
  </r>
  <r>
    <d v="2019-09-16T00:00:00"/>
    <x v="0"/>
    <n v="8312"/>
    <x v="9"/>
    <x v="0"/>
    <n v="1"/>
    <x v="6"/>
    <x v="1"/>
    <n v="19"/>
    <x v="0"/>
    <x v="0"/>
  </r>
  <r>
    <d v="2019-09-16T00:00:00"/>
    <x v="0"/>
    <n v="8312"/>
    <x v="9"/>
    <x v="0"/>
    <n v="1"/>
    <x v="13"/>
    <x v="1"/>
    <n v="7"/>
    <x v="0"/>
    <x v="0"/>
  </r>
  <r>
    <d v="2019-09-16T00:00:00"/>
    <x v="0"/>
    <n v="8312"/>
    <x v="9"/>
    <x v="0"/>
    <n v="1"/>
    <x v="3"/>
    <x v="1"/>
    <n v="10"/>
    <x v="0"/>
    <x v="0"/>
  </r>
  <r>
    <d v="2019-09-16T00:00:00"/>
    <x v="0"/>
    <n v="8312"/>
    <x v="9"/>
    <x v="0"/>
    <n v="1"/>
    <x v="9"/>
    <x v="1"/>
    <n v="6"/>
    <x v="0"/>
    <x v="0"/>
  </r>
  <r>
    <d v="2019-09-16T00:00:00"/>
    <x v="0"/>
    <n v="8314"/>
    <x v="10"/>
    <x v="1"/>
    <n v="1"/>
    <x v="1"/>
    <x v="0"/>
    <n v="7"/>
    <x v="0"/>
    <x v="0"/>
  </r>
  <r>
    <d v="2019-09-16T00:00:00"/>
    <x v="0"/>
    <n v="8314"/>
    <x v="10"/>
    <x v="1"/>
    <n v="1"/>
    <x v="7"/>
    <x v="0"/>
    <n v="10"/>
    <x v="0"/>
    <x v="0"/>
  </r>
  <r>
    <d v="2019-09-16T00:00:00"/>
    <x v="0"/>
    <n v="8314"/>
    <x v="10"/>
    <x v="1"/>
    <n v="1"/>
    <x v="3"/>
    <x v="0"/>
    <n v="10"/>
    <x v="0"/>
    <x v="0"/>
  </r>
  <r>
    <d v="2019-09-16T00:00:00"/>
    <x v="0"/>
    <n v="8314"/>
    <x v="10"/>
    <x v="1"/>
    <n v="1"/>
    <x v="10"/>
    <x v="0"/>
    <n v="3"/>
    <x v="0"/>
    <x v="0"/>
  </r>
  <r>
    <d v="2019-09-16T00:00:00"/>
    <x v="0"/>
    <n v="8314"/>
    <x v="10"/>
    <x v="1"/>
    <n v="2"/>
    <x v="4"/>
    <x v="0"/>
    <n v="5"/>
    <x v="0"/>
    <x v="0"/>
  </r>
  <r>
    <d v="2019-09-16T00:00:00"/>
    <x v="0"/>
    <n v="8314"/>
    <x v="10"/>
    <x v="1"/>
    <n v="2"/>
    <x v="0"/>
    <x v="0"/>
    <n v="2"/>
    <x v="0"/>
    <x v="0"/>
  </r>
  <r>
    <d v="2019-09-16T00:00:00"/>
    <x v="0"/>
    <n v="8314"/>
    <x v="10"/>
    <x v="1"/>
    <n v="2"/>
    <x v="26"/>
    <x v="0"/>
    <n v="1"/>
    <x v="0"/>
    <x v="0"/>
  </r>
  <r>
    <d v="2019-09-16T00:00:00"/>
    <x v="0"/>
    <n v="8314"/>
    <x v="10"/>
    <x v="1"/>
    <n v="2"/>
    <x v="7"/>
    <x v="0"/>
    <n v="1"/>
    <x v="0"/>
    <x v="0"/>
  </r>
  <r>
    <d v="2019-09-16T00:00:00"/>
    <x v="0"/>
    <n v="8314"/>
    <x v="10"/>
    <x v="1"/>
    <n v="2"/>
    <x v="13"/>
    <x v="0"/>
    <n v="5"/>
    <x v="0"/>
    <x v="0"/>
  </r>
  <r>
    <d v="2019-09-16T00:00:00"/>
    <x v="0"/>
    <n v="8314"/>
    <x v="10"/>
    <x v="1"/>
    <n v="2"/>
    <x v="3"/>
    <x v="0"/>
    <n v="7"/>
    <x v="0"/>
    <x v="0"/>
  </r>
  <r>
    <d v="2019-09-16T00:00:00"/>
    <x v="0"/>
    <n v="8314"/>
    <x v="10"/>
    <x v="0"/>
    <n v="1"/>
    <x v="22"/>
    <x v="0"/>
    <n v="15"/>
    <x v="0"/>
    <x v="0"/>
  </r>
  <r>
    <d v="2019-09-16T00:00:00"/>
    <x v="0"/>
    <n v="8314"/>
    <x v="10"/>
    <x v="0"/>
    <n v="1"/>
    <x v="19"/>
    <x v="0"/>
    <n v="35"/>
    <x v="0"/>
    <x v="0"/>
  </r>
  <r>
    <d v="2019-09-16T00:00:00"/>
    <x v="0"/>
    <n v="8314"/>
    <x v="10"/>
    <x v="0"/>
    <n v="2"/>
    <x v="20"/>
    <x v="0"/>
    <n v="8"/>
    <x v="0"/>
    <x v="0"/>
  </r>
  <r>
    <d v="2019-09-16T00:00:00"/>
    <x v="0"/>
    <n v="8314"/>
    <x v="10"/>
    <x v="0"/>
    <n v="2"/>
    <x v="2"/>
    <x v="0"/>
    <n v="8"/>
    <x v="0"/>
    <x v="0"/>
  </r>
  <r>
    <d v="2019-09-16T00:00:00"/>
    <x v="0"/>
    <n v="8314"/>
    <x v="10"/>
    <x v="1"/>
    <n v="1"/>
    <x v="21"/>
    <x v="1"/>
    <n v="24"/>
    <x v="0"/>
    <x v="0"/>
  </r>
  <r>
    <d v="2019-09-16T00:00:00"/>
    <x v="0"/>
    <n v="8314"/>
    <x v="10"/>
    <x v="1"/>
    <n v="1"/>
    <x v="13"/>
    <x v="1"/>
    <n v="2"/>
    <x v="0"/>
    <x v="0"/>
  </r>
  <r>
    <d v="2019-09-16T00:00:00"/>
    <x v="0"/>
    <n v="8314"/>
    <x v="10"/>
    <x v="1"/>
    <n v="2"/>
    <x v="0"/>
    <x v="1"/>
    <n v="1"/>
    <x v="0"/>
    <x v="0"/>
  </r>
  <r>
    <d v="2019-09-16T00:00:00"/>
    <x v="0"/>
    <n v="8314"/>
    <x v="10"/>
    <x v="1"/>
    <n v="2"/>
    <x v="20"/>
    <x v="1"/>
    <n v="14"/>
    <x v="0"/>
    <x v="0"/>
  </r>
  <r>
    <d v="2019-09-16T00:00:00"/>
    <x v="0"/>
    <n v="8314"/>
    <x v="10"/>
    <x v="1"/>
    <n v="2"/>
    <x v="26"/>
    <x v="1"/>
    <n v="8"/>
    <x v="0"/>
    <x v="0"/>
  </r>
  <r>
    <d v="2019-09-16T00:00:00"/>
    <x v="0"/>
    <n v="8314"/>
    <x v="10"/>
    <x v="1"/>
    <n v="2"/>
    <x v="7"/>
    <x v="1"/>
    <n v="2"/>
    <x v="0"/>
    <x v="0"/>
  </r>
  <r>
    <d v="2019-09-16T00:00:00"/>
    <x v="0"/>
    <n v="8314"/>
    <x v="10"/>
    <x v="0"/>
    <n v="1"/>
    <x v="4"/>
    <x v="1"/>
    <n v="12"/>
    <x v="0"/>
    <x v="0"/>
  </r>
  <r>
    <d v="2019-09-16T00:00:00"/>
    <x v="0"/>
    <n v="8314"/>
    <x v="10"/>
    <x v="0"/>
    <n v="1"/>
    <x v="0"/>
    <x v="1"/>
    <n v="10"/>
    <x v="0"/>
    <x v="0"/>
  </r>
  <r>
    <d v="2019-09-16T00:00:00"/>
    <x v="0"/>
    <n v="8314"/>
    <x v="10"/>
    <x v="0"/>
    <n v="1"/>
    <x v="11"/>
    <x v="1"/>
    <n v="2"/>
    <x v="0"/>
    <x v="0"/>
  </r>
  <r>
    <d v="2019-09-16T00:00:00"/>
    <x v="0"/>
    <n v="8314"/>
    <x v="10"/>
    <x v="0"/>
    <n v="1"/>
    <x v="1"/>
    <x v="1"/>
    <n v="3"/>
    <x v="0"/>
    <x v="0"/>
  </r>
  <r>
    <d v="2019-09-16T00:00:00"/>
    <x v="0"/>
    <n v="8314"/>
    <x v="10"/>
    <x v="0"/>
    <n v="1"/>
    <x v="2"/>
    <x v="1"/>
    <n v="10"/>
    <x v="0"/>
    <x v="0"/>
  </r>
  <r>
    <d v="2019-09-16T00:00:00"/>
    <x v="0"/>
    <n v="8314"/>
    <x v="10"/>
    <x v="0"/>
    <n v="1"/>
    <x v="7"/>
    <x v="1"/>
    <n v="3"/>
    <x v="0"/>
    <x v="0"/>
  </r>
  <r>
    <d v="2019-09-16T00:00:00"/>
    <x v="0"/>
    <n v="8314"/>
    <x v="10"/>
    <x v="0"/>
    <n v="1"/>
    <x v="3"/>
    <x v="1"/>
    <n v="6"/>
    <x v="0"/>
    <x v="0"/>
  </r>
  <r>
    <d v="2019-09-16T00:00:00"/>
    <x v="0"/>
    <n v="8314"/>
    <x v="10"/>
    <x v="0"/>
    <n v="2"/>
    <x v="4"/>
    <x v="1"/>
    <n v="1"/>
    <x v="0"/>
    <x v="0"/>
  </r>
  <r>
    <d v="2019-09-16T00:00:00"/>
    <x v="0"/>
    <n v="8314"/>
    <x v="10"/>
    <x v="0"/>
    <n v="2"/>
    <x v="0"/>
    <x v="1"/>
    <n v="2"/>
    <x v="0"/>
    <x v="0"/>
  </r>
  <r>
    <d v="2019-09-16T00:00:00"/>
    <x v="0"/>
    <n v="8314"/>
    <x v="10"/>
    <x v="0"/>
    <n v="2"/>
    <x v="11"/>
    <x v="1"/>
    <n v="3"/>
    <x v="0"/>
    <x v="0"/>
  </r>
  <r>
    <d v="2019-09-16T00:00:00"/>
    <x v="0"/>
    <n v="8314"/>
    <x v="10"/>
    <x v="0"/>
    <n v="2"/>
    <x v="2"/>
    <x v="1"/>
    <n v="2"/>
    <x v="0"/>
    <x v="0"/>
  </r>
  <r>
    <d v="2019-09-16T00:00:00"/>
    <x v="0"/>
    <n v="8314"/>
    <x v="10"/>
    <x v="0"/>
    <n v="2"/>
    <x v="13"/>
    <x v="1"/>
    <n v="6"/>
    <x v="0"/>
    <x v="0"/>
  </r>
  <r>
    <d v="2019-09-16T00:00:00"/>
    <x v="0"/>
    <n v="8314"/>
    <x v="10"/>
    <x v="0"/>
    <n v="2"/>
    <x v="3"/>
    <x v="1"/>
    <n v="2"/>
    <x v="0"/>
    <x v="0"/>
  </r>
  <r>
    <d v="2019-09-16T00:00:00"/>
    <x v="0"/>
    <n v="8314"/>
    <x v="10"/>
    <x v="0"/>
    <n v="2"/>
    <x v="10"/>
    <x v="1"/>
    <n v="4"/>
    <x v="0"/>
    <x v="0"/>
  </r>
  <r>
    <d v="2019-09-16T00:00:00"/>
    <x v="0"/>
    <n v="9308"/>
    <x v="8"/>
    <x v="0"/>
    <n v="1"/>
    <x v="4"/>
    <x v="0"/>
    <n v="1"/>
    <x v="0"/>
    <x v="0"/>
  </r>
  <r>
    <d v="2019-09-16T00:00:00"/>
    <x v="0"/>
    <n v="9308"/>
    <x v="8"/>
    <x v="0"/>
    <n v="1"/>
    <x v="0"/>
    <x v="0"/>
    <n v="13"/>
    <x v="0"/>
    <x v="0"/>
  </r>
  <r>
    <d v="2019-09-16T00:00:00"/>
    <x v="0"/>
    <n v="9308"/>
    <x v="8"/>
    <x v="0"/>
    <n v="1"/>
    <x v="12"/>
    <x v="0"/>
    <n v="4"/>
    <x v="0"/>
    <x v="0"/>
  </r>
  <r>
    <d v="2019-09-16T00:00:00"/>
    <x v="0"/>
    <n v="9308"/>
    <x v="8"/>
    <x v="0"/>
    <n v="1"/>
    <x v="20"/>
    <x v="0"/>
    <n v="23"/>
    <x v="0"/>
    <x v="0"/>
  </r>
  <r>
    <d v="2019-09-16T00:00:00"/>
    <x v="0"/>
    <n v="9308"/>
    <x v="8"/>
    <x v="0"/>
    <n v="1"/>
    <x v="2"/>
    <x v="0"/>
    <n v="37"/>
    <x v="0"/>
    <x v="0"/>
  </r>
  <r>
    <d v="2019-09-16T00:00:00"/>
    <x v="0"/>
    <n v="9308"/>
    <x v="8"/>
    <x v="0"/>
    <n v="1"/>
    <x v="26"/>
    <x v="0"/>
    <n v="25"/>
    <x v="0"/>
    <x v="0"/>
  </r>
  <r>
    <d v="2019-09-16T00:00:00"/>
    <x v="0"/>
    <n v="9308"/>
    <x v="8"/>
    <x v="0"/>
    <n v="1"/>
    <x v="7"/>
    <x v="0"/>
    <n v="5"/>
    <x v="0"/>
    <x v="0"/>
  </r>
  <r>
    <d v="2019-09-16T00:00:00"/>
    <x v="0"/>
    <n v="9308"/>
    <x v="8"/>
    <x v="0"/>
    <n v="1"/>
    <x v="13"/>
    <x v="0"/>
    <n v="15"/>
    <x v="0"/>
    <x v="0"/>
  </r>
  <r>
    <d v="2019-09-16T00:00:00"/>
    <x v="0"/>
    <n v="9308"/>
    <x v="8"/>
    <x v="0"/>
    <n v="1"/>
    <x v="3"/>
    <x v="0"/>
    <n v="1"/>
    <x v="0"/>
    <x v="0"/>
  </r>
  <r>
    <d v="2019-09-16T00:00:00"/>
    <x v="0"/>
    <n v="9311"/>
    <x v="11"/>
    <x v="1"/>
    <n v="1"/>
    <x v="11"/>
    <x v="0"/>
    <n v="16"/>
    <x v="0"/>
    <x v="0"/>
  </r>
  <r>
    <d v="2019-09-16T00:00:00"/>
    <x v="0"/>
    <n v="9311"/>
    <x v="11"/>
    <x v="1"/>
    <n v="1"/>
    <x v="5"/>
    <x v="0"/>
    <n v="6"/>
    <x v="0"/>
    <x v="0"/>
  </r>
  <r>
    <d v="2019-09-16T00:00:00"/>
    <x v="0"/>
    <n v="9311"/>
    <x v="11"/>
    <x v="1"/>
    <n v="1"/>
    <x v="13"/>
    <x v="0"/>
    <n v="4"/>
    <x v="0"/>
    <x v="0"/>
  </r>
  <r>
    <d v="2019-09-16T00:00:00"/>
    <x v="0"/>
    <n v="9311"/>
    <x v="11"/>
    <x v="1"/>
    <n v="1"/>
    <x v="3"/>
    <x v="0"/>
    <n v="10"/>
    <x v="0"/>
    <x v="0"/>
  </r>
  <r>
    <d v="2019-09-16T00:00:00"/>
    <x v="0"/>
    <n v="9311"/>
    <x v="11"/>
    <x v="1"/>
    <n v="1"/>
    <x v="9"/>
    <x v="0"/>
    <n v="5"/>
    <x v="0"/>
    <x v="0"/>
  </r>
  <r>
    <d v="2019-09-16T00:00:00"/>
    <x v="0"/>
    <n v="9311"/>
    <x v="11"/>
    <x v="0"/>
    <n v="1"/>
    <x v="5"/>
    <x v="0"/>
    <n v="10"/>
    <x v="0"/>
    <x v="0"/>
  </r>
  <r>
    <d v="2019-09-16T00:00:00"/>
    <x v="0"/>
    <n v="9311"/>
    <x v="11"/>
    <x v="0"/>
    <n v="1"/>
    <x v="24"/>
    <x v="0"/>
    <n v="9"/>
    <x v="0"/>
    <x v="0"/>
  </r>
  <r>
    <d v="2019-09-16T00:00:00"/>
    <x v="0"/>
    <n v="9311"/>
    <x v="11"/>
    <x v="0"/>
    <n v="1"/>
    <x v="21"/>
    <x v="0"/>
    <n v="39"/>
    <x v="0"/>
    <x v="0"/>
  </r>
  <r>
    <d v="2019-09-16T00:00:00"/>
    <x v="0"/>
    <n v="9311"/>
    <x v="11"/>
    <x v="0"/>
    <n v="2"/>
    <x v="18"/>
    <x v="0"/>
    <n v="19"/>
    <x v="0"/>
    <x v="0"/>
  </r>
  <r>
    <d v="2019-09-16T00:00:00"/>
    <x v="0"/>
    <n v="9311"/>
    <x v="11"/>
    <x v="1"/>
    <n v="1"/>
    <x v="20"/>
    <x v="1"/>
    <n v="36"/>
    <x v="0"/>
    <x v="0"/>
  </r>
  <r>
    <d v="2019-09-16T00:00:00"/>
    <x v="0"/>
    <n v="9311"/>
    <x v="11"/>
    <x v="1"/>
    <n v="1"/>
    <x v="1"/>
    <x v="1"/>
    <n v="5"/>
    <x v="0"/>
    <x v="0"/>
  </r>
  <r>
    <d v="2019-09-16T00:00:00"/>
    <x v="0"/>
    <n v="9311"/>
    <x v="11"/>
    <x v="0"/>
    <n v="1"/>
    <x v="27"/>
    <x v="1"/>
    <n v="5"/>
    <x v="0"/>
    <x v="0"/>
  </r>
  <r>
    <d v="2019-09-16T00:00:00"/>
    <x v="0"/>
    <n v="9311"/>
    <x v="11"/>
    <x v="0"/>
    <n v="1"/>
    <x v="11"/>
    <x v="1"/>
    <n v="1"/>
    <x v="0"/>
    <x v="0"/>
  </r>
  <r>
    <d v="2019-09-16T00:00:00"/>
    <x v="0"/>
    <n v="9311"/>
    <x v="11"/>
    <x v="0"/>
    <n v="1"/>
    <x v="5"/>
    <x v="1"/>
    <n v="20"/>
    <x v="0"/>
    <x v="0"/>
  </r>
  <r>
    <d v="2019-09-16T00:00:00"/>
    <x v="0"/>
    <n v="9311"/>
    <x v="11"/>
    <x v="0"/>
    <n v="1"/>
    <x v="7"/>
    <x v="1"/>
    <n v="5"/>
    <x v="0"/>
    <x v="0"/>
  </r>
  <r>
    <d v="2019-09-16T00:00:00"/>
    <x v="0"/>
    <n v="9311"/>
    <x v="11"/>
    <x v="0"/>
    <n v="1"/>
    <x v="13"/>
    <x v="1"/>
    <n v="6"/>
    <x v="0"/>
    <x v="0"/>
  </r>
  <r>
    <d v="2019-09-16T00:00:00"/>
    <x v="0"/>
    <n v="9311"/>
    <x v="11"/>
    <x v="0"/>
    <n v="1"/>
    <x v="3"/>
    <x v="1"/>
    <n v="5"/>
    <x v="0"/>
    <x v="0"/>
  </r>
  <r>
    <d v="2019-09-16T00:00:00"/>
    <x v="0"/>
    <n v="9311"/>
    <x v="11"/>
    <x v="0"/>
    <n v="1"/>
    <x v="9"/>
    <x v="1"/>
    <n v="2"/>
    <x v="0"/>
    <x v="0"/>
  </r>
  <r>
    <d v="2019-09-16T00:00:00"/>
    <x v="0"/>
    <n v="9311"/>
    <x v="11"/>
    <x v="0"/>
    <n v="1"/>
    <x v="10"/>
    <x v="1"/>
    <n v="2"/>
    <x v="0"/>
    <x v="0"/>
  </r>
  <r>
    <d v="2019-09-16T00:00:00"/>
    <x v="0"/>
    <n v="9311"/>
    <x v="11"/>
    <x v="0"/>
    <n v="2"/>
    <x v="27"/>
    <x v="1"/>
    <n v="1"/>
    <x v="0"/>
    <x v="0"/>
  </r>
  <r>
    <d v="2019-09-16T00:00:00"/>
    <x v="0"/>
    <n v="9311"/>
    <x v="11"/>
    <x v="0"/>
    <n v="2"/>
    <x v="11"/>
    <x v="1"/>
    <n v="10"/>
    <x v="0"/>
    <x v="0"/>
  </r>
  <r>
    <d v="2019-09-16T00:00:00"/>
    <x v="0"/>
    <n v="9311"/>
    <x v="11"/>
    <x v="0"/>
    <n v="2"/>
    <x v="5"/>
    <x v="1"/>
    <n v="2"/>
    <x v="0"/>
    <x v="0"/>
  </r>
  <r>
    <d v="2019-09-16T00:00:00"/>
    <x v="0"/>
    <n v="9311"/>
    <x v="11"/>
    <x v="0"/>
    <n v="2"/>
    <x v="3"/>
    <x v="1"/>
    <n v="2"/>
    <x v="0"/>
    <x v="0"/>
  </r>
  <r>
    <d v="2019-09-16T00:00:00"/>
    <x v="0"/>
    <n v="9313"/>
    <x v="12"/>
    <x v="1"/>
    <n v="1"/>
    <x v="27"/>
    <x v="0"/>
    <n v="2"/>
    <x v="0"/>
    <x v="0"/>
  </r>
  <r>
    <d v="2019-09-16T00:00:00"/>
    <x v="0"/>
    <n v="9313"/>
    <x v="12"/>
    <x v="1"/>
    <n v="1"/>
    <x v="28"/>
    <x v="0"/>
    <n v="1"/>
    <x v="0"/>
    <x v="0"/>
  </r>
  <r>
    <d v="2019-09-16T00:00:00"/>
    <x v="0"/>
    <n v="9313"/>
    <x v="12"/>
    <x v="1"/>
    <n v="1"/>
    <x v="29"/>
    <x v="0"/>
    <n v="2"/>
    <x v="0"/>
    <x v="0"/>
  </r>
  <r>
    <d v="2019-09-16T00:00:00"/>
    <x v="0"/>
    <n v="9313"/>
    <x v="12"/>
    <x v="1"/>
    <n v="1"/>
    <x v="16"/>
    <x v="0"/>
    <n v="3"/>
    <x v="0"/>
    <x v="0"/>
  </r>
  <r>
    <d v="2019-09-16T00:00:00"/>
    <x v="0"/>
    <n v="9313"/>
    <x v="12"/>
    <x v="1"/>
    <n v="1"/>
    <x v="30"/>
    <x v="0"/>
    <n v="2"/>
    <x v="0"/>
    <x v="0"/>
  </r>
  <r>
    <d v="2019-09-16T00:00:00"/>
    <x v="0"/>
    <n v="9313"/>
    <x v="12"/>
    <x v="0"/>
    <n v="1"/>
    <x v="20"/>
    <x v="0"/>
    <n v="58"/>
    <x v="0"/>
    <x v="0"/>
  </r>
  <r>
    <d v="2019-09-16T00:00:00"/>
    <x v="0"/>
    <n v="9313"/>
    <x v="12"/>
    <x v="0"/>
    <n v="2"/>
    <x v="4"/>
    <x v="1"/>
    <n v="5"/>
    <x v="0"/>
    <x v="0"/>
  </r>
  <r>
    <d v="2019-09-16T00:00:00"/>
    <x v="0"/>
    <n v="9313"/>
    <x v="12"/>
    <x v="0"/>
    <n v="2"/>
    <x v="0"/>
    <x v="1"/>
    <n v="6"/>
    <x v="0"/>
    <x v="0"/>
  </r>
  <r>
    <d v="2019-09-16T00:00:00"/>
    <x v="0"/>
    <n v="9313"/>
    <x v="12"/>
    <x v="0"/>
    <n v="2"/>
    <x v="11"/>
    <x v="1"/>
    <n v="5"/>
    <x v="0"/>
    <x v="0"/>
  </r>
  <r>
    <d v="2019-09-16T00:00:00"/>
    <x v="0"/>
    <n v="9313"/>
    <x v="12"/>
    <x v="0"/>
    <n v="2"/>
    <x v="6"/>
    <x v="1"/>
    <n v="9"/>
    <x v="0"/>
    <x v="0"/>
  </r>
  <r>
    <d v="2019-09-16T00:00:00"/>
    <x v="0"/>
    <n v="9313"/>
    <x v="12"/>
    <x v="0"/>
    <n v="2"/>
    <x v="7"/>
    <x v="1"/>
    <n v="5"/>
    <x v="0"/>
    <x v="0"/>
  </r>
  <r>
    <d v="2019-09-16T00:00:00"/>
    <x v="0"/>
    <n v="9313"/>
    <x v="12"/>
    <x v="0"/>
    <n v="2"/>
    <x v="3"/>
    <x v="1"/>
    <n v="20"/>
    <x v="0"/>
    <x v="0"/>
  </r>
  <r>
    <d v="2019-09-16T00:00:00"/>
    <x v="0"/>
    <n v="9313"/>
    <x v="12"/>
    <x v="0"/>
    <n v="2"/>
    <x v="9"/>
    <x v="1"/>
    <n v="1"/>
    <x v="0"/>
    <x v="0"/>
  </r>
  <r>
    <d v="2019-09-16T00:00:00"/>
    <x v="0"/>
    <n v="9313"/>
    <x v="12"/>
    <x v="0"/>
    <n v="2"/>
    <x v="10"/>
    <x v="1"/>
    <n v="6"/>
    <x v="0"/>
    <x v="0"/>
  </r>
  <r>
    <d v="2019-09-16T00:00:00"/>
    <x v="0"/>
    <n v="1027"/>
    <x v="13"/>
    <x v="1"/>
    <n v="1"/>
    <x v="27"/>
    <x v="0"/>
    <n v="5"/>
    <x v="0"/>
    <x v="0"/>
  </r>
  <r>
    <d v="2019-09-16T00:00:00"/>
    <x v="0"/>
    <n v="1027"/>
    <x v="13"/>
    <x v="1"/>
    <n v="1"/>
    <x v="31"/>
    <x v="0"/>
    <n v="5"/>
    <x v="0"/>
    <x v="0"/>
  </r>
  <r>
    <d v="2019-09-16T00:00:00"/>
    <x v="0"/>
    <n v="1027"/>
    <x v="13"/>
    <x v="1"/>
    <n v="1"/>
    <x v="32"/>
    <x v="0"/>
    <n v="1"/>
    <x v="0"/>
    <x v="0"/>
  </r>
  <r>
    <d v="2019-09-16T00:00:00"/>
    <x v="0"/>
    <n v="1027"/>
    <x v="13"/>
    <x v="1"/>
    <n v="1"/>
    <x v="28"/>
    <x v="0"/>
    <n v="4"/>
    <x v="0"/>
    <x v="0"/>
  </r>
  <r>
    <d v="2019-09-16T00:00:00"/>
    <x v="0"/>
    <n v="1027"/>
    <x v="13"/>
    <x v="1"/>
    <n v="1"/>
    <x v="20"/>
    <x v="0"/>
    <n v="1"/>
    <x v="0"/>
    <x v="0"/>
  </r>
  <r>
    <d v="2019-09-16T00:00:00"/>
    <x v="0"/>
    <n v="1027"/>
    <x v="13"/>
    <x v="1"/>
    <n v="1"/>
    <x v="15"/>
    <x v="0"/>
    <n v="2"/>
    <x v="0"/>
    <x v="0"/>
  </r>
  <r>
    <d v="2019-09-16T00:00:00"/>
    <x v="0"/>
    <n v="1027"/>
    <x v="13"/>
    <x v="1"/>
    <n v="1"/>
    <x v="24"/>
    <x v="0"/>
    <n v="5"/>
    <x v="0"/>
    <x v="0"/>
  </r>
  <r>
    <d v="2019-09-16T00:00:00"/>
    <x v="0"/>
    <n v="1027"/>
    <x v="13"/>
    <x v="1"/>
    <n v="1"/>
    <x v="23"/>
    <x v="0"/>
    <n v="5"/>
    <x v="0"/>
    <x v="0"/>
  </r>
  <r>
    <d v="2019-09-16T00:00:00"/>
    <x v="0"/>
    <n v="1027"/>
    <x v="13"/>
    <x v="1"/>
    <n v="1"/>
    <x v="21"/>
    <x v="0"/>
    <n v="4"/>
    <x v="0"/>
    <x v="0"/>
  </r>
  <r>
    <d v="2019-09-16T00:00:00"/>
    <x v="0"/>
    <n v="1027"/>
    <x v="13"/>
    <x v="1"/>
    <n v="1"/>
    <x v="9"/>
    <x v="0"/>
    <n v="2"/>
    <x v="0"/>
    <x v="0"/>
  </r>
  <r>
    <d v="2019-09-16T00:00:00"/>
    <x v="0"/>
    <n v="1027"/>
    <x v="13"/>
    <x v="1"/>
    <n v="1"/>
    <x v="16"/>
    <x v="0"/>
    <n v="2"/>
    <x v="0"/>
    <x v="0"/>
  </r>
  <r>
    <d v="2019-09-16T00:00:00"/>
    <x v="0"/>
    <n v="1027"/>
    <x v="13"/>
    <x v="0"/>
    <n v="1"/>
    <x v="23"/>
    <x v="0"/>
    <n v="22"/>
    <x v="0"/>
    <x v="0"/>
  </r>
  <r>
    <d v="2019-09-16T00:00:00"/>
    <x v="0"/>
    <n v="1027"/>
    <x v="13"/>
    <x v="0"/>
    <n v="1"/>
    <x v="19"/>
    <x v="0"/>
    <n v="34"/>
    <x v="0"/>
    <x v="0"/>
  </r>
  <r>
    <d v="2019-09-16T00:00:00"/>
    <x v="0"/>
    <n v="1027"/>
    <x v="13"/>
    <x v="0"/>
    <n v="1"/>
    <x v="17"/>
    <x v="0"/>
    <n v="21"/>
    <x v="0"/>
    <x v="0"/>
  </r>
  <r>
    <d v="2019-09-16T00:00:00"/>
    <x v="0"/>
    <n v="1736"/>
    <x v="14"/>
    <x v="1"/>
    <n v="1"/>
    <x v="27"/>
    <x v="0"/>
    <n v="1"/>
    <x v="0"/>
    <x v="0"/>
  </r>
  <r>
    <d v="2019-09-16T00:00:00"/>
    <x v="0"/>
    <n v="1736"/>
    <x v="14"/>
    <x v="1"/>
    <n v="1"/>
    <x v="28"/>
    <x v="0"/>
    <n v="3"/>
    <x v="0"/>
    <x v="0"/>
  </r>
  <r>
    <d v="2019-09-16T00:00:00"/>
    <x v="0"/>
    <n v="1736"/>
    <x v="14"/>
    <x v="1"/>
    <n v="1"/>
    <x v="15"/>
    <x v="0"/>
    <n v="3"/>
    <x v="0"/>
    <x v="0"/>
  </r>
  <r>
    <d v="2019-09-16T00:00:00"/>
    <x v="0"/>
    <n v="1736"/>
    <x v="14"/>
    <x v="1"/>
    <n v="1"/>
    <x v="24"/>
    <x v="0"/>
    <n v="1"/>
    <x v="0"/>
    <x v="0"/>
  </r>
  <r>
    <d v="2019-09-16T00:00:00"/>
    <x v="0"/>
    <n v="1736"/>
    <x v="14"/>
    <x v="1"/>
    <n v="1"/>
    <x v="19"/>
    <x v="0"/>
    <n v="1"/>
    <x v="0"/>
    <x v="0"/>
  </r>
  <r>
    <d v="2019-09-16T00:00:00"/>
    <x v="0"/>
    <n v="1736"/>
    <x v="14"/>
    <x v="1"/>
    <n v="1"/>
    <x v="30"/>
    <x v="0"/>
    <n v="1"/>
    <x v="0"/>
    <x v="0"/>
  </r>
  <r>
    <d v="2019-09-16T00:00:00"/>
    <x v="0"/>
    <n v="1736"/>
    <x v="14"/>
    <x v="1"/>
    <n v="2"/>
    <x v="32"/>
    <x v="0"/>
    <n v="2"/>
    <x v="0"/>
    <x v="0"/>
  </r>
  <r>
    <d v="2019-09-16T00:00:00"/>
    <x v="0"/>
    <n v="1736"/>
    <x v="14"/>
    <x v="1"/>
    <n v="2"/>
    <x v="28"/>
    <x v="0"/>
    <n v="7"/>
    <x v="0"/>
    <x v="0"/>
  </r>
  <r>
    <d v="2019-09-16T00:00:00"/>
    <x v="0"/>
    <n v="1736"/>
    <x v="14"/>
    <x v="1"/>
    <n v="2"/>
    <x v="16"/>
    <x v="0"/>
    <n v="1"/>
    <x v="0"/>
    <x v="0"/>
  </r>
  <r>
    <d v="2019-09-16T00:00:00"/>
    <x v="0"/>
    <n v="1736"/>
    <x v="14"/>
    <x v="0"/>
    <n v="1"/>
    <x v="15"/>
    <x v="0"/>
    <n v="12"/>
    <x v="0"/>
    <x v="0"/>
  </r>
  <r>
    <d v="2019-09-16T00:00:00"/>
    <x v="0"/>
    <n v="1736"/>
    <x v="14"/>
    <x v="0"/>
    <n v="1"/>
    <x v="21"/>
    <x v="0"/>
    <n v="54"/>
    <x v="0"/>
    <x v="0"/>
  </r>
  <r>
    <d v="2019-09-16T00:00:00"/>
    <x v="0"/>
    <n v="1736"/>
    <x v="14"/>
    <x v="0"/>
    <n v="1"/>
    <x v="3"/>
    <x v="0"/>
    <n v="18"/>
    <x v="0"/>
    <x v="0"/>
  </r>
  <r>
    <d v="2019-09-16T00:00:00"/>
    <x v="0"/>
    <n v="1736"/>
    <x v="14"/>
    <x v="0"/>
    <n v="1"/>
    <x v="19"/>
    <x v="0"/>
    <n v="54"/>
    <x v="0"/>
    <x v="0"/>
  </r>
  <r>
    <d v="2019-09-16T00:00:00"/>
    <x v="0"/>
    <n v="1736"/>
    <x v="14"/>
    <x v="0"/>
    <n v="2"/>
    <x v="20"/>
    <x v="0"/>
    <n v="20"/>
    <x v="0"/>
    <x v="0"/>
  </r>
  <r>
    <d v="2019-09-16T00:00:00"/>
    <x v="0"/>
    <n v="1751"/>
    <x v="15"/>
    <x v="1"/>
    <n v="1"/>
    <x v="27"/>
    <x v="0"/>
    <n v="14"/>
    <x v="0"/>
    <x v="0"/>
  </r>
  <r>
    <d v="2019-09-16T00:00:00"/>
    <x v="0"/>
    <n v="1751"/>
    <x v="15"/>
    <x v="1"/>
    <n v="1"/>
    <x v="33"/>
    <x v="0"/>
    <n v="7"/>
    <x v="0"/>
    <x v="0"/>
  </r>
  <r>
    <d v="2019-09-16T00:00:00"/>
    <x v="0"/>
    <n v="1751"/>
    <x v="15"/>
    <x v="1"/>
    <n v="1"/>
    <x v="15"/>
    <x v="0"/>
    <n v="9"/>
    <x v="0"/>
    <x v="0"/>
  </r>
  <r>
    <d v="2019-09-16T00:00:00"/>
    <x v="0"/>
    <n v="1751"/>
    <x v="15"/>
    <x v="1"/>
    <n v="1"/>
    <x v="29"/>
    <x v="0"/>
    <n v="2"/>
    <x v="0"/>
    <x v="0"/>
  </r>
  <r>
    <d v="2019-09-16T00:00:00"/>
    <x v="0"/>
    <n v="1751"/>
    <x v="15"/>
    <x v="1"/>
    <n v="1"/>
    <x v="25"/>
    <x v="0"/>
    <n v="5"/>
    <x v="0"/>
    <x v="0"/>
  </r>
  <r>
    <d v="2019-09-16T00:00:00"/>
    <x v="0"/>
    <n v="1751"/>
    <x v="15"/>
    <x v="1"/>
    <n v="1"/>
    <x v="34"/>
    <x v="0"/>
    <n v="7"/>
    <x v="0"/>
    <x v="0"/>
  </r>
  <r>
    <d v="2019-09-16T00:00:00"/>
    <x v="0"/>
    <n v="1751"/>
    <x v="15"/>
    <x v="1"/>
    <n v="1"/>
    <x v="23"/>
    <x v="0"/>
    <n v="6"/>
    <x v="0"/>
    <x v="0"/>
  </r>
  <r>
    <d v="2019-09-16T00:00:00"/>
    <x v="0"/>
    <n v="1751"/>
    <x v="15"/>
    <x v="1"/>
    <n v="1"/>
    <x v="21"/>
    <x v="0"/>
    <n v="7"/>
    <x v="0"/>
    <x v="0"/>
  </r>
  <r>
    <d v="2019-09-16T00:00:00"/>
    <x v="0"/>
    <n v="1751"/>
    <x v="15"/>
    <x v="1"/>
    <n v="1"/>
    <x v="16"/>
    <x v="0"/>
    <n v="1"/>
    <x v="0"/>
    <x v="0"/>
  </r>
  <r>
    <d v="2019-09-16T00:00:00"/>
    <x v="0"/>
    <n v="1751"/>
    <x v="15"/>
    <x v="1"/>
    <n v="1"/>
    <x v="19"/>
    <x v="0"/>
    <n v="2"/>
    <x v="0"/>
    <x v="0"/>
  </r>
  <r>
    <d v="2019-09-16T00:00:00"/>
    <x v="0"/>
    <n v="1751"/>
    <x v="15"/>
    <x v="0"/>
    <n v="1"/>
    <x v="0"/>
    <x v="0"/>
    <n v="3"/>
    <x v="0"/>
    <x v="0"/>
  </r>
  <r>
    <d v="2019-09-16T00:00:00"/>
    <x v="0"/>
    <n v="1751"/>
    <x v="15"/>
    <x v="0"/>
    <n v="1"/>
    <x v="2"/>
    <x v="0"/>
    <n v="8"/>
    <x v="0"/>
    <x v="0"/>
  </r>
  <r>
    <d v="2019-09-16T00:00:00"/>
    <x v="0"/>
    <n v="1751"/>
    <x v="15"/>
    <x v="0"/>
    <n v="1"/>
    <x v="21"/>
    <x v="0"/>
    <n v="27"/>
    <x v="0"/>
    <x v="0"/>
  </r>
  <r>
    <d v="2019-09-16T00:00:00"/>
    <x v="0"/>
    <n v="1751"/>
    <x v="15"/>
    <x v="0"/>
    <n v="1"/>
    <x v="13"/>
    <x v="0"/>
    <n v="9"/>
    <x v="0"/>
    <x v="0"/>
  </r>
  <r>
    <d v="2019-09-16T00:00:00"/>
    <x v="0"/>
    <n v="1751"/>
    <x v="16"/>
    <x v="1"/>
    <n v="1"/>
    <x v="2"/>
    <x v="1"/>
    <n v="8"/>
    <x v="0"/>
    <x v="0"/>
  </r>
  <r>
    <d v="2019-09-16T00:00:00"/>
    <x v="0"/>
    <n v="1751"/>
    <x v="16"/>
    <x v="1"/>
    <n v="1"/>
    <x v="21"/>
    <x v="1"/>
    <n v="10"/>
    <x v="0"/>
    <x v="0"/>
  </r>
  <r>
    <d v="2019-09-16T00:00:00"/>
    <x v="0"/>
    <n v="1751"/>
    <x v="16"/>
    <x v="1"/>
    <n v="1"/>
    <x v="13"/>
    <x v="1"/>
    <n v="6"/>
    <x v="0"/>
    <x v="0"/>
  </r>
  <r>
    <d v="2019-09-16T00:00:00"/>
    <x v="0"/>
    <n v="1751"/>
    <x v="16"/>
    <x v="1"/>
    <n v="1"/>
    <x v="3"/>
    <x v="1"/>
    <n v="30"/>
    <x v="0"/>
    <x v="0"/>
  </r>
  <r>
    <d v="2019-09-16T00:00:00"/>
    <x v="0"/>
    <n v="1751"/>
    <x v="16"/>
    <x v="1"/>
    <n v="1"/>
    <x v="16"/>
    <x v="1"/>
    <n v="6"/>
    <x v="0"/>
    <x v="0"/>
  </r>
  <r>
    <d v="2019-09-16T00:00:00"/>
    <x v="0"/>
    <n v="1751"/>
    <x v="16"/>
    <x v="0"/>
    <n v="1"/>
    <x v="4"/>
    <x v="1"/>
    <n v="5"/>
    <x v="0"/>
    <x v="0"/>
  </r>
  <r>
    <d v="2019-09-16T00:00:00"/>
    <x v="0"/>
    <n v="1751"/>
    <x v="16"/>
    <x v="0"/>
    <n v="1"/>
    <x v="0"/>
    <x v="1"/>
    <n v="2"/>
    <x v="0"/>
    <x v="0"/>
  </r>
  <r>
    <d v="2019-09-16T00:00:00"/>
    <x v="0"/>
    <n v="1751"/>
    <x v="16"/>
    <x v="0"/>
    <n v="1"/>
    <x v="11"/>
    <x v="1"/>
    <n v="3"/>
    <x v="0"/>
    <x v="0"/>
  </r>
  <r>
    <d v="2019-09-16T00:00:00"/>
    <x v="0"/>
    <n v="1751"/>
    <x v="16"/>
    <x v="0"/>
    <n v="1"/>
    <x v="33"/>
    <x v="1"/>
    <n v="1"/>
    <x v="0"/>
    <x v="0"/>
  </r>
  <r>
    <d v="2019-09-16T00:00:00"/>
    <x v="0"/>
    <n v="1751"/>
    <x v="16"/>
    <x v="0"/>
    <n v="1"/>
    <x v="31"/>
    <x v="1"/>
    <n v="2"/>
    <x v="0"/>
    <x v="0"/>
  </r>
  <r>
    <d v="2019-09-16T00:00:00"/>
    <x v="0"/>
    <n v="1751"/>
    <x v="16"/>
    <x v="0"/>
    <n v="1"/>
    <x v="32"/>
    <x v="1"/>
    <n v="1"/>
    <x v="0"/>
    <x v="0"/>
  </r>
  <r>
    <d v="2019-09-16T00:00:00"/>
    <x v="0"/>
    <n v="1751"/>
    <x v="16"/>
    <x v="0"/>
    <n v="1"/>
    <x v="15"/>
    <x v="1"/>
    <n v="1"/>
    <x v="0"/>
    <x v="0"/>
  </r>
  <r>
    <d v="2019-09-16T00:00:00"/>
    <x v="0"/>
    <n v="1751"/>
    <x v="16"/>
    <x v="0"/>
    <n v="1"/>
    <x v="24"/>
    <x v="1"/>
    <n v="3"/>
    <x v="0"/>
    <x v="0"/>
  </r>
  <r>
    <d v="2019-09-16T00:00:00"/>
    <x v="0"/>
    <n v="1751"/>
    <x v="16"/>
    <x v="0"/>
    <n v="1"/>
    <x v="29"/>
    <x v="1"/>
    <n v="1"/>
    <x v="0"/>
    <x v="0"/>
  </r>
  <r>
    <d v="2019-09-16T00:00:00"/>
    <x v="0"/>
    <n v="1751"/>
    <x v="16"/>
    <x v="0"/>
    <n v="1"/>
    <x v="2"/>
    <x v="1"/>
    <n v="5"/>
    <x v="0"/>
    <x v="0"/>
  </r>
  <r>
    <d v="2019-09-16T00:00:00"/>
    <x v="0"/>
    <n v="1751"/>
    <x v="16"/>
    <x v="0"/>
    <n v="1"/>
    <x v="6"/>
    <x v="1"/>
    <n v="2"/>
    <x v="0"/>
    <x v="0"/>
  </r>
  <r>
    <d v="2019-09-16T00:00:00"/>
    <x v="0"/>
    <n v="1751"/>
    <x v="16"/>
    <x v="0"/>
    <n v="1"/>
    <x v="13"/>
    <x v="1"/>
    <n v="13"/>
    <x v="0"/>
    <x v="0"/>
  </r>
  <r>
    <d v="2019-09-16T00:00:00"/>
    <x v="0"/>
    <n v="1751"/>
    <x v="16"/>
    <x v="0"/>
    <n v="1"/>
    <x v="3"/>
    <x v="1"/>
    <n v="2"/>
    <x v="0"/>
    <x v="0"/>
  </r>
  <r>
    <d v="2019-09-16T00:00:00"/>
    <x v="0"/>
    <n v="1751"/>
    <x v="16"/>
    <x v="0"/>
    <n v="1"/>
    <x v="9"/>
    <x v="1"/>
    <n v="2"/>
    <x v="0"/>
    <x v="0"/>
  </r>
  <r>
    <d v="2019-09-16T00:00:00"/>
    <x v="0"/>
    <n v="1751"/>
    <x v="16"/>
    <x v="0"/>
    <n v="1"/>
    <x v="16"/>
    <x v="1"/>
    <n v="4"/>
    <x v="0"/>
    <x v="0"/>
  </r>
  <r>
    <d v="2019-09-16T00:00:00"/>
    <x v="0"/>
    <n v="1761"/>
    <x v="17"/>
    <x v="1"/>
    <n v="1"/>
    <x v="27"/>
    <x v="0"/>
    <n v="3"/>
    <x v="0"/>
    <x v="0"/>
  </r>
  <r>
    <d v="2019-09-16T00:00:00"/>
    <x v="0"/>
    <n v="1761"/>
    <x v="17"/>
    <x v="1"/>
    <n v="1"/>
    <x v="33"/>
    <x v="0"/>
    <n v="7"/>
    <x v="0"/>
    <x v="0"/>
  </r>
  <r>
    <d v="2019-09-16T00:00:00"/>
    <x v="0"/>
    <n v="1761"/>
    <x v="17"/>
    <x v="1"/>
    <n v="1"/>
    <x v="15"/>
    <x v="0"/>
    <n v="24"/>
    <x v="0"/>
    <x v="0"/>
  </r>
  <r>
    <d v="2019-09-16T00:00:00"/>
    <x v="0"/>
    <n v="1761"/>
    <x v="17"/>
    <x v="1"/>
    <n v="1"/>
    <x v="29"/>
    <x v="0"/>
    <n v="4"/>
    <x v="0"/>
    <x v="0"/>
  </r>
  <r>
    <d v="2019-09-16T00:00:00"/>
    <x v="0"/>
    <n v="1761"/>
    <x v="17"/>
    <x v="1"/>
    <n v="1"/>
    <x v="25"/>
    <x v="0"/>
    <n v="5"/>
    <x v="0"/>
    <x v="0"/>
  </r>
  <r>
    <d v="2019-09-16T00:00:00"/>
    <x v="0"/>
    <n v="1761"/>
    <x v="17"/>
    <x v="1"/>
    <n v="1"/>
    <x v="34"/>
    <x v="0"/>
    <n v="4"/>
    <x v="0"/>
    <x v="0"/>
  </r>
  <r>
    <d v="2019-09-16T00:00:00"/>
    <x v="0"/>
    <n v="1761"/>
    <x v="17"/>
    <x v="1"/>
    <n v="1"/>
    <x v="23"/>
    <x v="0"/>
    <n v="10"/>
    <x v="0"/>
    <x v="0"/>
  </r>
  <r>
    <d v="2019-09-16T00:00:00"/>
    <x v="0"/>
    <n v="1761"/>
    <x v="17"/>
    <x v="1"/>
    <n v="1"/>
    <x v="21"/>
    <x v="0"/>
    <n v="8"/>
    <x v="0"/>
    <x v="0"/>
  </r>
  <r>
    <d v="2019-09-16T00:00:00"/>
    <x v="0"/>
    <n v="1761"/>
    <x v="17"/>
    <x v="1"/>
    <n v="1"/>
    <x v="19"/>
    <x v="0"/>
    <n v="5"/>
    <x v="0"/>
    <x v="0"/>
  </r>
  <r>
    <d v="2019-09-16T00:00:00"/>
    <x v="0"/>
    <n v="1761"/>
    <x v="17"/>
    <x v="0"/>
    <n v="1"/>
    <x v="20"/>
    <x v="0"/>
    <n v="22"/>
    <x v="0"/>
    <x v="0"/>
  </r>
  <r>
    <d v="2019-09-16T00:00:00"/>
    <x v="0"/>
    <n v="1761"/>
    <x v="17"/>
    <x v="0"/>
    <n v="1"/>
    <x v="21"/>
    <x v="0"/>
    <n v="29"/>
    <x v="0"/>
    <x v="0"/>
  </r>
  <r>
    <d v="2019-09-16T00:00:00"/>
    <x v="0"/>
    <n v="4504"/>
    <x v="18"/>
    <x v="1"/>
    <n v="1"/>
    <x v="27"/>
    <x v="0"/>
    <n v="9"/>
    <x v="0"/>
    <x v="0"/>
  </r>
  <r>
    <d v="2019-09-16T00:00:00"/>
    <x v="0"/>
    <n v="4504"/>
    <x v="18"/>
    <x v="1"/>
    <n v="1"/>
    <x v="33"/>
    <x v="0"/>
    <n v="10"/>
    <x v="0"/>
    <x v="0"/>
  </r>
  <r>
    <d v="2019-09-16T00:00:00"/>
    <x v="0"/>
    <n v="4504"/>
    <x v="18"/>
    <x v="1"/>
    <n v="1"/>
    <x v="29"/>
    <x v="0"/>
    <n v="2"/>
    <x v="0"/>
    <x v="0"/>
  </r>
  <r>
    <d v="2019-09-16T00:00:00"/>
    <x v="0"/>
    <n v="4504"/>
    <x v="18"/>
    <x v="1"/>
    <n v="1"/>
    <x v="25"/>
    <x v="0"/>
    <n v="10"/>
    <x v="0"/>
    <x v="0"/>
  </r>
  <r>
    <d v="2019-09-16T00:00:00"/>
    <x v="0"/>
    <n v="4504"/>
    <x v="18"/>
    <x v="1"/>
    <n v="1"/>
    <x v="23"/>
    <x v="0"/>
    <n v="2"/>
    <x v="0"/>
    <x v="0"/>
  </r>
  <r>
    <d v="2019-09-16T00:00:00"/>
    <x v="0"/>
    <n v="4504"/>
    <x v="18"/>
    <x v="1"/>
    <n v="1"/>
    <x v="19"/>
    <x v="0"/>
    <n v="2"/>
    <x v="0"/>
    <x v="0"/>
  </r>
  <r>
    <d v="2019-09-16T00:00:00"/>
    <x v="0"/>
    <n v="4504"/>
    <x v="18"/>
    <x v="1"/>
    <n v="1"/>
    <x v="30"/>
    <x v="0"/>
    <n v="2"/>
    <x v="0"/>
    <x v="0"/>
  </r>
  <r>
    <d v="2019-09-16T00:00:00"/>
    <x v="0"/>
    <n v="4504"/>
    <x v="18"/>
    <x v="0"/>
    <n v="1"/>
    <x v="24"/>
    <x v="0"/>
    <n v="6"/>
    <x v="0"/>
    <x v="0"/>
  </r>
  <r>
    <d v="2019-09-16T00:00:00"/>
    <x v="0"/>
    <n v="4504"/>
    <x v="18"/>
    <x v="0"/>
    <n v="1"/>
    <x v="2"/>
    <x v="0"/>
    <n v="15"/>
    <x v="0"/>
    <x v="0"/>
  </r>
  <r>
    <d v="2019-09-16T00:00:00"/>
    <x v="0"/>
    <n v="4504"/>
    <x v="18"/>
    <x v="0"/>
    <n v="1"/>
    <x v="23"/>
    <x v="0"/>
    <n v="1"/>
    <x v="0"/>
    <x v="0"/>
  </r>
  <r>
    <d v="2019-09-16T00:00:00"/>
    <x v="0"/>
    <n v="1761"/>
    <x v="17"/>
    <x v="1"/>
    <n v="1"/>
    <x v="2"/>
    <x v="1"/>
    <n v="15"/>
    <x v="0"/>
    <x v="0"/>
  </r>
  <r>
    <d v="2019-09-16T00:00:00"/>
    <x v="0"/>
    <n v="1761"/>
    <x v="17"/>
    <x v="1"/>
    <n v="1"/>
    <x v="23"/>
    <x v="1"/>
    <n v="2"/>
    <x v="0"/>
    <x v="0"/>
  </r>
  <r>
    <d v="2019-09-16T00:00:00"/>
    <x v="0"/>
    <n v="1761"/>
    <x v="17"/>
    <x v="1"/>
    <n v="1"/>
    <x v="21"/>
    <x v="1"/>
    <n v="13"/>
    <x v="0"/>
    <x v="0"/>
  </r>
  <r>
    <d v="2019-09-16T00:00:00"/>
    <x v="0"/>
    <n v="1761"/>
    <x v="17"/>
    <x v="1"/>
    <n v="1"/>
    <x v="17"/>
    <x v="1"/>
    <n v="40"/>
    <x v="0"/>
    <x v="0"/>
  </r>
  <r>
    <d v="2019-09-16T00:00:00"/>
    <x v="0"/>
    <n v="1761"/>
    <x v="17"/>
    <x v="0"/>
    <n v="1"/>
    <x v="27"/>
    <x v="1"/>
    <n v="11"/>
    <x v="0"/>
    <x v="0"/>
  </r>
  <r>
    <d v="2019-09-16T00:00:00"/>
    <x v="0"/>
    <n v="1761"/>
    <x v="17"/>
    <x v="0"/>
    <n v="1"/>
    <x v="33"/>
    <x v="1"/>
    <n v="6"/>
    <x v="0"/>
    <x v="0"/>
  </r>
  <r>
    <d v="2019-09-16T00:00:00"/>
    <x v="0"/>
    <n v="1761"/>
    <x v="17"/>
    <x v="0"/>
    <n v="1"/>
    <x v="32"/>
    <x v="1"/>
    <n v="2"/>
    <x v="0"/>
    <x v="0"/>
  </r>
  <r>
    <d v="2019-09-16T00:00:00"/>
    <x v="0"/>
    <n v="1761"/>
    <x v="17"/>
    <x v="0"/>
    <n v="1"/>
    <x v="28"/>
    <x v="1"/>
    <n v="3"/>
    <x v="0"/>
    <x v="0"/>
  </r>
  <r>
    <d v="2019-09-16T00:00:00"/>
    <x v="0"/>
    <n v="1761"/>
    <x v="17"/>
    <x v="0"/>
    <n v="1"/>
    <x v="20"/>
    <x v="1"/>
    <n v="3"/>
    <x v="0"/>
    <x v="0"/>
  </r>
  <r>
    <d v="2019-09-16T00:00:00"/>
    <x v="0"/>
    <n v="1761"/>
    <x v="17"/>
    <x v="0"/>
    <n v="1"/>
    <x v="29"/>
    <x v="1"/>
    <n v="4"/>
    <x v="0"/>
    <x v="0"/>
  </r>
  <r>
    <d v="2019-09-16T00:00:00"/>
    <x v="0"/>
    <n v="1761"/>
    <x v="17"/>
    <x v="0"/>
    <n v="2"/>
    <x v="27"/>
    <x v="1"/>
    <n v="1"/>
    <x v="0"/>
    <x v="0"/>
  </r>
  <r>
    <d v="2019-09-16T00:00:00"/>
    <x v="0"/>
    <n v="1761"/>
    <x v="17"/>
    <x v="0"/>
    <n v="2"/>
    <x v="33"/>
    <x v="1"/>
    <n v="2"/>
    <x v="0"/>
    <x v="0"/>
  </r>
  <r>
    <d v="2019-09-16T00:00:00"/>
    <x v="0"/>
    <n v="1761"/>
    <x v="17"/>
    <x v="0"/>
    <n v="2"/>
    <x v="31"/>
    <x v="1"/>
    <n v="7"/>
    <x v="0"/>
    <x v="0"/>
  </r>
  <r>
    <d v="2019-09-16T00:00:00"/>
    <x v="0"/>
    <n v="1761"/>
    <x v="17"/>
    <x v="0"/>
    <n v="2"/>
    <x v="28"/>
    <x v="1"/>
    <n v="1"/>
    <x v="0"/>
    <x v="0"/>
  </r>
  <r>
    <d v="2019-09-16T00:00:00"/>
    <x v="0"/>
    <n v="1761"/>
    <x v="17"/>
    <x v="0"/>
    <n v="2"/>
    <x v="24"/>
    <x v="1"/>
    <n v="5"/>
    <x v="0"/>
    <x v="0"/>
  </r>
  <r>
    <d v="2019-09-16T00:00:00"/>
    <x v="0"/>
    <n v="1761"/>
    <x v="17"/>
    <x v="0"/>
    <n v="2"/>
    <x v="29"/>
    <x v="1"/>
    <n v="1"/>
    <x v="0"/>
    <x v="0"/>
  </r>
  <r>
    <d v="2019-09-16T00:00:00"/>
    <x v="0"/>
    <n v="1761"/>
    <x v="17"/>
    <x v="0"/>
    <n v="2"/>
    <x v="19"/>
    <x v="1"/>
    <n v="5"/>
    <x v="0"/>
    <x v="0"/>
  </r>
  <r>
    <d v="2019-09-16T00:00:00"/>
    <x v="0"/>
    <n v="1734"/>
    <x v="19"/>
    <x v="1"/>
    <n v="1"/>
    <x v="27"/>
    <x v="0"/>
    <n v="2"/>
    <x v="0"/>
    <x v="0"/>
  </r>
  <r>
    <d v="2019-09-16T00:00:00"/>
    <x v="0"/>
    <n v="1734"/>
    <x v="19"/>
    <x v="1"/>
    <n v="1"/>
    <x v="33"/>
    <x v="0"/>
    <n v="15"/>
    <x v="0"/>
    <x v="0"/>
  </r>
  <r>
    <d v="2019-09-16T00:00:00"/>
    <x v="0"/>
    <n v="1734"/>
    <x v="19"/>
    <x v="1"/>
    <n v="1"/>
    <x v="31"/>
    <x v="0"/>
    <n v="1"/>
    <x v="0"/>
    <x v="0"/>
  </r>
  <r>
    <d v="2019-09-16T00:00:00"/>
    <x v="0"/>
    <n v="1734"/>
    <x v="19"/>
    <x v="1"/>
    <n v="1"/>
    <x v="20"/>
    <x v="0"/>
    <n v="1"/>
    <x v="0"/>
    <x v="0"/>
  </r>
  <r>
    <d v="2019-09-16T00:00:00"/>
    <x v="0"/>
    <n v="1734"/>
    <x v="19"/>
    <x v="1"/>
    <n v="1"/>
    <x v="15"/>
    <x v="0"/>
    <n v="15"/>
    <x v="0"/>
    <x v="0"/>
  </r>
  <r>
    <d v="2019-09-16T00:00:00"/>
    <x v="0"/>
    <n v="1734"/>
    <x v="19"/>
    <x v="1"/>
    <n v="1"/>
    <x v="24"/>
    <x v="0"/>
    <n v="3"/>
    <x v="0"/>
    <x v="0"/>
  </r>
  <r>
    <d v="2019-09-16T00:00:00"/>
    <x v="0"/>
    <n v="1734"/>
    <x v="19"/>
    <x v="1"/>
    <n v="1"/>
    <x v="25"/>
    <x v="0"/>
    <n v="5"/>
    <x v="0"/>
    <x v="0"/>
  </r>
  <r>
    <d v="2019-09-16T00:00:00"/>
    <x v="0"/>
    <n v="1734"/>
    <x v="19"/>
    <x v="1"/>
    <n v="1"/>
    <x v="34"/>
    <x v="0"/>
    <n v="5"/>
    <x v="0"/>
    <x v="0"/>
  </r>
  <r>
    <d v="2019-09-16T00:00:00"/>
    <x v="0"/>
    <n v="1734"/>
    <x v="19"/>
    <x v="1"/>
    <n v="1"/>
    <x v="21"/>
    <x v="0"/>
    <n v="4"/>
    <x v="0"/>
    <x v="0"/>
  </r>
  <r>
    <d v="2019-09-16T00:00:00"/>
    <x v="0"/>
    <n v="1734"/>
    <x v="19"/>
    <x v="1"/>
    <n v="1"/>
    <x v="19"/>
    <x v="0"/>
    <n v="7"/>
    <x v="0"/>
    <x v="0"/>
  </r>
  <r>
    <d v="2019-09-16T00:00:00"/>
    <x v="0"/>
    <n v="1734"/>
    <x v="19"/>
    <x v="1"/>
    <n v="2"/>
    <x v="20"/>
    <x v="0"/>
    <n v="25"/>
    <x v="0"/>
    <x v="0"/>
  </r>
  <r>
    <d v="2019-09-16T00:00:00"/>
    <x v="0"/>
    <n v="1734"/>
    <x v="19"/>
    <x v="1"/>
    <n v="2"/>
    <x v="2"/>
    <x v="0"/>
    <n v="8"/>
    <x v="0"/>
    <x v="0"/>
  </r>
  <r>
    <d v="2019-09-16T00:00:00"/>
    <x v="0"/>
    <n v="1734"/>
    <x v="19"/>
    <x v="1"/>
    <n v="2"/>
    <x v="21"/>
    <x v="0"/>
    <n v="21"/>
    <x v="0"/>
    <x v="0"/>
  </r>
  <r>
    <d v="2019-09-16T00:00:00"/>
    <x v="0"/>
    <n v="1734"/>
    <x v="19"/>
    <x v="1"/>
    <n v="2"/>
    <x v="16"/>
    <x v="0"/>
    <n v="5"/>
    <x v="0"/>
    <x v="0"/>
  </r>
  <r>
    <d v="2019-09-16T00:00:00"/>
    <x v="0"/>
    <n v="1734"/>
    <x v="19"/>
    <x v="0"/>
    <n v="1"/>
    <x v="20"/>
    <x v="0"/>
    <n v="23"/>
    <x v="0"/>
    <x v="0"/>
  </r>
  <r>
    <d v="2019-09-16T00:00:00"/>
    <x v="0"/>
    <n v="1734"/>
    <x v="19"/>
    <x v="0"/>
    <n v="1"/>
    <x v="16"/>
    <x v="0"/>
    <n v="36"/>
    <x v="0"/>
    <x v="0"/>
  </r>
  <r>
    <d v="2019-09-16T00:00:00"/>
    <x v="0"/>
    <n v="1734"/>
    <x v="19"/>
    <x v="0"/>
    <n v="2"/>
    <x v="27"/>
    <x v="0"/>
    <n v="4"/>
    <x v="0"/>
    <x v="0"/>
  </r>
  <r>
    <d v="2019-09-16T00:00:00"/>
    <x v="0"/>
    <n v="1734"/>
    <x v="19"/>
    <x v="0"/>
    <n v="2"/>
    <x v="15"/>
    <x v="0"/>
    <n v="17"/>
    <x v="0"/>
    <x v="0"/>
  </r>
  <r>
    <d v="2019-09-16T00:00:00"/>
    <x v="0"/>
    <n v="1734"/>
    <x v="19"/>
    <x v="0"/>
    <n v="2"/>
    <x v="24"/>
    <x v="0"/>
    <n v="7"/>
    <x v="0"/>
    <x v="0"/>
  </r>
  <r>
    <d v="2019-09-16T00:00:00"/>
    <x v="0"/>
    <n v="1734"/>
    <x v="19"/>
    <x v="0"/>
    <n v="2"/>
    <x v="29"/>
    <x v="0"/>
    <n v="3"/>
    <x v="0"/>
    <x v="0"/>
  </r>
  <r>
    <d v="2019-09-16T00:00:00"/>
    <x v="0"/>
    <n v="1734"/>
    <x v="19"/>
    <x v="0"/>
    <n v="2"/>
    <x v="25"/>
    <x v="0"/>
    <n v="6"/>
    <x v="0"/>
    <x v="0"/>
  </r>
  <r>
    <d v="2019-09-16T00:00:00"/>
    <x v="0"/>
    <n v="1734"/>
    <x v="19"/>
    <x v="0"/>
    <n v="2"/>
    <x v="34"/>
    <x v="0"/>
    <n v="10"/>
    <x v="0"/>
    <x v="0"/>
  </r>
  <r>
    <d v="2019-09-16T00:00:00"/>
    <x v="0"/>
    <n v="1734"/>
    <x v="19"/>
    <x v="0"/>
    <n v="2"/>
    <x v="21"/>
    <x v="0"/>
    <n v="14"/>
    <x v="0"/>
    <x v="0"/>
  </r>
  <r>
    <d v="2019-09-16T00:00:00"/>
    <x v="0"/>
    <n v="1734"/>
    <x v="19"/>
    <x v="0"/>
    <n v="2"/>
    <x v="19"/>
    <x v="0"/>
    <n v="2"/>
    <x v="0"/>
    <x v="0"/>
  </r>
  <r>
    <d v="2019-09-16T00:00:00"/>
    <x v="0"/>
    <n v="4504"/>
    <x v="18"/>
    <x v="1"/>
    <n v="2"/>
    <x v="12"/>
    <x v="1"/>
    <n v="26"/>
    <x v="0"/>
    <x v="0"/>
  </r>
  <r>
    <d v="2019-09-16T00:00:00"/>
    <x v="0"/>
    <n v="4504"/>
    <x v="18"/>
    <x v="1"/>
    <n v="2"/>
    <x v="15"/>
    <x v="1"/>
    <n v="2"/>
    <x v="0"/>
    <x v="0"/>
  </r>
  <r>
    <d v="2019-09-16T00:00:00"/>
    <x v="0"/>
    <n v="4504"/>
    <x v="18"/>
    <x v="1"/>
    <n v="2"/>
    <x v="23"/>
    <x v="1"/>
    <n v="4"/>
    <x v="0"/>
    <x v="0"/>
  </r>
  <r>
    <d v="2019-09-16T00:00:00"/>
    <x v="0"/>
    <n v="4504"/>
    <x v="18"/>
    <x v="1"/>
    <n v="2"/>
    <x v="16"/>
    <x v="1"/>
    <n v="4"/>
    <x v="0"/>
    <x v="0"/>
  </r>
  <r>
    <d v="2019-09-16T00:00:00"/>
    <x v="0"/>
    <n v="4504"/>
    <x v="18"/>
    <x v="1"/>
    <n v="2"/>
    <x v="19"/>
    <x v="1"/>
    <n v="1"/>
    <x v="0"/>
    <x v="0"/>
  </r>
  <r>
    <d v="2019-09-16T00:00:00"/>
    <x v="0"/>
    <n v="4504"/>
    <x v="18"/>
    <x v="0"/>
    <n v="2"/>
    <x v="27"/>
    <x v="1"/>
    <n v="1"/>
    <x v="0"/>
    <x v="0"/>
  </r>
  <r>
    <d v="2019-09-16T00:00:00"/>
    <x v="0"/>
    <n v="4504"/>
    <x v="18"/>
    <x v="0"/>
    <n v="2"/>
    <x v="33"/>
    <x v="1"/>
    <n v="2"/>
    <x v="0"/>
    <x v="0"/>
  </r>
  <r>
    <d v="2019-09-16T00:00:00"/>
    <x v="0"/>
    <n v="4504"/>
    <x v="18"/>
    <x v="0"/>
    <n v="2"/>
    <x v="28"/>
    <x v="1"/>
    <n v="8"/>
    <x v="0"/>
    <x v="0"/>
  </r>
  <r>
    <d v="2019-09-16T00:00:00"/>
    <x v="0"/>
    <n v="4504"/>
    <x v="18"/>
    <x v="0"/>
    <n v="2"/>
    <x v="15"/>
    <x v="1"/>
    <n v="3"/>
    <x v="0"/>
    <x v="0"/>
  </r>
  <r>
    <d v="2019-09-16T00:00:00"/>
    <x v="0"/>
    <n v="4504"/>
    <x v="18"/>
    <x v="0"/>
    <n v="2"/>
    <x v="24"/>
    <x v="1"/>
    <n v="1"/>
    <x v="0"/>
    <x v="0"/>
  </r>
  <r>
    <d v="2019-09-16T00:00:00"/>
    <x v="0"/>
    <n v="4504"/>
    <x v="18"/>
    <x v="0"/>
    <n v="2"/>
    <x v="2"/>
    <x v="1"/>
    <n v="1"/>
    <x v="0"/>
    <x v="0"/>
  </r>
  <r>
    <d v="2019-09-16T00:00:00"/>
    <x v="0"/>
    <n v="4504"/>
    <x v="18"/>
    <x v="0"/>
    <n v="2"/>
    <x v="16"/>
    <x v="1"/>
    <n v="5"/>
    <x v="0"/>
    <x v="0"/>
  </r>
  <r>
    <d v="2019-09-16T00:00:00"/>
    <x v="0"/>
    <n v="4504"/>
    <x v="18"/>
    <x v="0"/>
    <n v="2"/>
    <x v="19"/>
    <x v="1"/>
    <n v="1"/>
    <x v="0"/>
    <x v="0"/>
  </r>
  <r>
    <d v="2019-09-16T00:00:00"/>
    <x v="0"/>
    <n v="6553"/>
    <x v="20"/>
    <x v="1"/>
    <n v="1"/>
    <x v="4"/>
    <x v="0"/>
    <n v="6"/>
    <x v="0"/>
    <x v="0"/>
  </r>
  <r>
    <d v="2019-09-16T00:00:00"/>
    <x v="0"/>
    <n v="6553"/>
    <x v="20"/>
    <x v="1"/>
    <n v="1"/>
    <x v="0"/>
    <x v="0"/>
    <n v="3"/>
    <x v="0"/>
    <x v="0"/>
  </r>
  <r>
    <d v="2019-09-16T00:00:00"/>
    <x v="0"/>
    <n v="6553"/>
    <x v="20"/>
    <x v="1"/>
    <n v="1"/>
    <x v="27"/>
    <x v="0"/>
    <n v="3"/>
    <x v="0"/>
    <x v="0"/>
  </r>
  <r>
    <d v="2019-09-16T00:00:00"/>
    <x v="0"/>
    <n v="6553"/>
    <x v="20"/>
    <x v="1"/>
    <n v="1"/>
    <x v="11"/>
    <x v="0"/>
    <n v="23"/>
    <x v="0"/>
    <x v="0"/>
  </r>
  <r>
    <d v="2019-09-16T00:00:00"/>
    <x v="0"/>
    <n v="6553"/>
    <x v="20"/>
    <x v="1"/>
    <n v="1"/>
    <x v="24"/>
    <x v="0"/>
    <n v="2"/>
    <x v="0"/>
    <x v="0"/>
  </r>
  <r>
    <d v="2019-09-16T00:00:00"/>
    <x v="0"/>
    <n v="6553"/>
    <x v="20"/>
    <x v="1"/>
    <n v="1"/>
    <x v="13"/>
    <x v="0"/>
    <n v="10"/>
    <x v="0"/>
    <x v="0"/>
  </r>
  <r>
    <d v="2019-09-16T00:00:00"/>
    <x v="0"/>
    <n v="6553"/>
    <x v="20"/>
    <x v="1"/>
    <n v="1"/>
    <x v="3"/>
    <x v="0"/>
    <n v="2"/>
    <x v="0"/>
    <x v="0"/>
  </r>
  <r>
    <d v="2019-09-16T00:00:00"/>
    <x v="0"/>
    <n v="6553"/>
    <x v="20"/>
    <x v="0"/>
    <n v="1"/>
    <x v="20"/>
    <x v="0"/>
    <n v="7"/>
    <x v="0"/>
    <x v="0"/>
  </r>
  <r>
    <d v="2019-09-16T00:00:00"/>
    <x v="0"/>
    <n v="6553"/>
    <x v="20"/>
    <x v="0"/>
    <n v="1"/>
    <x v="22"/>
    <x v="0"/>
    <n v="14"/>
    <x v="0"/>
    <x v="0"/>
  </r>
  <r>
    <d v="2019-09-16T00:00:00"/>
    <x v="0"/>
    <n v="6553"/>
    <x v="20"/>
    <x v="0"/>
    <n v="1"/>
    <x v="3"/>
    <x v="0"/>
    <n v="1"/>
    <x v="0"/>
    <x v="0"/>
  </r>
  <r>
    <d v="2019-09-16T00:00:00"/>
    <x v="0"/>
    <n v="6553"/>
    <x v="20"/>
    <x v="0"/>
    <n v="1"/>
    <x v="16"/>
    <x v="0"/>
    <n v="3"/>
    <x v="0"/>
    <x v="0"/>
  </r>
  <r>
    <d v="2019-09-16T00:00:00"/>
    <x v="0"/>
    <n v="6553"/>
    <x v="20"/>
    <x v="0"/>
    <n v="1"/>
    <x v="19"/>
    <x v="0"/>
    <n v="30"/>
    <x v="0"/>
    <x v="0"/>
  </r>
  <r>
    <d v="2019-09-16T00:00:00"/>
    <x v="0"/>
    <n v="8311"/>
    <x v="21"/>
    <x v="1"/>
    <n v="1"/>
    <x v="4"/>
    <x v="0"/>
    <n v="17"/>
    <x v="0"/>
    <x v="0"/>
  </r>
  <r>
    <d v="2019-09-16T00:00:00"/>
    <x v="0"/>
    <n v="8311"/>
    <x v="21"/>
    <x v="1"/>
    <n v="1"/>
    <x v="27"/>
    <x v="0"/>
    <n v="4"/>
    <x v="0"/>
    <x v="0"/>
  </r>
  <r>
    <d v="2019-09-16T00:00:00"/>
    <x v="0"/>
    <n v="8311"/>
    <x v="21"/>
    <x v="1"/>
    <n v="1"/>
    <x v="33"/>
    <x v="0"/>
    <n v="3"/>
    <x v="0"/>
    <x v="0"/>
  </r>
  <r>
    <d v="2019-09-16T00:00:00"/>
    <x v="0"/>
    <n v="8311"/>
    <x v="21"/>
    <x v="1"/>
    <n v="1"/>
    <x v="5"/>
    <x v="0"/>
    <n v="9"/>
    <x v="0"/>
    <x v="0"/>
  </r>
  <r>
    <d v="2019-09-16T00:00:00"/>
    <x v="0"/>
    <n v="8311"/>
    <x v="21"/>
    <x v="1"/>
    <n v="1"/>
    <x v="2"/>
    <x v="0"/>
    <n v="3"/>
    <x v="0"/>
    <x v="0"/>
  </r>
  <r>
    <d v="2019-09-16T00:00:00"/>
    <x v="0"/>
    <n v="8311"/>
    <x v="21"/>
    <x v="1"/>
    <n v="1"/>
    <x v="21"/>
    <x v="0"/>
    <n v="3"/>
    <x v="0"/>
    <x v="0"/>
  </r>
  <r>
    <d v="2019-09-16T00:00:00"/>
    <x v="0"/>
    <n v="8311"/>
    <x v="21"/>
    <x v="1"/>
    <n v="1"/>
    <x v="13"/>
    <x v="0"/>
    <n v="2"/>
    <x v="0"/>
    <x v="0"/>
  </r>
  <r>
    <d v="2019-09-16T00:00:00"/>
    <x v="0"/>
    <n v="8311"/>
    <x v="21"/>
    <x v="1"/>
    <n v="2"/>
    <x v="33"/>
    <x v="0"/>
    <n v="3"/>
    <x v="0"/>
    <x v="0"/>
  </r>
  <r>
    <d v="2019-09-16T00:00:00"/>
    <x v="0"/>
    <n v="8311"/>
    <x v="21"/>
    <x v="1"/>
    <n v="2"/>
    <x v="5"/>
    <x v="0"/>
    <n v="1"/>
    <x v="0"/>
    <x v="0"/>
  </r>
  <r>
    <d v="2019-09-16T00:00:00"/>
    <x v="0"/>
    <n v="8311"/>
    <x v="21"/>
    <x v="1"/>
    <n v="2"/>
    <x v="21"/>
    <x v="0"/>
    <n v="2"/>
    <x v="0"/>
    <x v="0"/>
  </r>
  <r>
    <d v="2019-09-16T00:00:00"/>
    <x v="0"/>
    <n v="8311"/>
    <x v="21"/>
    <x v="0"/>
    <n v="1"/>
    <x v="21"/>
    <x v="0"/>
    <n v="42"/>
    <x v="0"/>
    <x v="0"/>
  </r>
  <r>
    <d v="2019-09-16T00:00:00"/>
    <x v="0"/>
    <n v="8311"/>
    <x v="21"/>
    <x v="0"/>
    <n v="1"/>
    <x v="19"/>
    <x v="0"/>
    <n v="42"/>
    <x v="0"/>
    <x v="0"/>
  </r>
  <r>
    <d v="2019-09-16T00:00:00"/>
    <x v="0"/>
    <n v="8311"/>
    <x v="21"/>
    <x v="0"/>
    <n v="1"/>
    <x v="17"/>
    <x v="0"/>
    <n v="2"/>
    <x v="0"/>
    <x v="0"/>
  </r>
  <r>
    <d v="2019-09-16T00:00:00"/>
    <x v="0"/>
    <n v="8311"/>
    <x v="21"/>
    <x v="0"/>
    <n v="2"/>
    <x v="21"/>
    <x v="0"/>
    <n v="1"/>
    <x v="0"/>
    <x v="0"/>
  </r>
  <r>
    <d v="2019-09-16T00:00:00"/>
    <x v="0"/>
    <n v="8311"/>
    <x v="21"/>
    <x v="0"/>
    <n v="2"/>
    <x v="17"/>
    <x v="0"/>
    <n v="2"/>
    <x v="0"/>
    <x v="0"/>
  </r>
  <r>
    <d v="2019-09-16T00:00:00"/>
    <x v="0"/>
    <n v="8311"/>
    <x v="21"/>
    <x v="1"/>
    <n v="1"/>
    <x v="20"/>
    <x v="1"/>
    <n v="4"/>
    <x v="0"/>
    <x v="0"/>
  </r>
  <r>
    <d v="2019-09-16T00:00:00"/>
    <x v="0"/>
    <n v="8311"/>
    <x v="21"/>
    <x v="1"/>
    <n v="1"/>
    <x v="5"/>
    <x v="1"/>
    <n v="2"/>
    <x v="0"/>
    <x v="0"/>
  </r>
  <r>
    <d v="2019-09-16T00:00:00"/>
    <x v="0"/>
    <n v="8311"/>
    <x v="21"/>
    <x v="1"/>
    <n v="1"/>
    <x v="21"/>
    <x v="1"/>
    <n v="28"/>
    <x v="0"/>
    <x v="0"/>
  </r>
  <r>
    <d v="2019-09-16T00:00:00"/>
    <x v="0"/>
    <n v="8311"/>
    <x v="21"/>
    <x v="1"/>
    <n v="1"/>
    <x v="19"/>
    <x v="1"/>
    <n v="14"/>
    <x v="0"/>
    <x v="0"/>
  </r>
  <r>
    <d v="2019-09-16T00:00:00"/>
    <x v="0"/>
    <n v="8311"/>
    <x v="21"/>
    <x v="1"/>
    <n v="2"/>
    <x v="21"/>
    <x v="1"/>
    <n v="1"/>
    <x v="0"/>
    <x v="0"/>
  </r>
  <r>
    <d v="2019-09-16T00:00:00"/>
    <x v="0"/>
    <n v="8311"/>
    <x v="21"/>
    <x v="0"/>
    <n v="1"/>
    <x v="11"/>
    <x v="1"/>
    <n v="37"/>
    <x v="0"/>
    <x v="0"/>
  </r>
  <r>
    <d v="2019-09-16T00:00:00"/>
    <x v="0"/>
    <n v="8311"/>
    <x v="21"/>
    <x v="0"/>
    <n v="1"/>
    <x v="28"/>
    <x v="1"/>
    <n v="2"/>
    <x v="0"/>
    <x v="0"/>
  </r>
  <r>
    <d v="2019-09-16T00:00:00"/>
    <x v="0"/>
    <n v="8311"/>
    <x v="21"/>
    <x v="0"/>
    <n v="1"/>
    <x v="25"/>
    <x v="1"/>
    <n v="6"/>
    <x v="0"/>
    <x v="0"/>
  </r>
  <r>
    <d v="2019-09-16T00:00:00"/>
    <x v="0"/>
    <n v="8311"/>
    <x v="21"/>
    <x v="0"/>
    <n v="1"/>
    <x v="34"/>
    <x v="1"/>
    <n v="1"/>
    <x v="0"/>
    <x v="0"/>
  </r>
  <r>
    <d v="2019-09-16T00:00:00"/>
    <x v="0"/>
    <n v="8311"/>
    <x v="21"/>
    <x v="0"/>
    <n v="1"/>
    <x v="23"/>
    <x v="1"/>
    <n v="10"/>
    <x v="0"/>
    <x v="0"/>
  </r>
  <r>
    <d v="2019-09-16T00:00:00"/>
    <x v="0"/>
    <n v="8311"/>
    <x v="21"/>
    <x v="0"/>
    <n v="1"/>
    <x v="21"/>
    <x v="1"/>
    <n v="12"/>
    <x v="0"/>
    <x v="0"/>
  </r>
  <r>
    <d v="2019-09-16T00:00:00"/>
    <x v="0"/>
    <n v="8311"/>
    <x v="21"/>
    <x v="0"/>
    <n v="1"/>
    <x v="16"/>
    <x v="1"/>
    <n v="14"/>
    <x v="0"/>
    <x v="0"/>
  </r>
  <r>
    <d v="2019-09-16T00:00:00"/>
    <x v="0"/>
    <n v="8311"/>
    <x v="21"/>
    <x v="0"/>
    <n v="1"/>
    <x v="19"/>
    <x v="1"/>
    <n v="5"/>
    <x v="0"/>
    <x v="0"/>
  </r>
  <r>
    <d v="2019-09-16T00:00:00"/>
    <x v="0"/>
    <n v="8311"/>
    <x v="21"/>
    <x v="0"/>
    <n v="2"/>
    <x v="23"/>
    <x v="1"/>
    <n v="2"/>
    <x v="0"/>
    <x v="0"/>
  </r>
  <r>
    <d v="2019-09-16T00:00:00"/>
    <x v="0"/>
    <n v="9305"/>
    <x v="22"/>
    <x v="1"/>
    <n v="1"/>
    <x v="27"/>
    <x v="0"/>
    <n v="4"/>
    <x v="0"/>
    <x v="0"/>
  </r>
  <r>
    <d v="2019-09-16T00:00:00"/>
    <x v="0"/>
    <n v="9305"/>
    <x v="22"/>
    <x v="1"/>
    <n v="1"/>
    <x v="31"/>
    <x v="0"/>
    <n v="7"/>
    <x v="0"/>
    <x v="0"/>
  </r>
  <r>
    <d v="2019-09-16T00:00:00"/>
    <x v="0"/>
    <n v="9305"/>
    <x v="22"/>
    <x v="1"/>
    <n v="1"/>
    <x v="28"/>
    <x v="0"/>
    <n v="7"/>
    <x v="0"/>
    <x v="0"/>
  </r>
  <r>
    <d v="2019-09-16T00:00:00"/>
    <x v="0"/>
    <n v="9305"/>
    <x v="22"/>
    <x v="1"/>
    <n v="1"/>
    <x v="15"/>
    <x v="0"/>
    <n v="17"/>
    <x v="0"/>
    <x v="0"/>
  </r>
  <r>
    <d v="2019-09-16T00:00:00"/>
    <x v="0"/>
    <n v="9305"/>
    <x v="22"/>
    <x v="1"/>
    <n v="1"/>
    <x v="24"/>
    <x v="0"/>
    <n v="8"/>
    <x v="0"/>
    <x v="0"/>
  </r>
  <r>
    <d v="2019-09-16T00:00:00"/>
    <x v="0"/>
    <n v="9305"/>
    <x v="22"/>
    <x v="1"/>
    <n v="1"/>
    <x v="25"/>
    <x v="0"/>
    <n v="2"/>
    <x v="0"/>
    <x v="0"/>
  </r>
  <r>
    <d v="2019-09-16T00:00:00"/>
    <x v="0"/>
    <n v="9305"/>
    <x v="22"/>
    <x v="1"/>
    <n v="1"/>
    <x v="34"/>
    <x v="0"/>
    <n v="1"/>
    <x v="0"/>
    <x v="0"/>
  </r>
  <r>
    <d v="2019-09-16T00:00:00"/>
    <x v="0"/>
    <n v="9305"/>
    <x v="22"/>
    <x v="1"/>
    <n v="1"/>
    <x v="23"/>
    <x v="0"/>
    <n v="2"/>
    <x v="0"/>
    <x v="0"/>
  </r>
  <r>
    <d v="2019-09-16T00:00:00"/>
    <x v="0"/>
    <n v="9305"/>
    <x v="22"/>
    <x v="1"/>
    <n v="1"/>
    <x v="21"/>
    <x v="0"/>
    <n v="10"/>
    <x v="0"/>
    <x v="0"/>
  </r>
  <r>
    <d v="2019-09-16T00:00:00"/>
    <x v="0"/>
    <n v="9305"/>
    <x v="22"/>
    <x v="1"/>
    <n v="1"/>
    <x v="16"/>
    <x v="0"/>
    <n v="6"/>
    <x v="0"/>
    <x v="0"/>
  </r>
  <r>
    <d v="2019-09-16T00:00:00"/>
    <x v="0"/>
    <n v="9305"/>
    <x v="22"/>
    <x v="1"/>
    <n v="1"/>
    <x v="30"/>
    <x v="0"/>
    <n v="4"/>
    <x v="0"/>
    <x v="0"/>
  </r>
  <r>
    <d v="2019-09-16T00:00:00"/>
    <x v="0"/>
    <n v="9305"/>
    <x v="22"/>
    <x v="0"/>
    <n v="1"/>
    <x v="20"/>
    <x v="0"/>
    <n v="51"/>
    <x v="0"/>
    <x v="0"/>
  </r>
  <r>
    <d v="2019-09-16T00:00:00"/>
    <x v="0"/>
    <n v="9305"/>
    <x v="22"/>
    <x v="0"/>
    <n v="1"/>
    <x v="5"/>
    <x v="0"/>
    <n v="8"/>
    <x v="0"/>
    <x v="0"/>
  </r>
  <r>
    <d v="2019-09-16T00:00:00"/>
    <x v="0"/>
    <n v="9305"/>
    <x v="22"/>
    <x v="0"/>
    <n v="1"/>
    <x v="24"/>
    <x v="0"/>
    <n v="7"/>
    <x v="0"/>
    <x v="0"/>
  </r>
  <r>
    <d v="2019-09-16T00:00:00"/>
    <x v="0"/>
    <n v="9305"/>
    <x v="22"/>
    <x v="0"/>
    <n v="2"/>
    <x v="17"/>
    <x v="0"/>
    <n v="3"/>
    <x v="0"/>
    <x v="0"/>
  </r>
  <r>
    <d v="2019-09-16T00:00:00"/>
    <x v="0"/>
    <n v="9305"/>
    <x v="22"/>
    <x v="1"/>
    <n v="1"/>
    <x v="20"/>
    <x v="1"/>
    <n v="10"/>
    <x v="0"/>
    <x v="0"/>
  </r>
  <r>
    <d v="2019-09-16T00:00:00"/>
    <x v="0"/>
    <n v="9305"/>
    <x v="22"/>
    <x v="1"/>
    <n v="1"/>
    <x v="15"/>
    <x v="1"/>
    <n v="1"/>
    <x v="0"/>
    <x v="0"/>
  </r>
  <r>
    <d v="2019-09-16T00:00:00"/>
    <x v="0"/>
    <n v="9305"/>
    <x v="22"/>
    <x v="1"/>
    <n v="1"/>
    <x v="23"/>
    <x v="1"/>
    <n v="7"/>
    <x v="0"/>
    <x v="0"/>
  </r>
  <r>
    <d v="2019-09-16T00:00:00"/>
    <x v="0"/>
    <n v="9305"/>
    <x v="22"/>
    <x v="1"/>
    <n v="1"/>
    <x v="3"/>
    <x v="1"/>
    <n v="12"/>
    <x v="0"/>
    <x v="0"/>
  </r>
  <r>
    <d v="2019-09-16T00:00:00"/>
    <x v="0"/>
    <n v="9305"/>
    <x v="22"/>
    <x v="1"/>
    <n v="1"/>
    <x v="16"/>
    <x v="1"/>
    <n v="3"/>
    <x v="0"/>
    <x v="0"/>
  </r>
  <r>
    <d v="2019-09-16T00:00:00"/>
    <x v="0"/>
    <n v="9305"/>
    <x v="22"/>
    <x v="1"/>
    <n v="1"/>
    <x v="19"/>
    <x v="1"/>
    <n v="29"/>
    <x v="0"/>
    <x v="0"/>
  </r>
  <r>
    <d v="2019-09-16T00:00:00"/>
    <x v="0"/>
    <n v="9305"/>
    <x v="22"/>
    <x v="1"/>
    <n v="1"/>
    <x v="17"/>
    <x v="1"/>
    <n v="5"/>
    <x v="0"/>
    <x v="0"/>
  </r>
  <r>
    <d v="2019-09-16T00:00:00"/>
    <x v="0"/>
    <n v="9305"/>
    <x v="22"/>
    <x v="1"/>
    <n v="2"/>
    <x v="5"/>
    <x v="1"/>
    <n v="1"/>
    <x v="0"/>
    <x v="0"/>
  </r>
  <r>
    <d v="2019-09-16T00:00:00"/>
    <x v="0"/>
    <n v="9305"/>
    <x v="22"/>
    <x v="0"/>
    <n v="1"/>
    <x v="4"/>
    <x v="1"/>
    <n v="7"/>
    <x v="0"/>
    <x v="0"/>
  </r>
  <r>
    <d v="2019-09-16T00:00:00"/>
    <x v="0"/>
    <n v="9305"/>
    <x v="22"/>
    <x v="0"/>
    <n v="1"/>
    <x v="27"/>
    <x v="1"/>
    <n v="8"/>
    <x v="0"/>
    <x v="0"/>
  </r>
  <r>
    <d v="2019-09-16T00:00:00"/>
    <x v="0"/>
    <n v="9305"/>
    <x v="22"/>
    <x v="0"/>
    <n v="1"/>
    <x v="31"/>
    <x v="1"/>
    <n v="2"/>
    <x v="0"/>
    <x v="0"/>
  </r>
  <r>
    <d v="2019-09-16T00:00:00"/>
    <x v="0"/>
    <n v="9305"/>
    <x v="22"/>
    <x v="0"/>
    <n v="1"/>
    <x v="32"/>
    <x v="1"/>
    <n v="7"/>
    <x v="0"/>
    <x v="0"/>
  </r>
  <r>
    <d v="2019-09-16T00:00:00"/>
    <x v="0"/>
    <n v="9305"/>
    <x v="22"/>
    <x v="0"/>
    <n v="1"/>
    <x v="15"/>
    <x v="1"/>
    <n v="3"/>
    <x v="0"/>
    <x v="0"/>
  </r>
  <r>
    <d v="2019-09-16T00:00:00"/>
    <x v="0"/>
    <n v="9305"/>
    <x v="22"/>
    <x v="0"/>
    <n v="1"/>
    <x v="5"/>
    <x v="1"/>
    <n v="8"/>
    <x v="0"/>
    <x v="0"/>
  </r>
  <r>
    <d v="2019-09-16T00:00:00"/>
    <x v="0"/>
    <n v="9305"/>
    <x v="22"/>
    <x v="0"/>
    <n v="1"/>
    <x v="29"/>
    <x v="1"/>
    <n v="1"/>
    <x v="0"/>
    <x v="0"/>
  </r>
  <r>
    <d v="2019-09-16T00:00:00"/>
    <x v="0"/>
    <n v="9305"/>
    <x v="22"/>
    <x v="0"/>
    <n v="1"/>
    <x v="2"/>
    <x v="1"/>
    <n v="2"/>
    <x v="0"/>
    <x v="0"/>
  </r>
  <r>
    <d v="2019-09-16T00:00:00"/>
    <x v="0"/>
    <n v="9305"/>
    <x v="22"/>
    <x v="0"/>
    <n v="1"/>
    <x v="25"/>
    <x v="1"/>
    <n v="2"/>
    <x v="0"/>
    <x v="0"/>
  </r>
  <r>
    <d v="2019-09-16T00:00:00"/>
    <x v="0"/>
    <n v="9305"/>
    <x v="22"/>
    <x v="0"/>
    <n v="1"/>
    <x v="23"/>
    <x v="1"/>
    <n v="1"/>
    <x v="0"/>
    <x v="0"/>
  </r>
  <r>
    <d v="2019-09-16T00:00:00"/>
    <x v="0"/>
    <n v="9305"/>
    <x v="22"/>
    <x v="0"/>
    <n v="1"/>
    <x v="21"/>
    <x v="1"/>
    <n v="11"/>
    <x v="0"/>
    <x v="0"/>
  </r>
  <r>
    <d v="2019-09-16T00:00:00"/>
    <x v="0"/>
    <n v="9305"/>
    <x v="22"/>
    <x v="0"/>
    <n v="1"/>
    <x v="16"/>
    <x v="1"/>
    <n v="14"/>
    <x v="0"/>
    <x v="0"/>
  </r>
  <r>
    <d v="2019-09-16T00:00:00"/>
    <x v="0"/>
    <n v="9305"/>
    <x v="22"/>
    <x v="0"/>
    <n v="2"/>
    <x v="21"/>
    <x v="1"/>
    <n v="1"/>
    <x v="0"/>
    <x v="0"/>
  </r>
  <r>
    <d v="2019-09-16T00:00:00"/>
    <x v="0"/>
    <n v="9305"/>
    <x v="22"/>
    <x v="0"/>
    <n v="2"/>
    <x v="19"/>
    <x v="1"/>
    <n v="2"/>
    <x v="0"/>
    <x v="0"/>
  </r>
  <r>
    <d v="2019-09-16T00:00:00"/>
    <x v="0"/>
    <n v="9307"/>
    <x v="2"/>
    <x v="0"/>
    <n v="2"/>
    <x v="17"/>
    <x v="0"/>
    <n v="24"/>
    <x v="0"/>
    <x v="0"/>
  </r>
  <r>
    <d v="2019-09-16T00:00:00"/>
    <x v="0"/>
    <n v="9314"/>
    <x v="23"/>
    <x v="1"/>
    <n v="1"/>
    <x v="31"/>
    <x v="0"/>
    <n v="7"/>
    <x v="0"/>
    <x v="0"/>
  </r>
  <r>
    <d v="2019-09-16T00:00:00"/>
    <x v="0"/>
    <n v="9314"/>
    <x v="23"/>
    <x v="1"/>
    <n v="1"/>
    <x v="32"/>
    <x v="0"/>
    <n v="1"/>
    <x v="0"/>
    <x v="0"/>
  </r>
  <r>
    <d v="2019-09-16T00:00:00"/>
    <x v="0"/>
    <n v="9314"/>
    <x v="23"/>
    <x v="1"/>
    <n v="1"/>
    <x v="28"/>
    <x v="0"/>
    <n v="1"/>
    <x v="0"/>
    <x v="0"/>
  </r>
  <r>
    <d v="2019-09-16T00:00:00"/>
    <x v="0"/>
    <n v="9314"/>
    <x v="23"/>
    <x v="1"/>
    <n v="1"/>
    <x v="15"/>
    <x v="0"/>
    <n v="15"/>
    <x v="0"/>
    <x v="0"/>
  </r>
  <r>
    <d v="2019-09-16T00:00:00"/>
    <x v="0"/>
    <n v="9314"/>
    <x v="23"/>
    <x v="1"/>
    <n v="1"/>
    <x v="24"/>
    <x v="0"/>
    <n v="5"/>
    <x v="0"/>
    <x v="0"/>
  </r>
  <r>
    <d v="2019-09-16T00:00:00"/>
    <x v="0"/>
    <n v="9314"/>
    <x v="23"/>
    <x v="1"/>
    <n v="1"/>
    <x v="23"/>
    <x v="0"/>
    <n v="9"/>
    <x v="0"/>
    <x v="0"/>
  </r>
  <r>
    <d v="2019-09-16T00:00:00"/>
    <x v="0"/>
    <n v="9314"/>
    <x v="23"/>
    <x v="1"/>
    <n v="1"/>
    <x v="16"/>
    <x v="0"/>
    <n v="1"/>
    <x v="0"/>
    <x v="0"/>
  </r>
  <r>
    <d v="2019-09-16T00:00:00"/>
    <x v="0"/>
    <n v="9314"/>
    <x v="23"/>
    <x v="1"/>
    <n v="1"/>
    <x v="19"/>
    <x v="0"/>
    <n v="8"/>
    <x v="0"/>
    <x v="0"/>
  </r>
  <r>
    <d v="2019-09-16T00:00:00"/>
    <x v="0"/>
    <n v="9314"/>
    <x v="23"/>
    <x v="1"/>
    <n v="1"/>
    <x v="30"/>
    <x v="0"/>
    <n v="2"/>
    <x v="0"/>
    <x v="0"/>
  </r>
  <r>
    <d v="2019-09-16T00:00:00"/>
    <x v="0"/>
    <n v="9314"/>
    <x v="23"/>
    <x v="1"/>
    <n v="1"/>
    <x v="35"/>
    <x v="0"/>
    <n v="2"/>
    <x v="0"/>
    <x v="0"/>
  </r>
  <r>
    <d v="2019-09-16T00:00:00"/>
    <x v="0"/>
    <n v="9314"/>
    <x v="23"/>
    <x v="0"/>
    <n v="1"/>
    <x v="15"/>
    <x v="0"/>
    <n v="17"/>
    <x v="0"/>
    <x v="0"/>
  </r>
  <r>
    <d v="2019-09-16T00:00:00"/>
    <x v="0"/>
    <n v="9314"/>
    <x v="23"/>
    <x v="0"/>
    <n v="1"/>
    <x v="3"/>
    <x v="0"/>
    <n v="8"/>
    <x v="0"/>
    <x v="0"/>
  </r>
  <r>
    <d v="2019-09-16T00:00:00"/>
    <x v="0"/>
    <n v="9314"/>
    <x v="23"/>
    <x v="0"/>
    <n v="1"/>
    <x v="19"/>
    <x v="0"/>
    <n v="2"/>
    <x v="0"/>
    <x v="0"/>
  </r>
  <r>
    <d v="2019-09-16T00:00:00"/>
    <x v="0"/>
    <n v="9314"/>
    <x v="23"/>
    <x v="0"/>
    <n v="1"/>
    <x v="17"/>
    <x v="0"/>
    <n v="10"/>
    <x v="0"/>
    <x v="0"/>
  </r>
  <r>
    <d v="2019-09-16T00:00:00"/>
    <x v="0"/>
    <n v="9314"/>
    <x v="23"/>
    <x v="0"/>
    <n v="2"/>
    <x v="20"/>
    <x v="0"/>
    <n v="3"/>
    <x v="0"/>
    <x v="0"/>
  </r>
  <r>
    <d v="2019-09-16T00:00:00"/>
    <x v="0"/>
    <n v="9314"/>
    <x v="23"/>
    <x v="0"/>
    <n v="2"/>
    <x v="3"/>
    <x v="0"/>
    <n v="10"/>
    <x v="0"/>
    <x v="0"/>
  </r>
  <r>
    <d v="2019-09-16T00:00:00"/>
    <x v="0"/>
    <n v="9320"/>
    <x v="24"/>
    <x v="1"/>
    <n v="1"/>
    <x v="27"/>
    <x v="0"/>
    <n v="2"/>
    <x v="0"/>
    <x v="0"/>
  </r>
  <r>
    <d v="2019-09-16T00:00:00"/>
    <x v="0"/>
    <n v="9320"/>
    <x v="24"/>
    <x v="1"/>
    <n v="1"/>
    <x v="15"/>
    <x v="0"/>
    <n v="12"/>
    <x v="0"/>
    <x v="0"/>
  </r>
  <r>
    <d v="2019-09-16T00:00:00"/>
    <x v="0"/>
    <n v="9320"/>
    <x v="24"/>
    <x v="1"/>
    <n v="1"/>
    <x v="24"/>
    <x v="0"/>
    <n v="2"/>
    <x v="0"/>
    <x v="0"/>
  </r>
  <r>
    <d v="2019-09-16T00:00:00"/>
    <x v="0"/>
    <n v="9320"/>
    <x v="24"/>
    <x v="1"/>
    <n v="1"/>
    <x v="25"/>
    <x v="0"/>
    <n v="1"/>
    <x v="0"/>
    <x v="0"/>
  </r>
  <r>
    <d v="2019-09-16T00:00:00"/>
    <x v="0"/>
    <n v="9320"/>
    <x v="24"/>
    <x v="1"/>
    <n v="1"/>
    <x v="23"/>
    <x v="0"/>
    <n v="1"/>
    <x v="0"/>
    <x v="0"/>
  </r>
  <r>
    <d v="2019-09-16T00:00:00"/>
    <x v="0"/>
    <n v="9320"/>
    <x v="24"/>
    <x v="1"/>
    <n v="1"/>
    <x v="21"/>
    <x v="0"/>
    <n v="3"/>
    <x v="0"/>
    <x v="0"/>
  </r>
  <r>
    <d v="2019-09-16T00:00:00"/>
    <x v="0"/>
    <n v="9320"/>
    <x v="24"/>
    <x v="1"/>
    <n v="1"/>
    <x v="19"/>
    <x v="0"/>
    <n v="1"/>
    <x v="0"/>
    <x v="0"/>
  </r>
  <r>
    <d v="2019-09-16T00:00:00"/>
    <x v="0"/>
    <n v="9320"/>
    <x v="24"/>
    <x v="0"/>
    <n v="1"/>
    <x v="20"/>
    <x v="0"/>
    <n v="53"/>
    <x v="0"/>
    <x v="0"/>
  </r>
  <r>
    <d v="2019-09-16T00:00:00"/>
    <x v="0"/>
    <n v="9320"/>
    <x v="24"/>
    <x v="0"/>
    <n v="2"/>
    <x v="0"/>
    <x v="0"/>
    <n v="12"/>
    <x v="0"/>
    <x v="0"/>
  </r>
  <r>
    <d v="2019-09-16T00:00:00"/>
    <x v="0"/>
    <n v="9320"/>
    <x v="24"/>
    <x v="1"/>
    <n v="1"/>
    <x v="21"/>
    <x v="1"/>
    <n v="6"/>
    <x v="0"/>
    <x v="0"/>
  </r>
  <r>
    <d v="2019-09-16T00:00:00"/>
    <x v="0"/>
    <n v="9320"/>
    <x v="24"/>
    <x v="1"/>
    <n v="1"/>
    <x v="13"/>
    <x v="1"/>
    <n v="1"/>
    <x v="0"/>
    <x v="0"/>
  </r>
  <r>
    <d v="2019-09-16T00:00:00"/>
    <x v="0"/>
    <n v="9320"/>
    <x v="24"/>
    <x v="1"/>
    <n v="1"/>
    <x v="14"/>
    <x v="1"/>
    <n v="15"/>
    <x v="0"/>
    <x v="0"/>
  </r>
  <r>
    <d v="2019-09-16T00:00:00"/>
    <x v="0"/>
    <n v="9320"/>
    <x v="24"/>
    <x v="0"/>
    <n v="1"/>
    <x v="27"/>
    <x v="1"/>
    <n v="2"/>
    <x v="0"/>
    <x v="0"/>
  </r>
  <r>
    <d v="2019-09-16T00:00:00"/>
    <x v="0"/>
    <n v="9320"/>
    <x v="24"/>
    <x v="0"/>
    <n v="1"/>
    <x v="33"/>
    <x v="1"/>
    <n v="7"/>
    <x v="0"/>
    <x v="0"/>
  </r>
  <r>
    <d v="2019-09-16T00:00:00"/>
    <x v="0"/>
    <n v="9320"/>
    <x v="24"/>
    <x v="0"/>
    <n v="1"/>
    <x v="15"/>
    <x v="1"/>
    <n v="16"/>
    <x v="0"/>
    <x v="0"/>
  </r>
  <r>
    <d v="2019-09-16T00:00:00"/>
    <x v="0"/>
    <n v="9320"/>
    <x v="24"/>
    <x v="0"/>
    <n v="1"/>
    <x v="34"/>
    <x v="1"/>
    <n v="12"/>
    <x v="0"/>
    <x v="0"/>
  </r>
  <r>
    <d v="2019-09-16T00:00:00"/>
    <x v="0"/>
    <n v="9320"/>
    <x v="24"/>
    <x v="0"/>
    <n v="1"/>
    <x v="21"/>
    <x v="1"/>
    <n v="8"/>
    <x v="0"/>
    <x v="0"/>
  </r>
  <r>
    <d v="2019-09-16T00:00:00"/>
    <x v="0"/>
    <n v="9320"/>
    <x v="24"/>
    <x v="0"/>
    <n v="1"/>
    <x v="19"/>
    <x v="1"/>
    <n v="8"/>
    <x v="0"/>
    <x v="0"/>
  </r>
  <r>
    <d v="2019-09-16T00:00:00"/>
    <x v="0"/>
    <n v="9320"/>
    <x v="24"/>
    <x v="0"/>
    <n v="2"/>
    <x v="33"/>
    <x v="1"/>
    <n v="1"/>
    <x v="0"/>
    <x v="0"/>
  </r>
  <r>
    <d v="2019-09-16T00:00:00"/>
    <x v="0"/>
    <n v="9320"/>
    <x v="24"/>
    <x v="0"/>
    <n v="2"/>
    <x v="28"/>
    <x v="1"/>
    <n v="3"/>
    <x v="0"/>
    <x v="0"/>
  </r>
  <r>
    <d v="2019-09-16T00:00:00"/>
    <x v="0"/>
    <n v="9320"/>
    <x v="24"/>
    <x v="0"/>
    <n v="2"/>
    <x v="23"/>
    <x v="1"/>
    <n v="6"/>
    <x v="0"/>
    <x v="0"/>
  </r>
  <r>
    <d v="2019-09-16T00:00:00"/>
    <x v="0"/>
    <n v="9320"/>
    <x v="24"/>
    <x v="0"/>
    <n v="2"/>
    <x v="21"/>
    <x v="1"/>
    <n v="2"/>
    <x v="0"/>
    <x v="0"/>
  </r>
  <r>
    <d v="2019-10-02T00:00:00"/>
    <x v="1"/>
    <n v="1051"/>
    <x v="0"/>
    <x v="1"/>
    <n v="1"/>
    <x v="4"/>
    <x v="0"/>
    <n v="13"/>
    <x v="1"/>
    <x v="1"/>
  </r>
  <r>
    <d v="2019-10-02T00:00:00"/>
    <x v="1"/>
    <n v="1051"/>
    <x v="0"/>
    <x v="1"/>
    <n v="1"/>
    <x v="5"/>
    <x v="0"/>
    <n v="5"/>
    <x v="1"/>
    <x v="1"/>
  </r>
  <r>
    <d v="2019-10-02T00:00:00"/>
    <x v="1"/>
    <n v="1051"/>
    <x v="0"/>
    <x v="1"/>
    <n v="1"/>
    <x v="2"/>
    <x v="0"/>
    <n v="2"/>
    <x v="1"/>
    <x v="1"/>
  </r>
  <r>
    <d v="2019-10-02T00:00:00"/>
    <x v="1"/>
    <n v="1051"/>
    <x v="0"/>
    <x v="1"/>
    <n v="1"/>
    <x v="6"/>
    <x v="0"/>
    <n v="3"/>
    <x v="1"/>
    <x v="1"/>
  </r>
  <r>
    <d v="2019-10-02T00:00:00"/>
    <x v="1"/>
    <n v="1051"/>
    <x v="0"/>
    <x v="1"/>
    <n v="1"/>
    <x v="7"/>
    <x v="0"/>
    <n v="11"/>
    <x v="1"/>
    <x v="1"/>
  </r>
  <r>
    <d v="2019-10-02T00:00:00"/>
    <x v="1"/>
    <n v="1051"/>
    <x v="0"/>
    <x v="1"/>
    <n v="1"/>
    <x v="13"/>
    <x v="0"/>
    <n v="1"/>
    <x v="1"/>
    <x v="1"/>
  </r>
  <r>
    <d v="2019-10-02T00:00:00"/>
    <x v="1"/>
    <n v="1051"/>
    <x v="0"/>
    <x v="1"/>
    <n v="1"/>
    <x v="9"/>
    <x v="0"/>
    <n v="4"/>
    <x v="1"/>
    <x v="1"/>
  </r>
  <r>
    <d v="2019-10-02T00:00:00"/>
    <x v="1"/>
    <n v="1051"/>
    <x v="0"/>
    <x v="1"/>
    <n v="1"/>
    <x v="10"/>
    <x v="0"/>
    <n v="1"/>
    <x v="1"/>
    <x v="1"/>
  </r>
  <r>
    <d v="2019-10-02T00:00:00"/>
    <x v="1"/>
    <n v="1051"/>
    <x v="0"/>
    <x v="1"/>
    <n v="2"/>
    <x v="4"/>
    <x v="0"/>
    <n v="2"/>
    <x v="1"/>
    <x v="1"/>
  </r>
  <r>
    <d v="2019-10-02T00:00:00"/>
    <x v="1"/>
    <n v="1051"/>
    <x v="0"/>
    <x v="1"/>
    <n v="2"/>
    <x v="11"/>
    <x v="0"/>
    <n v="2"/>
    <x v="1"/>
    <x v="1"/>
  </r>
  <r>
    <d v="2019-10-02T00:00:00"/>
    <x v="1"/>
    <n v="1051"/>
    <x v="0"/>
    <x v="1"/>
    <n v="2"/>
    <x v="12"/>
    <x v="0"/>
    <n v="3"/>
    <x v="1"/>
    <x v="1"/>
  </r>
  <r>
    <d v="2019-10-02T00:00:00"/>
    <x v="1"/>
    <n v="1051"/>
    <x v="0"/>
    <x v="1"/>
    <n v="2"/>
    <x v="5"/>
    <x v="0"/>
    <n v="1"/>
    <x v="1"/>
    <x v="1"/>
  </r>
  <r>
    <d v="2019-10-02T00:00:00"/>
    <x v="1"/>
    <n v="1051"/>
    <x v="0"/>
    <x v="1"/>
    <n v="2"/>
    <x v="13"/>
    <x v="0"/>
    <n v="3"/>
    <x v="1"/>
    <x v="1"/>
  </r>
  <r>
    <d v="2019-10-02T00:00:00"/>
    <x v="1"/>
    <n v="1051"/>
    <x v="0"/>
    <x v="0"/>
    <n v="1"/>
    <x v="4"/>
    <x v="0"/>
    <n v="1"/>
    <x v="1"/>
    <x v="1"/>
  </r>
  <r>
    <d v="2019-10-02T00:00:00"/>
    <x v="1"/>
    <n v="1051"/>
    <x v="0"/>
    <x v="0"/>
    <n v="1"/>
    <x v="0"/>
    <x v="0"/>
    <n v="16"/>
    <x v="1"/>
    <x v="1"/>
  </r>
  <r>
    <d v="2019-10-02T00:00:00"/>
    <x v="1"/>
    <n v="1051"/>
    <x v="0"/>
    <x v="0"/>
    <n v="1"/>
    <x v="1"/>
    <x v="0"/>
    <n v="7"/>
    <x v="1"/>
    <x v="1"/>
  </r>
  <r>
    <d v="2019-10-02T00:00:00"/>
    <x v="1"/>
    <n v="1051"/>
    <x v="0"/>
    <x v="0"/>
    <n v="1"/>
    <x v="2"/>
    <x v="0"/>
    <n v="27"/>
    <x v="1"/>
    <x v="1"/>
  </r>
  <r>
    <d v="2019-10-02T00:00:00"/>
    <x v="1"/>
    <n v="1051"/>
    <x v="0"/>
    <x v="0"/>
    <n v="1"/>
    <x v="14"/>
    <x v="0"/>
    <n v="12"/>
    <x v="1"/>
    <x v="1"/>
  </r>
  <r>
    <d v="2019-10-02T00:00:00"/>
    <x v="1"/>
    <n v="1051"/>
    <x v="0"/>
    <x v="1"/>
    <n v="1"/>
    <x v="0"/>
    <x v="1"/>
    <n v="11"/>
    <x v="1"/>
    <x v="1"/>
  </r>
  <r>
    <d v="2019-10-02T00:00:00"/>
    <x v="1"/>
    <n v="1051"/>
    <x v="0"/>
    <x v="1"/>
    <n v="1"/>
    <x v="12"/>
    <x v="1"/>
    <n v="4"/>
    <x v="1"/>
    <x v="1"/>
  </r>
  <r>
    <d v="2019-10-02T00:00:00"/>
    <x v="1"/>
    <n v="1051"/>
    <x v="0"/>
    <x v="1"/>
    <n v="1"/>
    <x v="5"/>
    <x v="1"/>
    <n v="4"/>
    <x v="1"/>
    <x v="1"/>
  </r>
  <r>
    <d v="2019-10-02T00:00:00"/>
    <x v="1"/>
    <n v="1051"/>
    <x v="0"/>
    <x v="1"/>
    <n v="1"/>
    <x v="13"/>
    <x v="1"/>
    <n v="19"/>
    <x v="1"/>
    <x v="1"/>
  </r>
  <r>
    <d v="2019-10-02T00:00:00"/>
    <x v="1"/>
    <n v="1051"/>
    <x v="0"/>
    <x v="1"/>
    <n v="1"/>
    <x v="14"/>
    <x v="1"/>
    <n v="13"/>
    <x v="1"/>
    <x v="1"/>
  </r>
  <r>
    <d v="2019-10-02T00:00:00"/>
    <x v="1"/>
    <n v="1051"/>
    <x v="16"/>
    <x v="0"/>
    <n v="1"/>
    <x v="4"/>
    <x v="1"/>
    <n v="9"/>
    <x v="1"/>
    <x v="1"/>
  </r>
  <r>
    <d v="2019-10-02T00:00:00"/>
    <x v="1"/>
    <n v="1051"/>
    <x v="16"/>
    <x v="0"/>
    <n v="1"/>
    <x v="11"/>
    <x v="1"/>
    <n v="4"/>
    <x v="1"/>
    <x v="1"/>
  </r>
  <r>
    <d v="2019-10-02T00:00:00"/>
    <x v="1"/>
    <n v="1051"/>
    <x v="16"/>
    <x v="0"/>
    <n v="1"/>
    <x v="15"/>
    <x v="1"/>
    <n v="4"/>
    <x v="1"/>
    <x v="1"/>
  </r>
  <r>
    <d v="2019-10-02T00:00:00"/>
    <x v="1"/>
    <n v="1051"/>
    <x v="16"/>
    <x v="0"/>
    <n v="1"/>
    <x v="29"/>
    <x v="1"/>
    <n v="2"/>
    <x v="1"/>
    <x v="1"/>
  </r>
  <r>
    <d v="2019-10-02T00:00:00"/>
    <x v="1"/>
    <n v="1051"/>
    <x v="16"/>
    <x v="0"/>
    <n v="1"/>
    <x v="2"/>
    <x v="1"/>
    <n v="1"/>
    <x v="1"/>
    <x v="1"/>
  </r>
  <r>
    <d v="2019-10-02T00:00:00"/>
    <x v="1"/>
    <n v="1051"/>
    <x v="16"/>
    <x v="0"/>
    <n v="1"/>
    <x v="6"/>
    <x v="1"/>
    <n v="5"/>
    <x v="1"/>
    <x v="1"/>
  </r>
  <r>
    <d v="2019-10-02T00:00:00"/>
    <x v="1"/>
    <n v="1051"/>
    <x v="16"/>
    <x v="0"/>
    <n v="1"/>
    <x v="25"/>
    <x v="1"/>
    <n v="1"/>
    <x v="1"/>
    <x v="1"/>
  </r>
  <r>
    <d v="2019-10-02T00:00:00"/>
    <x v="1"/>
    <n v="1051"/>
    <x v="16"/>
    <x v="0"/>
    <n v="1"/>
    <x v="23"/>
    <x v="1"/>
    <n v="1"/>
    <x v="1"/>
    <x v="1"/>
  </r>
  <r>
    <d v="2019-10-02T00:00:00"/>
    <x v="1"/>
    <n v="1051"/>
    <x v="16"/>
    <x v="0"/>
    <n v="1"/>
    <x v="7"/>
    <x v="1"/>
    <n v="1"/>
    <x v="1"/>
    <x v="1"/>
  </r>
  <r>
    <d v="2019-10-02T00:00:00"/>
    <x v="1"/>
    <n v="1051"/>
    <x v="16"/>
    <x v="0"/>
    <n v="1"/>
    <x v="13"/>
    <x v="1"/>
    <n v="1"/>
    <x v="1"/>
    <x v="1"/>
  </r>
  <r>
    <d v="2019-10-02T00:00:00"/>
    <x v="1"/>
    <n v="1051"/>
    <x v="16"/>
    <x v="0"/>
    <n v="1"/>
    <x v="3"/>
    <x v="1"/>
    <n v="14"/>
    <x v="1"/>
    <x v="1"/>
  </r>
  <r>
    <d v="2019-10-02T00:00:00"/>
    <x v="1"/>
    <n v="1051"/>
    <x v="16"/>
    <x v="0"/>
    <n v="1"/>
    <x v="9"/>
    <x v="1"/>
    <n v="13"/>
    <x v="1"/>
    <x v="1"/>
  </r>
  <r>
    <d v="2019-10-02T00:00:00"/>
    <x v="1"/>
    <n v="1051"/>
    <x v="16"/>
    <x v="0"/>
    <n v="1"/>
    <x v="19"/>
    <x v="1"/>
    <n v="4"/>
    <x v="1"/>
    <x v="1"/>
  </r>
  <r>
    <d v="2019-10-02T00:00:00"/>
    <x v="1"/>
    <n v="1051"/>
    <x v="16"/>
    <x v="0"/>
    <n v="1"/>
    <x v="14"/>
    <x v="1"/>
    <n v="2"/>
    <x v="1"/>
    <x v="1"/>
  </r>
  <r>
    <d v="2019-10-02T00:00:00"/>
    <x v="1"/>
    <n v="1051"/>
    <x v="16"/>
    <x v="0"/>
    <n v="2"/>
    <x v="11"/>
    <x v="1"/>
    <n v="1"/>
    <x v="1"/>
    <x v="1"/>
  </r>
  <r>
    <d v="2019-10-02T00:00:00"/>
    <x v="1"/>
    <n v="1051"/>
    <x v="0"/>
    <x v="1"/>
    <n v="1"/>
    <x v="0"/>
    <x v="1"/>
    <n v="11"/>
    <x v="1"/>
    <x v="1"/>
  </r>
  <r>
    <d v="2019-10-02T00:00:00"/>
    <x v="1"/>
    <n v="1051"/>
    <x v="0"/>
    <x v="1"/>
    <n v="1"/>
    <x v="12"/>
    <x v="1"/>
    <n v="4"/>
    <x v="1"/>
    <x v="1"/>
  </r>
  <r>
    <d v="2019-10-02T00:00:00"/>
    <x v="1"/>
    <n v="1051"/>
    <x v="0"/>
    <x v="1"/>
    <n v="1"/>
    <x v="15"/>
    <x v="1"/>
    <n v="4"/>
    <x v="1"/>
    <x v="1"/>
  </r>
  <r>
    <d v="2019-10-02T00:00:00"/>
    <x v="1"/>
    <n v="1051"/>
    <x v="0"/>
    <x v="1"/>
    <n v="1"/>
    <x v="13"/>
    <x v="1"/>
    <n v="19"/>
    <x v="1"/>
    <x v="1"/>
  </r>
  <r>
    <d v="2019-10-02T00:00:00"/>
    <x v="1"/>
    <n v="1051"/>
    <x v="0"/>
    <x v="1"/>
    <n v="1"/>
    <x v="14"/>
    <x v="1"/>
    <n v="13"/>
    <x v="1"/>
    <x v="1"/>
  </r>
  <r>
    <d v="2019-10-02T00:00:00"/>
    <x v="1"/>
    <n v="1059"/>
    <x v="1"/>
    <x v="1"/>
    <n v="1"/>
    <x v="4"/>
    <x v="0"/>
    <n v="5"/>
    <x v="1"/>
    <x v="1"/>
  </r>
  <r>
    <d v="2019-10-02T00:00:00"/>
    <x v="1"/>
    <n v="1059"/>
    <x v="1"/>
    <x v="1"/>
    <n v="1"/>
    <x v="0"/>
    <x v="0"/>
    <n v="2"/>
    <x v="1"/>
    <x v="1"/>
  </r>
  <r>
    <d v="2019-10-02T00:00:00"/>
    <x v="1"/>
    <n v="1059"/>
    <x v="1"/>
    <x v="1"/>
    <n v="1"/>
    <x v="11"/>
    <x v="0"/>
    <n v="16"/>
    <x v="1"/>
    <x v="1"/>
  </r>
  <r>
    <d v="2019-10-02T00:00:00"/>
    <x v="1"/>
    <n v="1059"/>
    <x v="1"/>
    <x v="1"/>
    <n v="1"/>
    <x v="7"/>
    <x v="0"/>
    <n v="3"/>
    <x v="1"/>
    <x v="1"/>
  </r>
  <r>
    <d v="2019-10-02T00:00:00"/>
    <x v="1"/>
    <n v="1059"/>
    <x v="1"/>
    <x v="1"/>
    <n v="1"/>
    <x v="13"/>
    <x v="0"/>
    <n v="2"/>
    <x v="1"/>
    <x v="1"/>
  </r>
  <r>
    <d v="2019-10-02T00:00:00"/>
    <x v="1"/>
    <n v="1059"/>
    <x v="1"/>
    <x v="1"/>
    <n v="1"/>
    <x v="9"/>
    <x v="0"/>
    <n v="9"/>
    <x v="1"/>
    <x v="1"/>
  </r>
  <r>
    <d v="2019-10-02T00:00:00"/>
    <x v="1"/>
    <n v="1059"/>
    <x v="1"/>
    <x v="1"/>
    <n v="1"/>
    <x v="13"/>
    <x v="1"/>
    <n v="3"/>
    <x v="1"/>
    <x v="1"/>
  </r>
  <r>
    <d v="2019-10-02T00:00:00"/>
    <x v="1"/>
    <n v="1059"/>
    <x v="1"/>
    <x v="1"/>
    <n v="1"/>
    <x v="3"/>
    <x v="1"/>
    <n v="4"/>
    <x v="1"/>
    <x v="1"/>
  </r>
  <r>
    <d v="2019-10-02T00:00:00"/>
    <x v="1"/>
    <n v="1059"/>
    <x v="1"/>
    <x v="1"/>
    <n v="1"/>
    <x v="17"/>
    <x v="1"/>
    <n v="30"/>
    <x v="1"/>
    <x v="1"/>
  </r>
  <r>
    <d v="2019-10-02T00:00:00"/>
    <x v="1"/>
    <n v="1740"/>
    <x v="3"/>
    <x v="0"/>
    <n v="1"/>
    <x v="4"/>
    <x v="0"/>
    <n v="16"/>
    <x v="1"/>
    <x v="1"/>
  </r>
  <r>
    <d v="2019-10-02T00:00:00"/>
    <x v="1"/>
    <n v="1740"/>
    <x v="3"/>
    <x v="0"/>
    <n v="1"/>
    <x v="0"/>
    <x v="0"/>
    <n v="2"/>
    <x v="1"/>
    <x v="1"/>
  </r>
  <r>
    <d v="2019-10-02T00:00:00"/>
    <x v="1"/>
    <n v="1740"/>
    <x v="3"/>
    <x v="0"/>
    <n v="1"/>
    <x v="11"/>
    <x v="0"/>
    <n v="1"/>
    <x v="1"/>
    <x v="1"/>
  </r>
  <r>
    <d v="2019-10-02T00:00:00"/>
    <x v="1"/>
    <n v="1740"/>
    <x v="3"/>
    <x v="0"/>
    <n v="1"/>
    <x v="15"/>
    <x v="0"/>
    <n v="1"/>
    <x v="1"/>
    <x v="1"/>
  </r>
  <r>
    <d v="2019-10-02T00:00:00"/>
    <x v="1"/>
    <n v="1740"/>
    <x v="3"/>
    <x v="0"/>
    <n v="1"/>
    <x v="5"/>
    <x v="0"/>
    <n v="1"/>
    <x v="1"/>
    <x v="1"/>
  </r>
  <r>
    <d v="2019-10-02T00:00:00"/>
    <x v="1"/>
    <n v="1740"/>
    <x v="3"/>
    <x v="0"/>
    <n v="1"/>
    <x v="21"/>
    <x v="0"/>
    <n v="20"/>
    <x v="1"/>
    <x v="1"/>
  </r>
  <r>
    <d v="2019-10-02T00:00:00"/>
    <x v="1"/>
    <n v="1740"/>
    <x v="3"/>
    <x v="0"/>
    <n v="1"/>
    <x v="13"/>
    <x v="0"/>
    <n v="12"/>
    <x v="1"/>
    <x v="1"/>
  </r>
  <r>
    <d v="2019-10-02T00:00:00"/>
    <x v="1"/>
    <n v="1740"/>
    <x v="3"/>
    <x v="0"/>
    <n v="1"/>
    <x v="9"/>
    <x v="0"/>
    <n v="3"/>
    <x v="1"/>
    <x v="1"/>
  </r>
  <r>
    <d v="2019-10-02T00:00:00"/>
    <x v="1"/>
    <n v="1740"/>
    <x v="3"/>
    <x v="0"/>
    <n v="1"/>
    <x v="19"/>
    <x v="0"/>
    <n v="1"/>
    <x v="1"/>
    <x v="1"/>
  </r>
  <r>
    <d v="2019-10-02T00:00:00"/>
    <x v="1"/>
    <n v="1740"/>
    <x v="3"/>
    <x v="0"/>
    <n v="1"/>
    <x v="10"/>
    <x v="0"/>
    <n v="2"/>
    <x v="1"/>
    <x v="1"/>
  </r>
  <r>
    <d v="2019-10-02T00:00:00"/>
    <x v="1"/>
    <n v="2361"/>
    <x v="3"/>
    <x v="1"/>
    <n v="1"/>
    <x v="12"/>
    <x v="0"/>
    <n v="17"/>
    <x v="1"/>
    <x v="1"/>
  </r>
  <r>
    <d v="2019-10-02T00:00:00"/>
    <x v="1"/>
    <n v="2361"/>
    <x v="3"/>
    <x v="1"/>
    <n v="1"/>
    <x v="2"/>
    <x v="0"/>
    <n v="34"/>
    <x v="1"/>
    <x v="1"/>
  </r>
  <r>
    <d v="2019-10-02T00:00:00"/>
    <x v="1"/>
    <n v="2361"/>
    <x v="3"/>
    <x v="1"/>
    <n v="1"/>
    <x v="21"/>
    <x v="0"/>
    <n v="5"/>
    <x v="1"/>
    <x v="1"/>
  </r>
  <r>
    <d v="2019-10-02T00:00:00"/>
    <x v="1"/>
    <n v="2361"/>
    <x v="3"/>
    <x v="1"/>
    <n v="1"/>
    <x v="14"/>
    <x v="0"/>
    <n v="25"/>
    <x v="1"/>
    <x v="1"/>
  </r>
  <r>
    <d v="2019-10-02T00:00:00"/>
    <x v="1"/>
    <n v="2361"/>
    <x v="3"/>
    <x v="1"/>
    <n v="1"/>
    <x v="4"/>
    <x v="1"/>
    <n v="12"/>
    <x v="1"/>
    <x v="1"/>
  </r>
  <r>
    <d v="2019-10-02T00:00:00"/>
    <x v="1"/>
    <n v="2361"/>
    <x v="3"/>
    <x v="1"/>
    <n v="1"/>
    <x v="0"/>
    <x v="1"/>
    <n v="11"/>
    <x v="1"/>
    <x v="1"/>
  </r>
  <r>
    <d v="2019-10-02T00:00:00"/>
    <x v="1"/>
    <n v="2361"/>
    <x v="3"/>
    <x v="1"/>
    <n v="1"/>
    <x v="11"/>
    <x v="1"/>
    <n v="9"/>
    <x v="1"/>
    <x v="1"/>
  </r>
  <r>
    <d v="2019-10-02T00:00:00"/>
    <x v="1"/>
    <n v="2361"/>
    <x v="3"/>
    <x v="1"/>
    <n v="1"/>
    <x v="5"/>
    <x v="1"/>
    <n v="13"/>
    <x v="1"/>
    <x v="1"/>
  </r>
  <r>
    <d v="2019-10-02T00:00:00"/>
    <x v="1"/>
    <n v="2361"/>
    <x v="3"/>
    <x v="1"/>
    <n v="1"/>
    <x v="1"/>
    <x v="1"/>
    <n v="2"/>
    <x v="1"/>
    <x v="1"/>
  </r>
  <r>
    <d v="2019-10-02T00:00:00"/>
    <x v="1"/>
    <n v="2361"/>
    <x v="3"/>
    <x v="1"/>
    <n v="1"/>
    <x v="2"/>
    <x v="1"/>
    <n v="3"/>
    <x v="1"/>
    <x v="1"/>
  </r>
  <r>
    <d v="2019-10-02T00:00:00"/>
    <x v="1"/>
    <n v="2361"/>
    <x v="3"/>
    <x v="1"/>
    <n v="1"/>
    <x v="6"/>
    <x v="1"/>
    <n v="3"/>
    <x v="1"/>
    <x v="1"/>
  </r>
  <r>
    <d v="2019-10-02T00:00:00"/>
    <x v="1"/>
    <n v="2361"/>
    <x v="3"/>
    <x v="1"/>
    <n v="1"/>
    <x v="7"/>
    <x v="1"/>
    <n v="2"/>
    <x v="1"/>
    <x v="1"/>
  </r>
  <r>
    <d v="2019-10-02T00:00:00"/>
    <x v="1"/>
    <n v="2361"/>
    <x v="3"/>
    <x v="1"/>
    <n v="1"/>
    <x v="13"/>
    <x v="1"/>
    <n v="5"/>
    <x v="1"/>
    <x v="1"/>
  </r>
  <r>
    <d v="2019-10-02T00:00:00"/>
    <x v="1"/>
    <n v="2361"/>
    <x v="3"/>
    <x v="1"/>
    <n v="1"/>
    <x v="3"/>
    <x v="1"/>
    <n v="11"/>
    <x v="1"/>
    <x v="1"/>
  </r>
  <r>
    <d v="2019-10-02T00:00:00"/>
    <x v="1"/>
    <n v="2361"/>
    <x v="3"/>
    <x v="1"/>
    <n v="1"/>
    <x v="9"/>
    <x v="1"/>
    <n v="9"/>
    <x v="1"/>
    <x v="1"/>
  </r>
  <r>
    <d v="2019-10-02T00:00:00"/>
    <x v="1"/>
    <n v="2361"/>
    <x v="3"/>
    <x v="1"/>
    <n v="1"/>
    <x v="10"/>
    <x v="1"/>
    <n v="1"/>
    <x v="1"/>
    <x v="1"/>
  </r>
  <r>
    <d v="2019-10-02T00:00:00"/>
    <x v="1"/>
    <n v="2361"/>
    <x v="3"/>
    <x v="0"/>
    <n v="1"/>
    <x v="18"/>
    <x v="1"/>
    <n v="10"/>
    <x v="1"/>
    <x v="1"/>
  </r>
  <r>
    <d v="2019-10-02T00:00:00"/>
    <x v="1"/>
    <n v="2361"/>
    <x v="3"/>
    <x v="0"/>
    <n v="1"/>
    <x v="20"/>
    <x v="1"/>
    <n v="10"/>
    <x v="1"/>
    <x v="1"/>
  </r>
  <r>
    <d v="2019-10-02T00:00:00"/>
    <x v="1"/>
    <n v="2361"/>
    <x v="3"/>
    <x v="0"/>
    <n v="1"/>
    <x v="13"/>
    <x v="1"/>
    <n v="20"/>
    <x v="1"/>
    <x v="1"/>
  </r>
  <r>
    <d v="2019-10-02T00:00:00"/>
    <x v="1"/>
    <n v="2361"/>
    <x v="3"/>
    <x v="0"/>
    <n v="1"/>
    <x v="3"/>
    <x v="1"/>
    <n v="19"/>
    <x v="1"/>
    <x v="1"/>
  </r>
  <r>
    <d v="2019-10-02T00:00:00"/>
    <x v="1"/>
    <n v="4501"/>
    <x v="4"/>
    <x v="1"/>
    <n v="1"/>
    <x v="4"/>
    <x v="0"/>
    <n v="4"/>
    <x v="1"/>
    <x v="1"/>
  </r>
  <r>
    <d v="2019-10-02T00:00:00"/>
    <x v="1"/>
    <n v="4501"/>
    <x v="4"/>
    <x v="1"/>
    <n v="1"/>
    <x v="0"/>
    <x v="0"/>
    <n v="2"/>
    <x v="1"/>
    <x v="1"/>
  </r>
  <r>
    <d v="2019-10-02T00:00:00"/>
    <x v="1"/>
    <n v="4501"/>
    <x v="4"/>
    <x v="1"/>
    <n v="1"/>
    <x v="11"/>
    <x v="0"/>
    <n v="8"/>
    <x v="1"/>
    <x v="1"/>
  </r>
  <r>
    <d v="2019-10-02T00:00:00"/>
    <x v="1"/>
    <n v="4501"/>
    <x v="4"/>
    <x v="1"/>
    <n v="1"/>
    <x v="7"/>
    <x v="0"/>
    <n v="6"/>
    <x v="1"/>
    <x v="1"/>
  </r>
  <r>
    <d v="2019-10-02T00:00:00"/>
    <x v="1"/>
    <n v="4501"/>
    <x v="4"/>
    <x v="1"/>
    <n v="1"/>
    <x v="3"/>
    <x v="0"/>
    <n v="1"/>
    <x v="1"/>
    <x v="1"/>
  </r>
  <r>
    <d v="2019-10-02T00:00:00"/>
    <x v="1"/>
    <n v="4501"/>
    <x v="4"/>
    <x v="1"/>
    <n v="1"/>
    <x v="10"/>
    <x v="0"/>
    <n v="4"/>
    <x v="1"/>
    <x v="1"/>
  </r>
  <r>
    <d v="2019-10-02T00:00:00"/>
    <x v="1"/>
    <n v="4501"/>
    <x v="4"/>
    <x v="0"/>
    <n v="1"/>
    <x v="19"/>
    <x v="0"/>
    <n v="16"/>
    <x v="1"/>
    <x v="1"/>
  </r>
  <r>
    <d v="2019-10-02T00:00:00"/>
    <x v="1"/>
    <n v="4501"/>
    <x v="4"/>
    <x v="0"/>
    <n v="1"/>
    <x v="17"/>
    <x v="0"/>
    <n v="11"/>
    <x v="1"/>
    <x v="1"/>
  </r>
  <r>
    <d v="2019-10-02T00:00:00"/>
    <x v="1"/>
    <n v="4501"/>
    <x v="4"/>
    <x v="1"/>
    <n v="1"/>
    <x v="11"/>
    <x v="1"/>
    <n v="4"/>
    <x v="1"/>
    <x v="1"/>
  </r>
  <r>
    <d v="2019-10-02T00:00:00"/>
    <x v="1"/>
    <n v="4501"/>
    <x v="4"/>
    <x v="1"/>
    <n v="1"/>
    <x v="7"/>
    <x v="1"/>
    <n v="4"/>
    <x v="1"/>
    <x v="1"/>
  </r>
  <r>
    <d v="2019-10-02T00:00:00"/>
    <x v="1"/>
    <n v="4501"/>
    <x v="4"/>
    <x v="1"/>
    <n v="1"/>
    <x v="13"/>
    <x v="1"/>
    <n v="10"/>
    <x v="1"/>
    <x v="1"/>
  </r>
  <r>
    <d v="2019-10-02T00:00:00"/>
    <x v="1"/>
    <n v="4501"/>
    <x v="4"/>
    <x v="1"/>
    <n v="1"/>
    <x v="3"/>
    <x v="1"/>
    <n v="7"/>
    <x v="1"/>
    <x v="1"/>
  </r>
  <r>
    <d v="2019-10-02T00:00:00"/>
    <x v="1"/>
    <n v="4501"/>
    <x v="4"/>
    <x v="0"/>
    <n v="1"/>
    <x v="4"/>
    <x v="1"/>
    <n v="1"/>
    <x v="1"/>
    <x v="1"/>
  </r>
  <r>
    <d v="2019-10-02T00:00:00"/>
    <x v="1"/>
    <n v="4501"/>
    <x v="4"/>
    <x v="0"/>
    <n v="1"/>
    <x v="0"/>
    <x v="1"/>
    <n v="3"/>
    <x v="1"/>
    <x v="1"/>
  </r>
  <r>
    <d v="2019-10-02T00:00:00"/>
    <x v="1"/>
    <n v="4501"/>
    <x v="4"/>
    <x v="0"/>
    <n v="1"/>
    <x v="5"/>
    <x v="1"/>
    <n v="2"/>
    <x v="1"/>
    <x v="1"/>
  </r>
  <r>
    <d v="2019-10-02T00:00:00"/>
    <x v="1"/>
    <n v="4501"/>
    <x v="4"/>
    <x v="0"/>
    <n v="1"/>
    <x v="7"/>
    <x v="1"/>
    <n v="5"/>
    <x v="1"/>
    <x v="1"/>
  </r>
  <r>
    <d v="2019-10-02T00:00:00"/>
    <x v="1"/>
    <n v="4501"/>
    <x v="4"/>
    <x v="0"/>
    <n v="1"/>
    <x v="3"/>
    <x v="1"/>
    <n v="14"/>
    <x v="1"/>
    <x v="1"/>
  </r>
  <r>
    <d v="2019-10-02T00:00:00"/>
    <x v="1"/>
    <n v="4501"/>
    <x v="4"/>
    <x v="0"/>
    <n v="1"/>
    <x v="9"/>
    <x v="1"/>
    <n v="2"/>
    <x v="1"/>
    <x v="1"/>
  </r>
  <r>
    <d v="2019-10-02T00:00:00"/>
    <x v="1"/>
    <n v="4502"/>
    <x v="5"/>
    <x v="1"/>
    <n v="1"/>
    <x v="4"/>
    <x v="0"/>
    <n v="7"/>
    <x v="1"/>
    <x v="1"/>
  </r>
  <r>
    <d v="2019-10-02T00:00:00"/>
    <x v="1"/>
    <n v="4502"/>
    <x v="5"/>
    <x v="1"/>
    <n v="1"/>
    <x v="0"/>
    <x v="0"/>
    <n v="2"/>
    <x v="1"/>
    <x v="1"/>
  </r>
  <r>
    <d v="2019-10-02T00:00:00"/>
    <x v="1"/>
    <n v="4502"/>
    <x v="5"/>
    <x v="1"/>
    <n v="1"/>
    <x v="1"/>
    <x v="0"/>
    <n v="3"/>
    <x v="1"/>
    <x v="1"/>
  </r>
  <r>
    <d v="2019-10-02T00:00:00"/>
    <x v="1"/>
    <n v="4502"/>
    <x v="5"/>
    <x v="1"/>
    <n v="1"/>
    <x v="6"/>
    <x v="0"/>
    <n v="4"/>
    <x v="1"/>
    <x v="1"/>
  </r>
  <r>
    <d v="2019-10-02T00:00:00"/>
    <x v="1"/>
    <n v="4502"/>
    <x v="5"/>
    <x v="1"/>
    <n v="1"/>
    <x v="7"/>
    <x v="0"/>
    <n v="3"/>
    <x v="1"/>
    <x v="1"/>
  </r>
  <r>
    <d v="2019-10-02T00:00:00"/>
    <x v="1"/>
    <n v="4502"/>
    <x v="5"/>
    <x v="1"/>
    <n v="1"/>
    <x v="3"/>
    <x v="0"/>
    <n v="4"/>
    <x v="1"/>
    <x v="1"/>
  </r>
  <r>
    <d v="2019-10-02T00:00:00"/>
    <x v="1"/>
    <n v="4502"/>
    <x v="5"/>
    <x v="1"/>
    <n v="1"/>
    <x v="9"/>
    <x v="0"/>
    <n v="2"/>
    <x v="1"/>
    <x v="1"/>
  </r>
  <r>
    <d v="2019-10-02T00:00:00"/>
    <x v="1"/>
    <n v="4502"/>
    <x v="5"/>
    <x v="1"/>
    <n v="2"/>
    <x v="7"/>
    <x v="0"/>
    <n v="5"/>
    <x v="1"/>
    <x v="1"/>
  </r>
  <r>
    <d v="2019-10-02T00:00:00"/>
    <x v="1"/>
    <n v="4502"/>
    <x v="5"/>
    <x v="1"/>
    <n v="2"/>
    <x v="9"/>
    <x v="0"/>
    <n v="2"/>
    <x v="1"/>
    <x v="1"/>
  </r>
  <r>
    <d v="2019-10-02T00:00:00"/>
    <x v="1"/>
    <n v="4502"/>
    <x v="5"/>
    <x v="0"/>
    <n v="1"/>
    <x v="12"/>
    <x v="0"/>
    <n v="18"/>
    <x v="1"/>
    <x v="1"/>
  </r>
  <r>
    <d v="2019-10-02T00:00:00"/>
    <x v="1"/>
    <n v="4502"/>
    <x v="5"/>
    <x v="0"/>
    <n v="1"/>
    <x v="20"/>
    <x v="0"/>
    <n v="3"/>
    <x v="1"/>
    <x v="1"/>
  </r>
  <r>
    <d v="2019-10-02T00:00:00"/>
    <x v="1"/>
    <n v="4502"/>
    <x v="5"/>
    <x v="0"/>
    <n v="1"/>
    <x v="21"/>
    <x v="0"/>
    <n v="32"/>
    <x v="1"/>
    <x v="1"/>
  </r>
  <r>
    <d v="2019-10-02T00:00:00"/>
    <x v="1"/>
    <n v="4502"/>
    <x v="5"/>
    <x v="0"/>
    <n v="1"/>
    <x v="17"/>
    <x v="0"/>
    <n v="9"/>
    <x v="1"/>
    <x v="1"/>
  </r>
  <r>
    <d v="2019-10-02T00:00:00"/>
    <x v="1"/>
    <n v="4502"/>
    <x v="5"/>
    <x v="1"/>
    <n v="1"/>
    <x v="0"/>
    <x v="1"/>
    <n v="3"/>
    <x v="1"/>
    <x v="1"/>
  </r>
  <r>
    <d v="2019-10-02T00:00:00"/>
    <x v="1"/>
    <n v="4502"/>
    <x v="5"/>
    <x v="1"/>
    <n v="1"/>
    <x v="20"/>
    <x v="1"/>
    <n v="19"/>
    <x v="1"/>
    <x v="1"/>
  </r>
  <r>
    <d v="2019-10-02T00:00:00"/>
    <x v="1"/>
    <n v="4502"/>
    <x v="5"/>
    <x v="1"/>
    <n v="1"/>
    <x v="26"/>
    <x v="1"/>
    <n v="5"/>
    <x v="1"/>
    <x v="1"/>
  </r>
  <r>
    <d v="2019-10-02T00:00:00"/>
    <x v="1"/>
    <n v="4502"/>
    <x v="5"/>
    <x v="1"/>
    <n v="1"/>
    <x v="7"/>
    <x v="1"/>
    <n v="1"/>
    <x v="1"/>
    <x v="1"/>
  </r>
  <r>
    <d v="2019-10-02T00:00:00"/>
    <x v="1"/>
    <n v="4502"/>
    <x v="5"/>
    <x v="1"/>
    <n v="1"/>
    <x v="21"/>
    <x v="1"/>
    <n v="12"/>
    <x v="1"/>
    <x v="1"/>
  </r>
  <r>
    <d v="2019-10-02T00:00:00"/>
    <x v="1"/>
    <n v="4502"/>
    <x v="5"/>
    <x v="0"/>
    <n v="1"/>
    <x v="4"/>
    <x v="1"/>
    <n v="32"/>
    <x v="1"/>
    <x v="1"/>
  </r>
  <r>
    <d v="2019-10-02T00:00:00"/>
    <x v="1"/>
    <n v="4502"/>
    <x v="5"/>
    <x v="0"/>
    <n v="1"/>
    <x v="0"/>
    <x v="1"/>
    <n v="10"/>
    <x v="1"/>
    <x v="1"/>
  </r>
  <r>
    <d v="2019-10-02T00:00:00"/>
    <x v="1"/>
    <n v="4502"/>
    <x v="5"/>
    <x v="0"/>
    <n v="1"/>
    <x v="11"/>
    <x v="1"/>
    <n v="1"/>
    <x v="1"/>
    <x v="1"/>
  </r>
  <r>
    <d v="2019-10-02T00:00:00"/>
    <x v="1"/>
    <n v="4502"/>
    <x v="5"/>
    <x v="0"/>
    <n v="1"/>
    <x v="5"/>
    <x v="1"/>
    <n v="3"/>
    <x v="1"/>
    <x v="1"/>
  </r>
  <r>
    <d v="2019-10-02T00:00:00"/>
    <x v="1"/>
    <n v="4502"/>
    <x v="5"/>
    <x v="0"/>
    <n v="1"/>
    <x v="1"/>
    <x v="1"/>
    <n v="1"/>
    <x v="1"/>
    <x v="1"/>
  </r>
  <r>
    <d v="2019-10-02T00:00:00"/>
    <x v="1"/>
    <n v="4502"/>
    <x v="5"/>
    <x v="0"/>
    <n v="1"/>
    <x v="2"/>
    <x v="1"/>
    <n v="3"/>
    <x v="1"/>
    <x v="1"/>
  </r>
  <r>
    <d v="2019-10-02T00:00:00"/>
    <x v="1"/>
    <n v="4502"/>
    <x v="5"/>
    <x v="0"/>
    <n v="1"/>
    <x v="13"/>
    <x v="1"/>
    <n v="3"/>
    <x v="1"/>
    <x v="1"/>
  </r>
  <r>
    <d v="2019-10-02T00:00:00"/>
    <x v="1"/>
    <n v="4502"/>
    <x v="5"/>
    <x v="0"/>
    <n v="1"/>
    <x v="9"/>
    <x v="1"/>
    <n v="1"/>
    <x v="1"/>
    <x v="1"/>
  </r>
  <r>
    <d v="2019-10-02T00:00:00"/>
    <x v="1"/>
    <n v="4502"/>
    <x v="5"/>
    <x v="0"/>
    <n v="1"/>
    <x v="10"/>
    <x v="1"/>
    <n v="2"/>
    <x v="1"/>
    <x v="1"/>
  </r>
  <r>
    <d v="2019-10-02T00:00:00"/>
    <x v="1"/>
    <n v="4502"/>
    <x v="5"/>
    <x v="0"/>
    <n v="2"/>
    <x v="4"/>
    <x v="1"/>
    <n v="4"/>
    <x v="1"/>
    <x v="1"/>
  </r>
  <r>
    <d v="2019-10-02T00:00:00"/>
    <x v="1"/>
    <n v="4502"/>
    <x v="5"/>
    <x v="0"/>
    <n v="2"/>
    <x v="9"/>
    <x v="1"/>
    <n v="2"/>
    <x v="1"/>
    <x v="1"/>
  </r>
  <r>
    <d v="2019-10-02T00:00:00"/>
    <x v="1"/>
    <n v="4503"/>
    <x v="6"/>
    <x v="1"/>
    <n v="1"/>
    <x v="4"/>
    <x v="0"/>
    <n v="16"/>
    <x v="1"/>
    <x v="1"/>
  </r>
  <r>
    <d v="2019-10-02T00:00:00"/>
    <x v="1"/>
    <n v="4503"/>
    <x v="6"/>
    <x v="1"/>
    <n v="1"/>
    <x v="0"/>
    <x v="0"/>
    <n v="7"/>
    <x v="1"/>
    <x v="1"/>
  </r>
  <r>
    <d v="2019-10-02T00:00:00"/>
    <x v="1"/>
    <n v="4503"/>
    <x v="6"/>
    <x v="1"/>
    <n v="1"/>
    <x v="11"/>
    <x v="0"/>
    <n v="13"/>
    <x v="1"/>
    <x v="1"/>
  </r>
  <r>
    <d v="2019-10-02T00:00:00"/>
    <x v="1"/>
    <n v="4503"/>
    <x v="6"/>
    <x v="1"/>
    <n v="1"/>
    <x v="5"/>
    <x v="0"/>
    <n v="3"/>
    <x v="1"/>
    <x v="1"/>
  </r>
  <r>
    <d v="2019-10-02T00:00:00"/>
    <x v="1"/>
    <n v="4503"/>
    <x v="6"/>
    <x v="1"/>
    <n v="1"/>
    <x v="1"/>
    <x v="0"/>
    <n v="3"/>
    <x v="1"/>
    <x v="1"/>
  </r>
  <r>
    <d v="2019-10-02T00:00:00"/>
    <x v="1"/>
    <n v="4503"/>
    <x v="6"/>
    <x v="1"/>
    <n v="1"/>
    <x v="3"/>
    <x v="0"/>
    <n v="7"/>
    <x v="1"/>
    <x v="1"/>
  </r>
  <r>
    <d v="2019-10-02T00:00:00"/>
    <x v="1"/>
    <n v="4503"/>
    <x v="6"/>
    <x v="1"/>
    <n v="1"/>
    <x v="9"/>
    <x v="0"/>
    <n v="1"/>
    <x v="1"/>
    <x v="1"/>
  </r>
  <r>
    <d v="2019-10-02T00:00:00"/>
    <x v="1"/>
    <n v="4503"/>
    <x v="6"/>
    <x v="1"/>
    <n v="1"/>
    <x v="10"/>
    <x v="0"/>
    <n v="2"/>
    <x v="1"/>
    <x v="1"/>
  </r>
  <r>
    <d v="2019-10-02T00:00:00"/>
    <x v="1"/>
    <n v="4503"/>
    <x v="6"/>
    <x v="0"/>
    <n v="1"/>
    <x v="20"/>
    <x v="0"/>
    <n v="12"/>
    <x v="1"/>
    <x v="1"/>
  </r>
  <r>
    <d v="2019-10-02T00:00:00"/>
    <x v="1"/>
    <n v="4503"/>
    <x v="6"/>
    <x v="0"/>
    <n v="1"/>
    <x v="13"/>
    <x v="0"/>
    <n v="7"/>
    <x v="1"/>
    <x v="1"/>
  </r>
  <r>
    <d v="2019-10-02T00:00:00"/>
    <x v="1"/>
    <n v="4503"/>
    <x v="6"/>
    <x v="0"/>
    <n v="1"/>
    <x v="3"/>
    <x v="0"/>
    <n v="8"/>
    <x v="1"/>
    <x v="1"/>
  </r>
  <r>
    <d v="2019-10-02T00:00:00"/>
    <x v="1"/>
    <n v="4503"/>
    <x v="6"/>
    <x v="0"/>
    <n v="1"/>
    <x v="17"/>
    <x v="0"/>
    <n v="18"/>
    <x v="1"/>
    <x v="1"/>
  </r>
  <r>
    <d v="2019-10-02T00:00:00"/>
    <x v="1"/>
    <n v="4503"/>
    <x v="6"/>
    <x v="0"/>
    <n v="2"/>
    <x v="20"/>
    <x v="0"/>
    <n v="11"/>
    <x v="1"/>
    <x v="1"/>
  </r>
  <r>
    <d v="2019-10-02T00:00:00"/>
    <x v="1"/>
    <n v="6552"/>
    <x v="7"/>
    <x v="1"/>
    <n v="1"/>
    <x v="24"/>
    <x v="0"/>
    <n v="3"/>
    <x v="1"/>
    <x v="1"/>
  </r>
  <r>
    <d v="2019-10-02T00:00:00"/>
    <x v="1"/>
    <n v="6552"/>
    <x v="7"/>
    <x v="1"/>
    <n v="1"/>
    <x v="1"/>
    <x v="0"/>
    <n v="8"/>
    <x v="1"/>
    <x v="1"/>
  </r>
  <r>
    <d v="2019-10-02T00:00:00"/>
    <x v="1"/>
    <n v="6552"/>
    <x v="7"/>
    <x v="1"/>
    <n v="1"/>
    <x v="6"/>
    <x v="0"/>
    <n v="7"/>
    <x v="1"/>
    <x v="1"/>
  </r>
  <r>
    <d v="2019-10-02T00:00:00"/>
    <x v="1"/>
    <n v="6552"/>
    <x v="7"/>
    <x v="1"/>
    <n v="1"/>
    <x v="7"/>
    <x v="0"/>
    <n v="10"/>
    <x v="1"/>
    <x v="1"/>
  </r>
  <r>
    <d v="2019-10-02T00:00:00"/>
    <x v="1"/>
    <n v="6552"/>
    <x v="7"/>
    <x v="1"/>
    <n v="1"/>
    <x v="9"/>
    <x v="0"/>
    <n v="7"/>
    <x v="1"/>
    <x v="1"/>
  </r>
  <r>
    <d v="2019-10-02T00:00:00"/>
    <x v="1"/>
    <n v="6552"/>
    <x v="7"/>
    <x v="1"/>
    <n v="1"/>
    <x v="10"/>
    <x v="0"/>
    <n v="6"/>
    <x v="1"/>
    <x v="1"/>
  </r>
  <r>
    <d v="2019-10-02T00:00:00"/>
    <x v="1"/>
    <n v="6552"/>
    <x v="7"/>
    <x v="0"/>
    <n v="1"/>
    <x v="0"/>
    <x v="0"/>
    <n v="13"/>
    <x v="1"/>
    <x v="1"/>
  </r>
  <r>
    <d v="2019-10-02T00:00:00"/>
    <x v="1"/>
    <n v="6552"/>
    <x v="7"/>
    <x v="0"/>
    <n v="1"/>
    <x v="20"/>
    <x v="0"/>
    <n v="35"/>
    <x v="1"/>
    <x v="1"/>
  </r>
  <r>
    <d v="2019-10-02T00:00:00"/>
    <x v="1"/>
    <n v="6552"/>
    <x v="7"/>
    <x v="0"/>
    <n v="1"/>
    <x v="1"/>
    <x v="0"/>
    <n v="15"/>
    <x v="1"/>
    <x v="1"/>
  </r>
  <r>
    <d v="2019-10-02T00:00:00"/>
    <x v="1"/>
    <n v="6552"/>
    <x v="7"/>
    <x v="0"/>
    <n v="1"/>
    <x v="21"/>
    <x v="0"/>
    <n v="36"/>
    <x v="1"/>
    <x v="1"/>
  </r>
  <r>
    <d v="2019-10-02T00:00:00"/>
    <x v="1"/>
    <n v="6552"/>
    <x v="7"/>
    <x v="0"/>
    <n v="1"/>
    <x v="17"/>
    <x v="0"/>
    <n v="14"/>
    <x v="1"/>
    <x v="1"/>
  </r>
  <r>
    <d v="2019-10-02T00:00:00"/>
    <x v="1"/>
    <n v="6552"/>
    <x v="7"/>
    <x v="0"/>
    <n v="2"/>
    <x v="1"/>
    <x v="0"/>
    <n v="2"/>
    <x v="1"/>
    <x v="1"/>
  </r>
  <r>
    <d v="2019-10-02T00:00:00"/>
    <x v="1"/>
    <n v="6552"/>
    <x v="7"/>
    <x v="1"/>
    <n v="1"/>
    <x v="0"/>
    <x v="1"/>
    <n v="1"/>
    <x v="1"/>
    <x v="1"/>
  </r>
  <r>
    <d v="2019-10-02T00:00:00"/>
    <x v="1"/>
    <n v="6552"/>
    <x v="7"/>
    <x v="1"/>
    <n v="1"/>
    <x v="20"/>
    <x v="1"/>
    <n v="4"/>
    <x v="1"/>
    <x v="1"/>
  </r>
  <r>
    <d v="2019-10-02T00:00:00"/>
    <x v="1"/>
    <n v="6552"/>
    <x v="7"/>
    <x v="1"/>
    <n v="1"/>
    <x v="24"/>
    <x v="1"/>
    <n v="6"/>
    <x v="1"/>
    <x v="1"/>
  </r>
  <r>
    <d v="2019-10-02T00:00:00"/>
    <x v="1"/>
    <n v="6552"/>
    <x v="7"/>
    <x v="1"/>
    <n v="1"/>
    <x v="23"/>
    <x v="1"/>
    <n v="1"/>
    <x v="1"/>
    <x v="1"/>
  </r>
  <r>
    <d v="2019-10-02T00:00:00"/>
    <x v="1"/>
    <n v="6552"/>
    <x v="7"/>
    <x v="1"/>
    <n v="1"/>
    <x v="21"/>
    <x v="1"/>
    <n v="8"/>
    <x v="1"/>
    <x v="1"/>
  </r>
  <r>
    <d v="2019-10-02T00:00:00"/>
    <x v="1"/>
    <n v="6552"/>
    <x v="7"/>
    <x v="1"/>
    <n v="1"/>
    <x v="16"/>
    <x v="1"/>
    <n v="10"/>
    <x v="1"/>
    <x v="1"/>
  </r>
  <r>
    <d v="2019-10-02T00:00:00"/>
    <x v="1"/>
    <n v="6552"/>
    <x v="7"/>
    <x v="1"/>
    <n v="1"/>
    <x v="17"/>
    <x v="1"/>
    <n v="11"/>
    <x v="1"/>
    <x v="1"/>
  </r>
  <r>
    <d v="2019-10-02T00:00:00"/>
    <x v="1"/>
    <n v="6552"/>
    <x v="7"/>
    <x v="0"/>
    <n v="1"/>
    <x v="4"/>
    <x v="1"/>
    <n v="7"/>
    <x v="1"/>
    <x v="1"/>
  </r>
  <r>
    <d v="2019-10-02T00:00:00"/>
    <x v="1"/>
    <n v="6552"/>
    <x v="7"/>
    <x v="0"/>
    <n v="1"/>
    <x v="0"/>
    <x v="1"/>
    <n v="7"/>
    <x v="1"/>
    <x v="1"/>
  </r>
  <r>
    <d v="2019-10-02T00:00:00"/>
    <x v="1"/>
    <n v="6552"/>
    <x v="7"/>
    <x v="0"/>
    <n v="1"/>
    <x v="11"/>
    <x v="1"/>
    <n v="4"/>
    <x v="1"/>
    <x v="1"/>
  </r>
  <r>
    <d v="2019-10-02T00:00:00"/>
    <x v="1"/>
    <n v="6552"/>
    <x v="7"/>
    <x v="0"/>
    <n v="1"/>
    <x v="5"/>
    <x v="1"/>
    <n v="5"/>
    <x v="1"/>
    <x v="1"/>
  </r>
  <r>
    <d v="2019-10-02T00:00:00"/>
    <x v="1"/>
    <n v="6552"/>
    <x v="7"/>
    <x v="0"/>
    <n v="1"/>
    <x v="1"/>
    <x v="1"/>
    <n v="3"/>
    <x v="1"/>
    <x v="1"/>
  </r>
  <r>
    <d v="2019-10-02T00:00:00"/>
    <x v="1"/>
    <n v="6552"/>
    <x v="7"/>
    <x v="0"/>
    <n v="1"/>
    <x v="7"/>
    <x v="1"/>
    <n v="7"/>
    <x v="1"/>
    <x v="1"/>
  </r>
  <r>
    <d v="2019-10-02T00:00:00"/>
    <x v="1"/>
    <n v="6552"/>
    <x v="7"/>
    <x v="0"/>
    <n v="1"/>
    <x v="13"/>
    <x v="1"/>
    <n v="11"/>
    <x v="1"/>
    <x v="1"/>
  </r>
  <r>
    <d v="2019-10-02T00:00:00"/>
    <x v="1"/>
    <n v="6552"/>
    <x v="7"/>
    <x v="0"/>
    <n v="1"/>
    <x v="3"/>
    <x v="1"/>
    <n v="11"/>
    <x v="1"/>
    <x v="1"/>
  </r>
  <r>
    <d v="2019-10-02T00:00:00"/>
    <x v="1"/>
    <n v="6552"/>
    <x v="7"/>
    <x v="0"/>
    <n v="1"/>
    <x v="9"/>
    <x v="1"/>
    <n v="30"/>
    <x v="1"/>
    <x v="1"/>
  </r>
  <r>
    <d v="2019-10-02T00:00:00"/>
    <x v="1"/>
    <n v="6552"/>
    <x v="7"/>
    <x v="0"/>
    <n v="1"/>
    <x v="10"/>
    <x v="1"/>
    <n v="1"/>
    <x v="1"/>
    <x v="1"/>
  </r>
  <r>
    <d v="2019-10-02T00:00:00"/>
    <x v="1"/>
    <n v="6552"/>
    <x v="7"/>
    <x v="0"/>
    <n v="2"/>
    <x v="4"/>
    <x v="1"/>
    <n v="7"/>
    <x v="1"/>
    <x v="1"/>
  </r>
  <r>
    <d v="2019-10-02T00:00:00"/>
    <x v="1"/>
    <n v="6552"/>
    <x v="7"/>
    <x v="0"/>
    <n v="2"/>
    <x v="0"/>
    <x v="1"/>
    <n v="2"/>
    <x v="1"/>
    <x v="1"/>
  </r>
  <r>
    <d v="2019-10-02T00:00:00"/>
    <x v="1"/>
    <n v="6552"/>
    <x v="7"/>
    <x v="0"/>
    <n v="2"/>
    <x v="11"/>
    <x v="1"/>
    <n v="4"/>
    <x v="1"/>
    <x v="1"/>
  </r>
  <r>
    <d v="2019-10-02T00:00:00"/>
    <x v="1"/>
    <n v="6552"/>
    <x v="7"/>
    <x v="0"/>
    <n v="2"/>
    <x v="5"/>
    <x v="1"/>
    <n v="3"/>
    <x v="1"/>
    <x v="1"/>
  </r>
  <r>
    <d v="2019-10-02T00:00:00"/>
    <x v="1"/>
    <n v="6552"/>
    <x v="7"/>
    <x v="0"/>
    <n v="2"/>
    <x v="1"/>
    <x v="1"/>
    <n v="1"/>
    <x v="1"/>
    <x v="1"/>
  </r>
  <r>
    <d v="2019-10-02T00:00:00"/>
    <x v="1"/>
    <n v="6552"/>
    <x v="7"/>
    <x v="0"/>
    <n v="2"/>
    <x v="7"/>
    <x v="1"/>
    <n v="5"/>
    <x v="1"/>
    <x v="1"/>
  </r>
  <r>
    <d v="2019-10-02T00:00:00"/>
    <x v="1"/>
    <n v="6552"/>
    <x v="7"/>
    <x v="0"/>
    <n v="2"/>
    <x v="13"/>
    <x v="1"/>
    <n v="2"/>
    <x v="1"/>
    <x v="1"/>
  </r>
  <r>
    <d v="2019-10-02T00:00:00"/>
    <x v="1"/>
    <n v="6552"/>
    <x v="7"/>
    <x v="0"/>
    <n v="2"/>
    <x v="3"/>
    <x v="1"/>
    <n v="1"/>
    <x v="1"/>
    <x v="1"/>
  </r>
  <r>
    <d v="2019-10-02T00:00:00"/>
    <x v="1"/>
    <n v="6552"/>
    <x v="7"/>
    <x v="0"/>
    <n v="2"/>
    <x v="9"/>
    <x v="1"/>
    <n v="4"/>
    <x v="1"/>
    <x v="1"/>
  </r>
  <r>
    <d v="2019-10-02T00:00:00"/>
    <x v="1"/>
    <n v="6552"/>
    <x v="7"/>
    <x v="0"/>
    <n v="1"/>
    <x v="4"/>
    <x v="0"/>
    <n v="5"/>
    <x v="1"/>
    <x v="1"/>
  </r>
  <r>
    <d v="2019-10-02T00:00:00"/>
    <x v="1"/>
    <n v="6552"/>
    <x v="7"/>
    <x v="0"/>
    <n v="1"/>
    <x v="11"/>
    <x v="0"/>
    <n v="3"/>
    <x v="1"/>
    <x v="1"/>
  </r>
  <r>
    <d v="2019-10-02T00:00:00"/>
    <x v="1"/>
    <n v="6552"/>
    <x v="7"/>
    <x v="0"/>
    <n v="1"/>
    <x v="24"/>
    <x v="0"/>
    <n v="2"/>
    <x v="1"/>
    <x v="1"/>
  </r>
  <r>
    <d v="2019-10-02T00:00:00"/>
    <x v="1"/>
    <n v="6552"/>
    <x v="7"/>
    <x v="0"/>
    <n v="1"/>
    <x v="13"/>
    <x v="0"/>
    <n v="1"/>
    <x v="1"/>
    <x v="1"/>
  </r>
  <r>
    <d v="2019-10-02T00:00:00"/>
    <x v="1"/>
    <n v="7309"/>
    <x v="5"/>
    <x v="1"/>
    <n v="1"/>
    <x v="4"/>
    <x v="0"/>
    <n v="4"/>
    <x v="1"/>
    <x v="1"/>
  </r>
  <r>
    <d v="2019-10-02T00:00:00"/>
    <x v="1"/>
    <n v="7309"/>
    <x v="5"/>
    <x v="1"/>
    <n v="1"/>
    <x v="0"/>
    <x v="0"/>
    <n v="2"/>
    <x v="1"/>
    <x v="1"/>
  </r>
  <r>
    <d v="2019-10-02T00:00:00"/>
    <x v="1"/>
    <n v="7309"/>
    <x v="5"/>
    <x v="1"/>
    <n v="1"/>
    <x v="1"/>
    <x v="0"/>
    <n v="4"/>
    <x v="1"/>
    <x v="1"/>
  </r>
  <r>
    <d v="2019-10-02T00:00:00"/>
    <x v="1"/>
    <n v="7309"/>
    <x v="5"/>
    <x v="1"/>
    <n v="1"/>
    <x v="2"/>
    <x v="0"/>
    <n v="1"/>
    <x v="1"/>
    <x v="1"/>
  </r>
  <r>
    <d v="2019-10-02T00:00:00"/>
    <x v="1"/>
    <n v="7309"/>
    <x v="5"/>
    <x v="1"/>
    <n v="1"/>
    <x v="7"/>
    <x v="0"/>
    <n v="4"/>
    <x v="1"/>
    <x v="1"/>
  </r>
  <r>
    <d v="2019-10-02T00:00:00"/>
    <x v="1"/>
    <n v="7309"/>
    <x v="5"/>
    <x v="1"/>
    <n v="1"/>
    <x v="13"/>
    <x v="0"/>
    <n v="5"/>
    <x v="1"/>
    <x v="1"/>
  </r>
  <r>
    <d v="2019-10-02T00:00:00"/>
    <x v="1"/>
    <n v="7309"/>
    <x v="5"/>
    <x v="1"/>
    <n v="1"/>
    <x v="3"/>
    <x v="0"/>
    <n v="6"/>
    <x v="1"/>
    <x v="1"/>
  </r>
  <r>
    <d v="2019-10-02T00:00:00"/>
    <x v="1"/>
    <n v="7309"/>
    <x v="5"/>
    <x v="1"/>
    <n v="1"/>
    <x v="9"/>
    <x v="0"/>
    <n v="3"/>
    <x v="1"/>
    <x v="1"/>
  </r>
  <r>
    <d v="2019-10-02T00:00:00"/>
    <x v="1"/>
    <n v="7309"/>
    <x v="5"/>
    <x v="1"/>
    <n v="2"/>
    <x v="7"/>
    <x v="0"/>
    <n v="5"/>
    <x v="1"/>
    <x v="1"/>
  </r>
  <r>
    <d v="2019-10-02T00:00:00"/>
    <x v="1"/>
    <n v="7309"/>
    <x v="5"/>
    <x v="1"/>
    <n v="2"/>
    <x v="9"/>
    <x v="0"/>
    <n v="2"/>
    <x v="1"/>
    <x v="1"/>
  </r>
  <r>
    <d v="2019-10-02T00:00:00"/>
    <x v="1"/>
    <n v="7309"/>
    <x v="5"/>
    <x v="0"/>
    <n v="1"/>
    <x v="12"/>
    <x v="0"/>
    <n v="28"/>
    <x v="1"/>
    <x v="1"/>
  </r>
  <r>
    <d v="2019-10-02T00:00:00"/>
    <x v="1"/>
    <n v="7309"/>
    <x v="5"/>
    <x v="0"/>
    <n v="1"/>
    <x v="20"/>
    <x v="0"/>
    <n v="4"/>
    <x v="1"/>
    <x v="1"/>
  </r>
  <r>
    <d v="2019-10-02T00:00:00"/>
    <x v="1"/>
    <n v="7309"/>
    <x v="5"/>
    <x v="0"/>
    <n v="1"/>
    <x v="2"/>
    <x v="0"/>
    <n v="9"/>
    <x v="1"/>
    <x v="1"/>
  </r>
  <r>
    <d v="2019-10-02T00:00:00"/>
    <x v="1"/>
    <n v="7309"/>
    <x v="5"/>
    <x v="0"/>
    <n v="1"/>
    <x v="21"/>
    <x v="0"/>
    <n v="35"/>
    <x v="1"/>
    <x v="1"/>
  </r>
  <r>
    <d v="2019-10-02T00:00:00"/>
    <x v="1"/>
    <n v="7309"/>
    <x v="5"/>
    <x v="0"/>
    <n v="1"/>
    <x v="17"/>
    <x v="0"/>
    <n v="3"/>
    <x v="1"/>
    <x v="1"/>
  </r>
  <r>
    <d v="2019-10-02T00:00:00"/>
    <x v="1"/>
    <n v="7311"/>
    <x v="25"/>
    <x v="1"/>
    <n v="1"/>
    <x v="11"/>
    <x v="0"/>
    <n v="2"/>
    <x v="1"/>
    <x v="1"/>
  </r>
  <r>
    <d v="2019-10-02T00:00:00"/>
    <x v="1"/>
    <n v="7311"/>
    <x v="25"/>
    <x v="1"/>
    <n v="1"/>
    <x v="5"/>
    <x v="0"/>
    <n v="4"/>
    <x v="1"/>
    <x v="1"/>
  </r>
  <r>
    <d v="2019-10-02T00:00:00"/>
    <x v="1"/>
    <n v="7311"/>
    <x v="25"/>
    <x v="1"/>
    <n v="1"/>
    <x v="2"/>
    <x v="0"/>
    <n v="25"/>
    <x v="1"/>
    <x v="1"/>
  </r>
  <r>
    <d v="2019-10-02T00:00:00"/>
    <x v="1"/>
    <n v="7311"/>
    <x v="25"/>
    <x v="1"/>
    <n v="1"/>
    <x v="13"/>
    <x v="0"/>
    <n v="12"/>
    <x v="1"/>
    <x v="1"/>
  </r>
  <r>
    <d v="2019-10-02T00:00:00"/>
    <x v="1"/>
    <n v="7311"/>
    <x v="25"/>
    <x v="1"/>
    <n v="1"/>
    <x v="3"/>
    <x v="0"/>
    <n v="1"/>
    <x v="1"/>
    <x v="1"/>
  </r>
  <r>
    <d v="2019-10-02T00:00:00"/>
    <x v="1"/>
    <n v="7311"/>
    <x v="25"/>
    <x v="1"/>
    <n v="1"/>
    <x v="19"/>
    <x v="0"/>
    <n v="12"/>
    <x v="1"/>
    <x v="1"/>
  </r>
  <r>
    <d v="2019-10-02T00:00:00"/>
    <x v="1"/>
    <n v="7311"/>
    <x v="25"/>
    <x v="1"/>
    <n v="1"/>
    <x v="17"/>
    <x v="0"/>
    <n v="3"/>
    <x v="1"/>
    <x v="1"/>
  </r>
  <r>
    <d v="2019-10-02T00:00:00"/>
    <x v="1"/>
    <n v="7311"/>
    <x v="25"/>
    <x v="0"/>
    <n v="1"/>
    <x v="4"/>
    <x v="0"/>
    <n v="2"/>
    <x v="1"/>
    <x v="1"/>
  </r>
  <r>
    <d v="2019-10-02T00:00:00"/>
    <x v="1"/>
    <n v="7311"/>
    <x v="25"/>
    <x v="0"/>
    <n v="1"/>
    <x v="0"/>
    <x v="0"/>
    <n v="2"/>
    <x v="1"/>
    <x v="1"/>
  </r>
  <r>
    <d v="2019-10-02T00:00:00"/>
    <x v="1"/>
    <n v="7311"/>
    <x v="25"/>
    <x v="0"/>
    <n v="1"/>
    <x v="11"/>
    <x v="0"/>
    <n v="2"/>
    <x v="1"/>
    <x v="1"/>
  </r>
  <r>
    <d v="2019-10-02T00:00:00"/>
    <x v="1"/>
    <n v="7311"/>
    <x v="25"/>
    <x v="0"/>
    <n v="1"/>
    <x v="15"/>
    <x v="0"/>
    <n v="1"/>
    <x v="1"/>
    <x v="1"/>
  </r>
  <r>
    <d v="2019-10-02T00:00:00"/>
    <x v="1"/>
    <n v="7311"/>
    <x v="25"/>
    <x v="0"/>
    <n v="1"/>
    <x v="5"/>
    <x v="0"/>
    <n v="3"/>
    <x v="1"/>
    <x v="1"/>
  </r>
  <r>
    <d v="2019-10-02T00:00:00"/>
    <x v="1"/>
    <n v="7311"/>
    <x v="25"/>
    <x v="0"/>
    <n v="1"/>
    <x v="2"/>
    <x v="0"/>
    <n v="2"/>
    <x v="1"/>
    <x v="1"/>
  </r>
  <r>
    <d v="2019-10-02T00:00:00"/>
    <x v="1"/>
    <n v="7311"/>
    <x v="25"/>
    <x v="0"/>
    <n v="1"/>
    <x v="6"/>
    <x v="0"/>
    <n v="3"/>
    <x v="1"/>
    <x v="1"/>
  </r>
  <r>
    <d v="2019-10-02T00:00:00"/>
    <x v="1"/>
    <n v="7311"/>
    <x v="25"/>
    <x v="0"/>
    <n v="1"/>
    <x v="25"/>
    <x v="0"/>
    <n v="1"/>
    <x v="1"/>
    <x v="1"/>
  </r>
  <r>
    <d v="2019-10-02T00:00:00"/>
    <x v="1"/>
    <n v="7311"/>
    <x v="25"/>
    <x v="0"/>
    <n v="1"/>
    <x v="34"/>
    <x v="0"/>
    <n v="7"/>
    <x v="1"/>
    <x v="1"/>
  </r>
  <r>
    <d v="2019-10-02T00:00:00"/>
    <x v="1"/>
    <n v="7311"/>
    <x v="25"/>
    <x v="0"/>
    <n v="1"/>
    <x v="7"/>
    <x v="0"/>
    <n v="14"/>
    <x v="1"/>
    <x v="1"/>
  </r>
  <r>
    <d v="2019-10-02T00:00:00"/>
    <x v="1"/>
    <n v="7311"/>
    <x v="25"/>
    <x v="0"/>
    <n v="1"/>
    <x v="13"/>
    <x v="0"/>
    <n v="18"/>
    <x v="1"/>
    <x v="1"/>
  </r>
  <r>
    <d v="2019-10-02T00:00:00"/>
    <x v="1"/>
    <n v="7311"/>
    <x v="25"/>
    <x v="0"/>
    <n v="1"/>
    <x v="3"/>
    <x v="0"/>
    <n v="3"/>
    <x v="1"/>
    <x v="1"/>
  </r>
  <r>
    <d v="2019-10-02T00:00:00"/>
    <x v="1"/>
    <n v="7311"/>
    <x v="25"/>
    <x v="0"/>
    <n v="1"/>
    <x v="9"/>
    <x v="0"/>
    <n v="2"/>
    <x v="1"/>
    <x v="1"/>
  </r>
  <r>
    <d v="2019-10-02T00:00:00"/>
    <x v="1"/>
    <n v="7311"/>
    <x v="25"/>
    <x v="0"/>
    <n v="2"/>
    <x v="4"/>
    <x v="0"/>
    <n v="10"/>
    <x v="1"/>
    <x v="1"/>
  </r>
  <r>
    <d v="2019-10-02T00:00:00"/>
    <x v="1"/>
    <n v="7311"/>
    <x v="25"/>
    <x v="0"/>
    <n v="2"/>
    <x v="11"/>
    <x v="0"/>
    <n v="5"/>
    <x v="1"/>
    <x v="1"/>
  </r>
  <r>
    <d v="2019-10-02T00:00:00"/>
    <x v="1"/>
    <n v="7311"/>
    <x v="25"/>
    <x v="0"/>
    <n v="2"/>
    <x v="5"/>
    <x v="0"/>
    <n v="4"/>
    <x v="1"/>
    <x v="1"/>
  </r>
  <r>
    <d v="2019-10-02T00:00:00"/>
    <x v="1"/>
    <n v="7311"/>
    <x v="25"/>
    <x v="0"/>
    <n v="2"/>
    <x v="13"/>
    <x v="0"/>
    <n v="10"/>
    <x v="1"/>
    <x v="1"/>
  </r>
  <r>
    <d v="2019-10-02T00:00:00"/>
    <x v="1"/>
    <n v="7311"/>
    <x v="25"/>
    <x v="0"/>
    <n v="2"/>
    <x v="3"/>
    <x v="0"/>
    <n v="2"/>
    <x v="1"/>
    <x v="1"/>
  </r>
  <r>
    <d v="2019-10-02T00:00:00"/>
    <x v="1"/>
    <n v="7311"/>
    <x v="25"/>
    <x v="1"/>
    <n v="1"/>
    <x v="4"/>
    <x v="1"/>
    <n v="14"/>
    <x v="1"/>
    <x v="1"/>
  </r>
  <r>
    <d v="2019-10-02T00:00:00"/>
    <x v="1"/>
    <n v="7311"/>
    <x v="25"/>
    <x v="1"/>
    <n v="1"/>
    <x v="11"/>
    <x v="1"/>
    <n v="18"/>
    <x v="1"/>
    <x v="1"/>
  </r>
  <r>
    <d v="2019-10-02T00:00:00"/>
    <x v="1"/>
    <n v="7311"/>
    <x v="25"/>
    <x v="1"/>
    <n v="1"/>
    <x v="5"/>
    <x v="1"/>
    <n v="1"/>
    <x v="1"/>
    <x v="1"/>
  </r>
  <r>
    <d v="2019-10-02T00:00:00"/>
    <x v="1"/>
    <n v="7311"/>
    <x v="25"/>
    <x v="1"/>
    <n v="1"/>
    <x v="2"/>
    <x v="1"/>
    <n v="1"/>
    <x v="1"/>
    <x v="1"/>
  </r>
  <r>
    <d v="2019-10-02T00:00:00"/>
    <x v="1"/>
    <n v="7311"/>
    <x v="25"/>
    <x v="1"/>
    <n v="1"/>
    <x v="26"/>
    <x v="1"/>
    <n v="3"/>
    <x v="1"/>
    <x v="1"/>
  </r>
  <r>
    <d v="2019-10-02T00:00:00"/>
    <x v="1"/>
    <n v="7311"/>
    <x v="25"/>
    <x v="1"/>
    <n v="1"/>
    <x v="7"/>
    <x v="1"/>
    <n v="8"/>
    <x v="1"/>
    <x v="1"/>
  </r>
  <r>
    <d v="2019-10-02T00:00:00"/>
    <x v="1"/>
    <n v="7311"/>
    <x v="25"/>
    <x v="1"/>
    <n v="1"/>
    <x v="13"/>
    <x v="1"/>
    <n v="6"/>
    <x v="1"/>
    <x v="1"/>
  </r>
  <r>
    <d v="2019-10-02T00:00:00"/>
    <x v="1"/>
    <n v="7311"/>
    <x v="25"/>
    <x v="1"/>
    <n v="1"/>
    <x v="3"/>
    <x v="1"/>
    <n v="1"/>
    <x v="1"/>
    <x v="1"/>
  </r>
  <r>
    <d v="2019-10-02T00:00:00"/>
    <x v="1"/>
    <n v="7311"/>
    <x v="25"/>
    <x v="1"/>
    <n v="1"/>
    <x v="9"/>
    <x v="1"/>
    <n v="3"/>
    <x v="1"/>
    <x v="1"/>
  </r>
  <r>
    <d v="2019-10-02T00:00:00"/>
    <x v="1"/>
    <n v="7311"/>
    <x v="25"/>
    <x v="1"/>
    <n v="1"/>
    <x v="10"/>
    <x v="1"/>
    <n v="4"/>
    <x v="1"/>
    <x v="1"/>
  </r>
  <r>
    <d v="2019-10-02T00:00:00"/>
    <x v="1"/>
    <n v="7311"/>
    <x v="25"/>
    <x v="0"/>
    <n v="1"/>
    <x v="18"/>
    <x v="1"/>
    <n v="30"/>
    <x v="1"/>
    <x v="1"/>
  </r>
  <r>
    <d v="2019-10-02T00:00:00"/>
    <x v="1"/>
    <n v="7311"/>
    <x v="25"/>
    <x v="0"/>
    <n v="1"/>
    <x v="23"/>
    <x v="1"/>
    <n v="11"/>
    <x v="1"/>
    <x v="1"/>
  </r>
  <r>
    <d v="2019-10-02T00:00:00"/>
    <x v="1"/>
    <n v="7311"/>
    <x v="25"/>
    <x v="0"/>
    <n v="1"/>
    <x v="21"/>
    <x v="1"/>
    <n v="33"/>
    <x v="1"/>
    <x v="1"/>
  </r>
  <r>
    <d v="2019-10-02T00:00:00"/>
    <x v="1"/>
    <n v="7317"/>
    <x v="1"/>
    <x v="0"/>
    <n v="1"/>
    <x v="20"/>
    <x v="0"/>
    <n v="32"/>
    <x v="1"/>
    <x v="1"/>
  </r>
  <r>
    <d v="2019-10-02T00:00:00"/>
    <x v="1"/>
    <n v="7317"/>
    <x v="1"/>
    <x v="0"/>
    <n v="1"/>
    <x v="36"/>
    <x v="0"/>
    <n v="12"/>
    <x v="1"/>
    <x v="1"/>
  </r>
  <r>
    <d v="2019-10-02T00:00:00"/>
    <x v="1"/>
    <n v="7317"/>
    <x v="1"/>
    <x v="0"/>
    <n v="1"/>
    <x v="23"/>
    <x v="0"/>
    <n v="1"/>
    <x v="1"/>
    <x v="1"/>
  </r>
  <r>
    <d v="2019-10-02T00:00:00"/>
    <x v="1"/>
    <n v="7317"/>
    <x v="1"/>
    <x v="0"/>
    <n v="1"/>
    <x v="3"/>
    <x v="0"/>
    <n v="4"/>
    <x v="1"/>
    <x v="1"/>
  </r>
  <r>
    <d v="2019-10-02T00:00:00"/>
    <x v="1"/>
    <n v="7317"/>
    <x v="1"/>
    <x v="1"/>
    <n v="1"/>
    <x v="0"/>
    <x v="1"/>
    <n v="5"/>
    <x v="1"/>
    <x v="1"/>
  </r>
  <r>
    <d v="2019-10-02T00:00:00"/>
    <x v="1"/>
    <n v="7317"/>
    <x v="1"/>
    <x v="1"/>
    <n v="1"/>
    <x v="11"/>
    <x v="1"/>
    <n v="6"/>
    <x v="1"/>
    <x v="1"/>
  </r>
  <r>
    <d v="2019-10-02T00:00:00"/>
    <x v="1"/>
    <n v="7317"/>
    <x v="1"/>
    <x v="1"/>
    <n v="1"/>
    <x v="5"/>
    <x v="1"/>
    <n v="2"/>
    <x v="1"/>
    <x v="1"/>
  </r>
  <r>
    <d v="2019-10-02T00:00:00"/>
    <x v="1"/>
    <n v="7317"/>
    <x v="1"/>
    <x v="1"/>
    <n v="1"/>
    <x v="6"/>
    <x v="1"/>
    <n v="2"/>
    <x v="1"/>
    <x v="1"/>
  </r>
  <r>
    <d v="2019-10-02T00:00:00"/>
    <x v="1"/>
    <n v="7317"/>
    <x v="1"/>
    <x v="1"/>
    <n v="1"/>
    <x v="7"/>
    <x v="1"/>
    <n v="15"/>
    <x v="1"/>
    <x v="1"/>
  </r>
  <r>
    <d v="2019-10-02T00:00:00"/>
    <x v="1"/>
    <n v="7317"/>
    <x v="1"/>
    <x v="1"/>
    <n v="1"/>
    <x v="13"/>
    <x v="1"/>
    <n v="4"/>
    <x v="1"/>
    <x v="1"/>
  </r>
  <r>
    <d v="2019-10-02T00:00:00"/>
    <x v="1"/>
    <n v="7317"/>
    <x v="1"/>
    <x v="1"/>
    <n v="1"/>
    <x v="3"/>
    <x v="1"/>
    <n v="3"/>
    <x v="1"/>
    <x v="1"/>
  </r>
  <r>
    <d v="2019-10-02T00:00:00"/>
    <x v="1"/>
    <n v="7317"/>
    <x v="1"/>
    <x v="1"/>
    <n v="1"/>
    <x v="9"/>
    <x v="1"/>
    <n v="10"/>
    <x v="1"/>
    <x v="1"/>
  </r>
  <r>
    <d v="2019-10-02T00:00:00"/>
    <x v="1"/>
    <n v="7317"/>
    <x v="1"/>
    <x v="1"/>
    <n v="1"/>
    <x v="10"/>
    <x v="1"/>
    <n v="2"/>
    <x v="1"/>
    <x v="1"/>
  </r>
  <r>
    <d v="2019-10-02T00:00:00"/>
    <x v="1"/>
    <n v="8312"/>
    <x v="9"/>
    <x v="1"/>
    <n v="1"/>
    <x v="4"/>
    <x v="0"/>
    <n v="9"/>
    <x v="1"/>
    <x v="1"/>
  </r>
  <r>
    <d v="2019-10-02T00:00:00"/>
    <x v="1"/>
    <n v="8312"/>
    <x v="9"/>
    <x v="1"/>
    <n v="1"/>
    <x v="0"/>
    <x v="0"/>
    <n v="2"/>
    <x v="1"/>
    <x v="1"/>
  </r>
  <r>
    <d v="2019-10-02T00:00:00"/>
    <x v="1"/>
    <n v="8312"/>
    <x v="9"/>
    <x v="1"/>
    <n v="1"/>
    <x v="11"/>
    <x v="0"/>
    <n v="5"/>
    <x v="1"/>
    <x v="1"/>
  </r>
  <r>
    <d v="2019-10-02T00:00:00"/>
    <x v="1"/>
    <n v="8312"/>
    <x v="9"/>
    <x v="1"/>
    <n v="1"/>
    <x v="5"/>
    <x v="0"/>
    <n v="3"/>
    <x v="1"/>
    <x v="1"/>
  </r>
  <r>
    <d v="2019-10-02T00:00:00"/>
    <x v="1"/>
    <n v="8312"/>
    <x v="9"/>
    <x v="1"/>
    <n v="1"/>
    <x v="2"/>
    <x v="0"/>
    <n v="1"/>
    <x v="1"/>
    <x v="1"/>
  </r>
  <r>
    <d v="2019-10-02T00:00:00"/>
    <x v="1"/>
    <n v="8312"/>
    <x v="9"/>
    <x v="1"/>
    <n v="1"/>
    <x v="6"/>
    <x v="0"/>
    <n v="4"/>
    <x v="1"/>
    <x v="1"/>
  </r>
  <r>
    <d v="2019-10-02T00:00:00"/>
    <x v="1"/>
    <n v="8312"/>
    <x v="9"/>
    <x v="1"/>
    <n v="1"/>
    <x v="13"/>
    <x v="0"/>
    <n v="5"/>
    <x v="1"/>
    <x v="1"/>
  </r>
  <r>
    <d v="2019-10-02T00:00:00"/>
    <x v="1"/>
    <n v="8312"/>
    <x v="9"/>
    <x v="1"/>
    <n v="1"/>
    <x v="3"/>
    <x v="0"/>
    <n v="7"/>
    <x v="1"/>
    <x v="1"/>
  </r>
  <r>
    <d v="2019-10-02T00:00:00"/>
    <x v="1"/>
    <n v="8312"/>
    <x v="9"/>
    <x v="1"/>
    <n v="1"/>
    <x v="10"/>
    <x v="0"/>
    <n v="7"/>
    <x v="1"/>
    <x v="1"/>
  </r>
  <r>
    <d v="2019-10-02T00:00:00"/>
    <x v="1"/>
    <n v="8312"/>
    <x v="9"/>
    <x v="0"/>
    <n v="1"/>
    <x v="24"/>
    <x v="0"/>
    <n v="12"/>
    <x v="1"/>
    <x v="1"/>
  </r>
  <r>
    <d v="2019-10-02T00:00:00"/>
    <x v="1"/>
    <n v="8312"/>
    <x v="9"/>
    <x v="0"/>
    <n v="2"/>
    <x v="16"/>
    <x v="0"/>
    <n v="11"/>
    <x v="1"/>
    <x v="1"/>
  </r>
  <r>
    <d v="2019-10-02T00:00:00"/>
    <x v="1"/>
    <n v="8312"/>
    <x v="9"/>
    <x v="0"/>
    <n v="2"/>
    <x v="17"/>
    <x v="0"/>
    <n v="32"/>
    <x v="1"/>
    <x v="1"/>
  </r>
  <r>
    <d v="2019-10-02T00:00:00"/>
    <x v="1"/>
    <n v="8312"/>
    <x v="9"/>
    <x v="1"/>
    <n v="1"/>
    <x v="4"/>
    <x v="0"/>
    <n v="9"/>
    <x v="1"/>
    <x v="1"/>
  </r>
  <r>
    <d v="2019-10-02T00:00:00"/>
    <x v="1"/>
    <n v="8312"/>
    <x v="9"/>
    <x v="1"/>
    <n v="1"/>
    <x v="0"/>
    <x v="0"/>
    <n v="2"/>
    <x v="1"/>
    <x v="1"/>
  </r>
  <r>
    <d v="2019-10-02T00:00:00"/>
    <x v="1"/>
    <n v="8312"/>
    <x v="9"/>
    <x v="1"/>
    <n v="1"/>
    <x v="11"/>
    <x v="0"/>
    <n v="5"/>
    <x v="1"/>
    <x v="1"/>
  </r>
  <r>
    <d v="2019-10-02T00:00:00"/>
    <x v="1"/>
    <n v="8312"/>
    <x v="9"/>
    <x v="1"/>
    <n v="1"/>
    <x v="5"/>
    <x v="0"/>
    <n v="3"/>
    <x v="1"/>
    <x v="1"/>
  </r>
  <r>
    <d v="2019-10-02T00:00:00"/>
    <x v="1"/>
    <n v="8312"/>
    <x v="9"/>
    <x v="1"/>
    <n v="1"/>
    <x v="13"/>
    <x v="0"/>
    <n v="5"/>
    <x v="1"/>
    <x v="1"/>
  </r>
  <r>
    <d v="2019-10-02T00:00:00"/>
    <x v="1"/>
    <n v="8312"/>
    <x v="9"/>
    <x v="1"/>
    <n v="1"/>
    <x v="3"/>
    <x v="0"/>
    <n v="5"/>
    <x v="1"/>
    <x v="1"/>
  </r>
  <r>
    <d v="2019-10-02T00:00:00"/>
    <x v="1"/>
    <n v="8312"/>
    <x v="9"/>
    <x v="1"/>
    <n v="1"/>
    <x v="10"/>
    <x v="0"/>
    <n v="1"/>
    <x v="1"/>
    <x v="1"/>
  </r>
  <r>
    <d v="2019-10-02T00:00:00"/>
    <x v="1"/>
    <n v="8312"/>
    <x v="9"/>
    <x v="1"/>
    <n v="2"/>
    <x v="2"/>
    <x v="0"/>
    <n v="1"/>
    <x v="1"/>
    <x v="1"/>
  </r>
  <r>
    <d v="2019-10-02T00:00:00"/>
    <x v="1"/>
    <n v="8312"/>
    <x v="9"/>
    <x v="1"/>
    <n v="2"/>
    <x v="6"/>
    <x v="0"/>
    <n v="4"/>
    <x v="1"/>
    <x v="1"/>
  </r>
  <r>
    <d v="2019-10-02T00:00:00"/>
    <x v="1"/>
    <n v="8312"/>
    <x v="9"/>
    <x v="1"/>
    <n v="2"/>
    <x v="3"/>
    <x v="0"/>
    <n v="2"/>
    <x v="1"/>
    <x v="1"/>
  </r>
  <r>
    <d v="2019-10-02T00:00:00"/>
    <x v="1"/>
    <n v="8312"/>
    <x v="9"/>
    <x v="1"/>
    <n v="2"/>
    <x v="10"/>
    <x v="0"/>
    <n v="6"/>
    <x v="1"/>
    <x v="1"/>
  </r>
  <r>
    <d v="2019-10-02T00:00:00"/>
    <x v="1"/>
    <n v="8312"/>
    <x v="9"/>
    <x v="0"/>
    <n v="1"/>
    <x v="16"/>
    <x v="0"/>
    <n v="11"/>
    <x v="1"/>
    <x v="1"/>
  </r>
  <r>
    <d v="2019-10-02T00:00:00"/>
    <x v="1"/>
    <n v="8312"/>
    <x v="9"/>
    <x v="0"/>
    <n v="1"/>
    <x v="17"/>
    <x v="0"/>
    <n v="32"/>
    <x v="1"/>
    <x v="1"/>
  </r>
  <r>
    <d v="2019-10-02T00:00:00"/>
    <x v="1"/>
    <n v="8312"/>
    <x v="9"/>
    <x v="1"/>
    <n v="1"/>
    <x v="18"/>
    <x v="1"/>
    <n v="12"/>
    <x v="1"/>
    <x v="1"/>
  </r>
  <r>
    <d v="2019-10-02T00:00:00"/>
    <x v="1"/>
    <n v="8312"/>
    <x v="9"/>
    <x v="1"/>
    <n v="1"/>
    <x v="1"/>
    <x v="1"/>
    <n v="10"/>
    <x v="1"/>
    <x v="1"/>
  </r>
  <r>
    <d v="2019-10-02T00:00:00"/>
    <x v="1"/>
    <n v="8312"/>
    <x v="9"/>
    <x v="1"/>
    <n v="1"/>
    <x v="7"/>
    <x v="1"/>
    <n v="3"/>
    <x v="1"/>
    <x v="1"/>
  </r>
  <r>
    <d v="2019-10-02T00:00:00"/>
    <x v="1"/>
    <n v="8312"/>
    <x v="9"/>
    <x v="1"/>
    <n v="1"/>
    <x v="13"/>
    <x v="1"/>
    <n v="3"/>
    <x v="1"/>
    <x v="1"/>
  </r>
  <r>
    <d v="2019-10-02T00:00:00"/>
    <x v="1"/>
    <n v="8312"/>
    <x v="9"/>
    <x v="1"/>
    <n v="2"/>
    <x v="0"/>
    <x v="1"/>
    <n v="13"/>
    <x v="1"/>
    <x v="1"/>
  </r>
  <r>
    <d v="2019-10-02T00:00:00"/>
    <x v="1"/>
    <n v="8312"/>
    <x v="9"/>
    <x v="1"/>
    <n v="2"/>
    <x v="29"/>
    <x v="1"/>
    <n v="2"/>
    <x v="1"/>
    <x v="1"/>
  </r>
  <r>
    <d v="2019-10-02T00:00:00"/>
    <x v="1"/>
    <n v="9308"/>
    <x v="8"/>
    <x v="1"/>
    <n v="1"/>
    <x v="4"/>
    <x v="0"/>
    <n v="23"/>
    <x v="1"/>
    <x v="1"/>
  </r>
  <r>
    <d v="2019-10-02T00:00:00"/>
    <x v="1"/>
    <n v="9308"/>
    <x v="8"/>
    <x v="1"/>
    <n v="1"/>
    <x v="0"/>
    <x v="0"/>
    <n v="1"/>
    <x v="1"/>
    <x v="1"/>
  </r>
  <r>
    <d v="2019-10-02T00:00:00"/>
    <x v="1"/>
    <n v="9308"/>
    <x v="8"/>
    <x v="1"/>
    <n v="1"/>
    <x v="11"/>
    <x v="0"/>
    <n v="1"/>
    <x v="1"/>
    <x v="1"/>
  </r>
  <r>
    <d v="2019-10-02T00:00:00"/>
    <x v="1"/>
    <n v="9308"/>
    <x v="8"/>
    <x v="1"/>
    <n v="1"/>
    <x v="1"/>
    <x v="0"/>
    <n v="3"/>
    <x v="1"/>
    <x v="1"/>
  </r>
  <r>
    <d v="2019-10-02T00:00:00"/>
    <x v="1"/>
    <n v="9308"/>
    <x v="8"/>
    <x v="1"/>
    <n v="1"/>
    <x v="2"/>
    <x v="0"/>
    <n v="1"/>
    <x v="1"/>
    <x v="1"/>
  </r>
  <r>
    <d v="2019-10-02T00:00:00"/>
    <x v="1"/>
    <n v="9308"/>
    <x v="8"/>
    <x v="1"/>
    <n v="1"/>
    <x v="6"/>
    <x v="0"/>
    <n v="4"/>
    <x v="1"/>
    <x v="1"/>
  </r>
  <r>
    <d v="2019-10-02T00:00:00"/>
    <x v="1"/>
    <n v="9308"/>
    <x v="8"/>
    <x v="1"/>
    <n v="1"/>
    <x v="7"/>
    <x v="0"/>
    <n v="9"/>
    <x v="1"/>
    <x v="1"/>
  </r>
  <r>
    <d v="2019-10-02T00:00:00"/>
    <x v="1"/>
    <n v="9308"/>
    <x v="8"/>
    <x v="1"/>
    <n v="1"/>
    <x v="9"/>
    <x v="0"/>
    <n v="5"/>
    <x v="1"/>
    <x v="1"/>
  </r>
  <r>
    <d v="2019-10-02T00:00:00"/>
    <x v="1"/>
    <n v="9308"/>
    <x v="8"/>
    <x v="1"/>
    <n v="2"/>
    <x v="6"/>
    <x v="0"/>
    <n v="7"/>
    <x v="1"/>
    <x v="1"/>
  </r>
  <r>
    <d v="2019-10-02T00:00:00"/>
    <x v="1"/>
    <n v="9308"/>
    <x v="8"/>
    <x v="1"/>
    <n v="2"/>
    <x v="9"/>
    <x v="0"/>
    <n v="1"/>
    <x v="1"/>
    <x v="1"/>
  </r>
  <r>
    <d v="2019-10-02T00:00:00"/>
    <x v="1"/>
    <n v="9308"/>
    <x v="8"/>
    <x v="0"/>
    <n v="1"/>
    <x v="0"/>
    <x v="0"/>
    <n v="10"/>
    <x v="1"/>
    <x v="1"/>
  </r>
  <r>
    <d v="2019-10-02T00:00:00"/>
    <x v="1"/>
    <n v="9308"/>
    <x v="8"/>
    <x v="0"/>
    <n v="1"/>
    <x v="12"/>
    <x v="0"/>
    <n v="4"/>
    <x v="1"/>
    <x v="1"/>
  </r>
  <r>
    <d v="2019-10-02T00:00:00"/>
    <x v="1"/>
    <n v="9308"/>
    <x v="8"/>
    <x v="0"/>
    <n v="1"/>
    <x v="20"/>
    <x v="0"/>
    <n v="13"/>
    <x v="1"/>
    <x v="1"/>
  </r>
  <r>
    <d v="2019-10-02T00:00:00"/>
    <x v="1"/>
    <n v="9308"/>
    <x v="8"/>
    <x v="0"/>
    <n v="1"/>
    <x v="2"/>
    <x v="0"/>
    <n v="31"/>
    <x v="1"/>
    <x v="1"/>
  </r>
  <r>
    <d v="2019-10-02T00:00:00"/>
    <x v="1"/>
    <n v="9308"/>
    <x v="8"/>
    <x v="0"/>
    <n v="1"/>
    <x v="26"/>
    <x v="0"/>
    <n v="25"/>
    <x v="1"/>
    <x v="1"/>
  </r>
  <r>
    <d v="2019-10-02T00:00:00"/>
    <x v="1"/>
    <n v="9308"/>
    <x v="8"/>
    <x v="0"/>
    <n v="1"/>
    <x v="7"/>
    <x v="0"/>
    <n v="3"/>
    <x v="1"/>
    <x v="1"/>
  </r>
  <r>
    <d v="2019-10-02T00:00:00"/>
    <x v="1"/>
    <n v="9308"/>
    <x v="8"/>
    <x v="0"/>
    <n v="1"/>
    <x v="13"/>
    <x v="0"/>
    <n v="12"/>
    <x v="1"/>
    <x v="1"/>
  </r>
  <r>
    <d v="2019-10-02T00:00:00"/>
    <x v="1"/>
    <n v="9308"/>
    <x v="8"/>
    <x v="0"/>
    <n v="1"/>
    <x v="3"/>
    <x v="0"/>
    <n v="6"/>
    <x v="1"/>
    <x v="1"/>
  </r>
  <r>
    <d v="2019-10-02T00:00:00"/>
    <x v="1"/>
    <n v="9308"/>
    <x v="8"/>
    <x v="0"/>
    <n v="2"/>
    <x v="3"/>
    <x v="0"/>
    <n v="1"/>
    <x v="1"/>
    <x v="1"/>
  </r>
  <r>
    <d v="2019-10-02T00:00:00"/>
    <x v="1"/>
    <n v="9308"/>
    <x v="8"/>
    <x v="1"/>
    <n v="1"/>
    <x v="4"/>
    <x v="0"/>
    <n v="22"/>
    <x v="1"/>
    <x v="1"/>
  </r>
  <r>
    <d v="2019-10-02T00:00:00"/>
    <x v="1"/>
    <n v="9308"/>
    <x v="8"/>
    <x v="1"/>
    <n v="1"/>
    <x v="0"/>
    <x v="0"/>
    <n v="1"/>
    <x v="1"/>
    <x v="1"/>
  </r>
  <r>
    <d v="2019-10-02T00:00:00"/>
    <x v="1"/>
    <n v="9308"/>
    <x v="8"/>
    <x v="1"/>
    <n v="1"/>
    <x v="11"/>
    <x v="0"/>
    <n v="3"/>
    <x v="1"/>
    <x v="1"/>
  </r>
  <r>
    <d v="2019-10-02T00:00:00"/>
    <x v="1"/>
    <n v="9308"/>
    <x v="8"/>
    <x v="1"/>
    <n v="1"/>
    <x v="1"/>
    <x v="0"/>
    <n v="4"/>
    <x v="1"/>
    <x v="1"/>
  </r>
  <r>
    <d v="2019-10-02T00:00:00"/>
    <x v="1"/>
    <n v="9308"/>
    <x v="8"/>
    <x v="1"/>
    <n v="1"/>
    <x v="2"/>
    <x v="0"/>
    <n v="1"/>
    <x v="1"/>
    <x v="1"/>
  </r>
  <r>
    <d v="2019-10-02T00:00:00"/>
    <x v="1"/>
    <n v="9308"/>
    <x v="8"/>
    <x v="1"/>
    <n v="1"/>
    <x v="6"/>
    <x v="0"/>
    <n v="9"/>
    <x v="1"/>
    <x v="1"/>
  </r>
  <r>
    <d v="2019-10-02T00:00:00"/>
    <x v="1"/>
    <n v="9308"/>
    <x v="8"/>
    <x v="1"/>
    <n v="1"/>
    <x v="26"/>
    <x v="0"/>
    <n v="1"/>
    <x v="1"/>
    <x v="1"/>
  </r>
  <r>
    <d v="2019-10-02T00:00:00"/>
    <x v="1"/>
    <n v="9308"/>
    <x v="8"/>
    <x v="1"/>
    <n v="1"/>
    <x v="7"/>
    <x v="0"/>
    <n v="10"/>
    <x v="1"/>
    <x v="1"/>
  </r>
  <r>
    <d v="2019-10-02T00:00:00"/>
    <x v="1"/>
    <n v="9308"/>
    <x v="8"/>
    <x v="1"/>
    <n v="1"/>
    <x v="3"/>
    <x v="0"/>
    <n v="2"/>
    <x v="1"/>
    <x v="1"/>
  </r>
  <r>
    <d v="2019-10-02T00:00:00"/>
    <x v="1"/>
    <n v="9308"/>
    <x v="8"/>
    <x v="1"/>
    <n v="1"/>
    <x v="9"/>
    <x v="0"/>
    <n v="6"/>
    <x v="1"/>
    <x v="1"/>
  </r>
  <r>
    <d v="2019-10-02T00:00:00"/>
    <x v="1"/>
    <n v="9308"/>
    <x v="8"/>
    <x v="1"/>
    <n v="2"/>
    <x v="6"/>
    <x v="0"/>
    <n v="5"/>
    <x v="1"/>
    <x v="1"/>
  </r>
  <r>
    <d v="2019-10-02T00:00:00"/>
    <x v="1"/>
    <n v="9308"/>
    <x v="8"/>
    <x v="1"/>
    <n v="2"/>
    <x v="9"/>
    <x v="0"/>
    <n v="1"/>
    <x v="1"/>
    <x v="1"/>
  </r>
  <r>
    <d v="2019-10-02T00:00:00"/>
    <x v="1"/>
    <n v="9308"/>
    <x v="8"/>
    <x v="0"/>
    <n v="1"/>
    <x v="0"/>
    <x v="0"/>
    <n v="13"/>
    <x v="1"/>
    <x v="1"/>
  </r>
  <r>
    <d v="2019-10-02T00:00:00"/>
    <x v="1"/>
    <n v="9308"/>
    <x v="8"/>
    <x v="0"/>
    <n v="1"/>
    <x v="12"/>
    <x v="0"/>
    <n v="4"/>
    <x v="1"/>
    <x v="1"/>
  </r>
  <r>
    <d v="2019-10-02T00:00:00"/>
    <x v="1"/>
    <n v="9308"/>
    <x v="8"/>
    <x v="0"/>
    <n v="1"/>
    <x v="20"/>
    <x v="0"/>
    <n v="18"/>
    <x v="1"/>
    <x v="1"/>
  </r>
  <r>
    <d v="2019-10-02T00:00:00"/>
    <x v="1"/>
    <n v="9308"/>
    <x v="8"/>
    <x v="0"/>
    <n v="1"/>
    <x v="2"/>
    <x v="0"/>
    <n v="37"/>
    <x v="1"/>
    <x v="1"/>
  </r>
  <r>
    <d v="2019-10-02T00:00:00"/>
    <x v="1"/>
    <n v="9308"/>
    <x v="8"/>
    <x v="0"/>
    <n v="1"/>
    <x v="26"/>
    <x v="0"/>
    <n v="25"/>
    <x v="1"/>
    <x v="1"/>
  </r>
  <r>
    <d v="2019-10-02T00:00:00"/>
    <x v="1"/>
    <n v="9308"/>
    <x v="8"/>
    <x v="0"/>
    <n v="1"/>
    <x v="7"/>
    <x v="0"/>
    <n v="6"/>
    <x v="1"/>
    <x v="1"/>
  </r>
  <r>
    <d v="2019-10-02T00:00:00"/>
    <x v="1"/>
    <n v="9308"/>
    <x v="8"/>
    <x v="0"/>
    <n v="1"/>
    <x v="13"/>
    <x v="0"/>
    <n v="16"/>
    <x v="1"/>
    <x v="1"/>
  </r>
  <r>
    <d v="2019-10-02T00:00:00"/>
    <x v="1"/>
    <n v="9308"/>
    <x v="8"/>
    <x v="0"/>
    <n v="2"/>
    <x v="3"/>
    <x v="0"/>
    <n v="16"/>
    <x v="1"/>
    <x v="1"/>
  </r>
  <r>
    <d v="2019-10-02T00:00:00"/>
    <x v="1"/>
    <n v="9308"/>
    <x v="8"/>
    <x v="1"/>
    <n v="1"/>
    <x v="20"/>
    <x v="0"/>
    <n v="33"/>
    <x v="1"/>
    <x v="1"/>
  </r>
  <r>
    <d v="2019-10-02T00:00:00"/>
    <x v="1"/>
    <n v="9308"/>
    <x v="8"/>
    <x v="1"/>
    <n v="1"/>
    <x v="5"/>
    <x v="0"/>
    <n v="1"/>
    <x v="1"/>
    <x v="1"/>
  </r>
  <r>
    <d v="2019-10-02T00:00:00"/>
    <x v="1"/>
    <n v="9308"/>
    <x v="8"/>
    <x v="1"/>
    <n v="1"/>
    <x v="2"/>
    <x v="0"/>
    <n v="9"/>
    <x v="1"/>
    <x v="1"/>
  </r>
  <r>
    <d v="2019-10-02T00:00:00"/>
    <x v="1"/>
    <n v="9308"/>
    <x v="8"/>
    <x v="1"/>
    <n v="1"/>
    <x v="3"/>
    <x v="0"/>
    <n v="2"/>
    <x v="1"/>
    <x v="1"/>
  </r>
  <r>
    <d v="2019-10-02T00:00:00"/>
    <x v="1"/>
    <n v="9308"/>
    <x v="8"/>
    <x v="1"/>
    <n v="1"/>
    <x v="16"/>
    <x v="0"/>
    <n v="1"/>
    <x v="1"/>
    <x v="1"/>
  </r>
  <r>
    <d v="2019-10-02T00:00:00"/>
    <x v="1"/>
    <n v="9308"/>
    <x v="8"/>
    <x v="1"/>
    <n v="2"/>
    <x v="20"/>
    <x v="0"/>
    <n v="9"/>
    <x v="1"/>
    <x v="1"/>
  </r>
  <r>
    <d v="2019-10-02T00:00:00"/>
    <x v="1"/>
    <n v="9308"/>
    <x v="8"/>
    <x v="0"/>
    <n v="1"/>
    <x v="4"/>
    <x v="0"/>
    <n v="15"/>
    <x v="1"/>
    <x v="1"/>
  </r>
  <r>
    <d v="2019-10-02T00:00:00"/>
    <x v="1"/>
    <n v="9308"/>
    <x v="8"/>
    <x v="0"/>
    <n v="1"/>
    <x v="12"/>
    <x v="0"/>
    <n v="10"/>
    <x v="1"/>
    <x v="1"/>
  </r>
  <r>
    <d v="2019-10-02T00:00:00"/>
    <x v="1"/>
    <n v="9308"/>
    <x v="8"/>
    <x v="0"/>
    <n v="1"/>
    <x v="6"/>
    <x v="0"/>
    <n v="5"/>
    <x v="1"/>
    <x v="1"/>
  </r>
  <r>
    <d v="2019-10-02T00:00:00"/>
    <x v="1"/>
    <n v="9308"/>
    <x v="8"/>
    <x v="0"/>
    <n v="1"/>
    <x v="26"/>
    <x v="0"/>
    <n v="6"/>
    <x v="1"/>
    <x v="1"/>
  </r>
  <r>
    <d v="2019-10-02T00:00:00"/>
    <x v="1"/>
    <n v="9308"/>
    <x v="8"/>
    <x v="0"/>
    <n v="1"/>
    <x v="7"/>
    <x v="0"/>
    <n v="10"/>
    <x v="1"/>
    <x v="1"/>
  </r>
  <r>
    <d v="2019-10-02T00:00:00"/>
    <x v="1"/>
    <n v="9308"/>
    <x v="8"/>
    <x v="0"/>
    <n v="1"/>
    <x v="13"/>
    <x v="0"/>
    <n v="5"/>
    <x v="1"/>
    <x v="1"/>
  </r>
  <r>
    <d v="2019-10-02T00:00:00"/>
    <x v="1"/>
    <n v="9308"/>
    <x v="8"/>
    <x v="0"/>
    <n v="1"/>
    <x v="3"/>
    <x v="0"/>
    <n v="4"/>
    <x v="1"/>
    <x v="1"/>
  </r>
  <r>
    <d v="2019-10-02T00:00:00"/>
    <x v="1"/>
    <n v="9308"/>
    <x v="8"/>
    <x v="0"/>
    <n v="1"/>
    <x v="9"/>
    <x v="0"/>
    <n v="4"/>
    <x v="1"/>
    <x v="1"/>
  </r>
  <r>
    <d v="2019-10-02T00:00:00"/>
    <x v="1"/>
    <n v="9308"/>
    <x v="8"/>
    <x v="0"/>
    <n v="1"/>
    <x v="10"/>
    <x v="0"/>
    <n v="3"/>
    <x v="1"/>
    <x v="1"/>
  </r>
  <r>
    <d v="2019-10-02T00:00:00"/>
    <x v="1"/>
    <n v="9308"/>
    <x v="8"/>
    <x v="0"/>
    <n v="2"/>
    <x v="4"/>
    <x v="0"/>
    <n v="5"/>
    <x v="1"/>
    <x v="1"/>
  </r>
  <r>
    <d v="2019-10-02T00:00:00"/>
    <x v="1"/>
    <n v="9308"/>
    <x v="8"/>
    <x v="0"/>
    <n v="2"/>
    <x v="0"/>
    <x v="0"/>
    <n v="3"/>
    <x v="1"/>
    <x v="1"/>
  </r>
  <r>
    <d v="2019-10-02T00:00:00"/>
    <x v="1"/>
    <n v="9308"/>
    <x v="8"/>
    <x v="0"/>
    <n v="2"/>
    <x v="11"/>
    <x v="0"/>
    <n v="17"/>
    <x v="1"/>
    <x v="1"/>
  </r>
  <r>
    <d v="2019-10-02T00:00:00"/>
    <x v="1"/>
    <n v="9308"/>
    <x v="8"/>
    <x v="0"/>
    <n v="2"/>
    <x v="5"/>
    <x v="0"/>
    <n v="10"/>
    <x v="1"/>
    <x v="1"/>
  </r>
  <r>
    <d v="2019-10-02T00:00:00"/>
    <x v="1"/>
    <n v="9308"/>
    <x v="8"/>
    <x v="0"/>
    <n v="2"/>
    <x v="7"/>
    <x v="0"/>
    <n v="3"/>
    <x v="1"/>
    <x v="1"/>
  </r>
  <r>
    <d v="2019-10-02T00:00:00"/>
    <x v="1"/>
    <n v="9308"/>
    <x v="8"/>
    <x v="0"/>
    <n v="2"/>
    <x v="3"/>
    <x v="0"/>
    <n v="3"/>
    <x v="1"/>
    <x v="1"/>
  </r>
  <r>
    <d v="2019-10-02T00:00:00"/>
    <x v="1"/>
    <n v="9308"/>
    <x v="8"/>
    <x v="0"/>
    <n v="2"/>
    <x v="9"/>
    <x v="0"/>
    <n v="2"/>
    <x v="1"/>
    <x v="1"/>
  </r>
  <r>
    <d v="2019-10-02T00:00:00"/>
    <x v="1"/>
    <n v="9311"/>
    <x v="11"/>
    <x v="1"/>
    <n v="1"/>
    <x v="11"/>
    <x v="0"/>
    <n v="6"/>
    <x v="1"/>
    <x v="1"/>
  </r>
  <r>
    <d v="2019-10-02T00:00:00"/>
    <x v="1"/>
    <n v="9311"/>
    <x v="11"/>
    <x v="1"/>
    <n v="1"/>
    <x v="5"/>
    <x v="0"/>
    <n v="3"/>
    <x v="1"/>
    <x v="1"/>
  </r>
  <r>
    <d v="2019-10-02T00:00:00"/>
    <x v="1"/>
    <n v="9311"/>
    <x v="11"/>
    <x v="1"/>
    <n v="1"/>
    <x v="13"/>
    <x v="0"/>
    <n v="4"/>
    <x v="1"/>
    <x v="1"/>
  </r>
  <r>
    <d v="2019-10-02T00:00:00"/>
    <x v="1"/>
    <n v="9311"/>
    <x v="11"/>
    <x v="1"/>
    <n v="1"/>
    <x v="3"/>
    <x v="0"/>
    <n v="8"/>
    <x v="1"/>
    <x v="1"/>
  </r>
  <r>
    <d v="2019-10-02T00:00:00"/>
    <x v="1"/>
    <n v="9311"/>
    <x v="11"/>
    <x v="1"/>
    <n v="1"/>
    <x v="9"/>
    <x v="0"/>
    <n v="9"/>
    <x v="1"/>
    <x v="1"/>
  </r>
  <r>
    <d v="2019-10-02T00:00:00"/>
    <x v="1"/>
    <n v="9311"/>
    <x v="11"/>
    <x v="0"/>
    <n v="1"/>
    <x v="5"/>
    <x v="0"/>
    <n v="3"/>
    <x v="1"/>
    <x v="1"/>
  </r>
  <r>
    <d v="2019-10-02T00:00:00"/>
    <x v="1"/>
    <n v="9311"/>
    <x v="11"/>
    <x v="0"/>
    <n v="1"/>
    <x v="13"/>
    <x v="0"/>
    <n v="29"/>
    <x v="1"/>
    <x v="1"/>
  </r>
  <r>
    <d v="2019-10-02T00:00:00"/>
    <x v="1"/>
    <n v="9311"/>
    <x v="11"/>
    <x v="0"/>
    <n v="2"/>
    <x v="18"/>
    <x v="0"/>
    <n v="14"/>
    <x v="1"/>
    <x v="1"/>
  </r>
  <r>
    <d v="2019-10-02T00:00:00"/>
    <x v="1"/>
    <n v="9311"/>
    <x v="11"/>
    <x v="1"/>
    <n v="1"/>
    <x v="20"/>
    <x v="0"/>
    <n v="19"/>
    <x v="1"/>
    <x v="1"/>
  </r>
  <r>
    <d v="2019-10-02T00:00:00"/>
    <x v="1"/>
    <n v="9311"/>
    <x v="11"/>
    <x v="1"/>
    <n v="1"/>
    <x v="1"/>
    <x v="0"/>
    <n v="5"/>
    <x v="1"/>
    <x v="1"/>
  </r>
  <r>
    <d v="2019-10-02T00:00:00"/>
    <x v="1"/>
    <n v="9311"/>
    <x v="11"/>
    <x v="1"/>
    <n v="1"/>
    <x v="2"/>
    <x v="0"/>
    <n v="1"/>
    <x v="1"/>
    <x v="1"/>
  </r>
  <r>
    <d v="2019-10-02T00:00:00"/>
    <x v="1"/>
    <n v="9311"/>
    <x v="11"/>
    <x v="1"/>
    <n v="1"/>
    <x v="7"/>
    <x v="0"/>
    <n v="4"/>
    <x v="1"/>
    <x v="1"/>
  </r>
  <r>
    <d v="2019-10-02T00:00:00"/>
    <x v="1"/>
    <n v="9311"/>
    <x v="11"/>
    <x v="1"/>
    <n v="1"/>
    <x v="9"/>
    <x v="0"/>
    <n v="1"/>
    <x v="1"/>
    <x v="1"/>
  </r>
  <r>
    <d v="2019-10-02T00:00:00"/>
    <x v="1"/>
    <n v="9311"/>
    <x v="11"/>
    <x v="0"/>
    <n v="1"/>
    <x v="0"/>
    <x v="0"/>
    <n v="5"/>
    <x v="1"/>
    <x v="1"/>
  </r>
  <r>
    <d v="2019-10-02T00:00:00"/>
    <x v="1"/>
    <n v="9311"/>
    <x v="11"/>
    <x v="0"/>
    <n v="1"/>
    <x v="11"/>
    <x v="0"/>
    <n v="4"/>
    <x v="1"/>
    <x v="1"/>
  </r>
  <r>
    <d v="2019-10-02T00:00:00"/>
    <x v="1"/>
    <n v="9311"/>
    <x v="11"/>
    <x v="0"/>
    <n v="1"/>
    <x v="5"/>
    <x v="0"/>
    <n v="18"/>
    <x v="1"/>
    <x v="1"/>
  </r>
  <r>
    <d v="2019-10-02T00:00:00"/>
    <x v="1"/>
    <n v="9311"/>
    <x v="11"/>
    <x v="0"/>
    <n v="1"/>
    <x v="24"/>
    <x v="0"/>
    <n v="3"/>
    <x v="1"/>
    <x v="1"/>
  </r>
  <r>
    <d v="2019-10-02T00:00:00"/>
    <x v="1"/>
    <n v="9311"/>
    <x v="11"/>
    <x v="0"/>
    <n v="1"/>
    <x v="3"/>
    <x v="0"/>
    <n v="2"/>
    <x v="1"/>
    <x v="1"/>
  </r>
  <r>
    <d v="2019-10-02T00:00:00"/>
    <x v="1"/>
    <n v="9311"/>
    <x v="11"/>
    <x v="0"/>
    <n v="2"/>
    <x v="4"/>
    <x v="0"/>
    <n v="4"/>
    <x v="1"/>
    <x v="1"/>
  </r>
  <r>
    <d v="2019-10-02T00:00:00"/>
    <x v="1"/>
    <n v="9311"/>
    <x v="11"/>
    <x v="0"/>
    <n v="2"/>
    <x v="0"/>
    <x v="0"/>
    <n v="1"/>
    <x v="1"/>
    <x v="1"/>
  </r>
  <r>
    <d v="2019-10-02T00:00:00"/>
    <x v="1"/>
    <n v="9311"/>
    <x v="11"/>
    <x v="0"/>
    <n v="2"/>
    <x v="5"/>
    <x v="0"/>
    <n v="2"/>
    <x v="1"/>
    <x v="1"/>
  </r>
  <r>
    <d v="2019-10-02T00:00:00"/>
    <x v="1"/>
    <n v="9311"/>
    <x v="11"/>
    <x v="0"/>
    <n v="2"/>
    <x v="7"/>
    <x v="0"/>
    <n v="2"/>
    <x v="1"/>
    <x v="1"/>
  </r>
  <r>
    <d v="2019-10-02T00:00:00"/>
    <x v="1"/>
    <n v="9311"/>
    <x v="11"/>
    <x v="0"/>
    <n v="2"/>
    <x v="3"/>
    <x v="0"/>
    <n v="1"/>
    <x v="1"/>
    <x v="1"/>
  </r>
  <r>
    <d v="2019-10-02T00:00:00"/>
    <x v="1"/>
    <n v="9311"/>
    <x v="11"/>
    <x v="0"/>
    <n v="2"/>
    <x v="9"/>
    <x v="0"/>
    <n v="3"/>
    <x v="1"/>
    <x v="1"/>
  </r>
  <r>
    <d v="2019-10-02T00:00:00"/>
    <x v="1"/>
    <n v="9313"/>
    <x v="12"/>
    <x v="1"/>
    <n v="1"/>
    <x v="27"/>
    <x v="0"/>
    <n v="2"/>
    <x v="1"/>
    <x v="1"/>
  </r>
  <r>
    <d v="2019-10-02T00:00:00"/>
    <x v="1"/>
    <n v="9313"/>
    <x v="12"/>
    <x v="1"/>
    <n v="1"/>
    <x v="33"/>
    <x v="0"/>
    <n v="5"/>
    <x v="1"/>
    <x v="1"/>
  </r>
  <r>
    <d v="2019-10-02T00:00:00"/>
    <x v="1"/>
    <n v="9313"/>
    <x v="12"/>
    <x v="1"/>
    <n v="1"/>
    <x v="31"/>
    <x v="0"/>
    <n v="2"/>
    <x v="1"/>
    <x v="1"/>
  </r>
  <r>
    <d v="2019-10-02T00:00:00"/>
    <x v="1"/>
    <n v="9313"/>
    <x v="12"/>
    <x v="1"/>
    <n v="1"/>
    <x v="28"/>
    <x v="0"/>
    <n v="8"/>
    <x v="1"/>
    <x v="1"/>
  </r>
  <r>
    <d v="2019-10-02T00:00:00"/>
    <x v="1"/>
    <n v="9313"/>
    <x v="12"/>
    <x v="1"/>
    <n v="1"/>
    <x v="5"/>
    <x v="0"/>
    <n v="1"/>
    <x v="1"/>
    <x v="1"/>
  </r>
  <r>
    <d v="2019-10-02T00:00:00"/>
    <x v="1"/>
    <n v="9313"/>
    <x v="12"/>
    <x v="1"/>
    <n v="1"/>
    <x v="29"/>
    <x v="0"/>
    <n v="2"/>
    <x v="1"/>
    <x v="1"/>
  </r>
  <r>
    <d v="2019-10-02T00:00:00"/>
    <x v="1"/>
    <n v="9313"/>
    <x v="12"/>
    <x v="1"/>
    <n v="1"/>
    <x v="13"/>
    <x v="0"/>
    <n v="1"/>
    <x v="1"/>
    <x v="1"/>
  </r>
  <r>
    <d v="2019-10-02T00:00:00"/>
    <x v="1"/>
    <n v="9313"/>
    <x v="12"/>
    <x v="1"/>
    <n v="1"/>
    <x v="3"/>
    <x v="0"/>
    <n v="1"/>
    <x v="1"/>
    <x v="1"/>
  </r>
  <r>
    <d v="2019-10-02T00:00:00"/>
    <x v="1"/>
    <n v="9313"/>
    <x v="12"/>
    <x v="1"/>
    <n v="1"/>
    <x v="16"/>
    <x v="0"/>
    <n v="3"/>
    <x v="1"/>
    <x v="1"/>
  </r>
  <r>
    <d v="2019-10-02T00:00:00"/>
    <x v="1"/>
    <n v="9313"/>
    <x v="12"/>
    <x v="1"/>
    <n v="1"/>
    <x v="19"/>
    <x v="0"/>
    <n v="1"/>
    <x v="1"/>
    <x v="1"/>
  </r>
  <r>
    <d v="2019-10-02T00:00:00"/>
    <x v="1"/>
    <n v="9313"/>
    <x v="12"/>
    <x v="1"/>
    <n v="1"/>
    <x v="30"/>
    <x v="0"/>
    <n v="2"/>
    <x v="1"/>
    <x v="1"/>
  </r>
  <r>
    <d v="2019-10-02T00:00:00"/>
    <x v="1"/>
    <n v="9313"/>
    <x v="12"/>
    <x v="0"/>
    <n v="1"/>
    <x v="20"/>
    <x v="0"/>
    <n v="65"/>
    <x v="1"/>
    <x v="1"/>
  </r>
  <r>
    <d v="2019-10-02T00:00:00"/>
    <x v="1"/>
    <n v="9318"/>
    <x v="10"/>
    <x v="1"/>
    <n v="1"/>
    <x v="4"/>
    <x v="0"/>
    <n v="6"/>
    <x v="1"/>
    <x v="1"/>
  </r>
  <r>
    <d v="2019-10-02T00:00:00"/>
    <x v="1"/>
    <n v="9318"/>
    <x v="10"/>
    <x v="1"/>
    <n v="1"/>
    <x v="15"/>
    <x v="0"/>
    <n v="1"/>
    <x v="1"/>
    <x v="1"/>
  </r>
  <r>
    <d v="2019-10-02T00:00:00"/>
    <x v="1"/>
    <n v="9318"/>
    <x v="10"/>
    <x v="1"/>
    <n v="1"/>
    <x v="7"/>
    <x v="0"/>
    <n v="3"/>
    <x v="1"/>
    <x v="1"/>
  </r>
  <r>
    <d v="2019-10-02T00:00:00"/>
    <x v="1"/>
    <n v="9318"/>
    <x v="10"/>
    <x v="1"/>
    <n v="1"/>
    <x v="13"/>
    <x v="0"/>
    <n v="8"/>
    <x v="1"/>
    <x v="1"/>
  </r>
  <r>
    <d v="2019-10-02T00:00:00"/>
    <x v="1"/>
    <n v="9318"/>
    <x v="10"/>
    <x v="1"/>
    <n v="1"/>
    <x v="3"/>
    <x v="0"/>
    <n v="2"/>
    <x v="1"/>
    <x v="1"/>
  </r>
  <r>
    <d v="2019-10-02T00:00:00"/>
    <x v="1"/>
    <n v="9318"/>
    <x v="10"/>
    <x v="1"/>
    <n v="1"/>
    <x v="9"/>
    <x v="0"/>
    <n v="4"/>
    <x v="1"/>
    <x v="1"/>
  </r>
  <r>
    <d v="2019-10-02T00:00:00"/>
    <x v="1"/>
    <n v="9318"/>
    <x v="10"/>
    <x v="0"/>
    <n v="1"/>
    <x v="22"/>
    <x v="0"/>
    <n v="21"/>
    <x v="1"/>
    <x v="1"/>
  </r>
  <r>
    <d v="2019-10-02T00:00:00"/>
    <x v="1"/>
    <n v="9318"/>
    <x v="10"/>
    <x v="0"/>
    <n v="1"/>
    <x v="8"/>
    <x v="0"/>
    <n v="5"/>
    <x v="1"/>
    <x v="1"/>
  </r>
  <r>
    <d v="2019-10-02T00:00:00"/>
    <x v="1"/>
    <n v="9318"/>
    <x v="10"/>
    <x v="0"/>
    <n v="1"/>
    <x v="19"/>
    <x v="0"/>
    <n v="16"/>
    <x v="1"/>
    <x v="1"/>
  </r>
  <r>
    <d v="2019-10-02T00:00:00"/>
    <x v="1"/>
    <n v="9318"/>
    <x v="10"/>
    <x v="1"/>
    <n v="1"/>
    <x v="15"/>
    <x v="0"/>
    <n v="8"/>
    <x v="1"/>
    <x v="1"/>
  </r>
  <r>
    <d v="2019-10-02T00:00:00"/>
    <x v="1"/>
    <n v="9318"/>
    <x v="10"/>
    <x v="1"/>
    <n v="1"/>
    <x v="22"/>
    <x v="0"/>
    <n v="11"/>
    <x v="1"/>
    <x v="1"/>
  </r>
  <r>
    <d v="2019-10-02T00:00:00"/>
    <x v="1"/>
    <n v="9318"/>
    <x v="10"/>
    <x v="1"/>
    <n v="1"/>
    <x v="23"/>
    <x v="0"/>
    <n v="1"/>
    <x v="1"/>
    <x v="1"/>
  </r>
  <r>
    <d v="2019-10-02T00:00:00"/>
    <x v="1"/>
    <n v="9318"/>
    <x v="10"/>
    <x v="1"/>
    <n v="1"/>
    <x v="3"/>
    <x v="0"/>
    <n v="4"/>
    <x v="1"/>
    <x v="1"/>
  </r>
  <r>
    <d v="2019-10-02T00:00:00"/>
    <x v="1"/>
    <d v="2019-10-02T00:00:00"/>
    <x v="10"/>
    <x v="0"/>
    <n v="2"/>
    <x v="4"/>
    <x v="1"/>
    <n v="5"/>
    <x v="1"/>
    <x v="1"/>
  </r>
  <r>
    <d v="2019-10-02T00:00:00"/>
    <x v="1"/>
    <d v="2019-10-02T00:00:00"/>
    <x v="10"/>
    <x v="0"/>
    <n v="2"/>
    <x v="27"/>
    <x v="1"/>
    <n v="1"/>
    <x v="1"/>
    <x v="1"/>
  </r>
  <r>
    <d v="2019-10-02T00:00:00"/>
    <x v="1"/>
    <d v="2019-10-02T00:00:00"/>
    <x v="10"/>
    <x v="0"/>
    <n v="2"/>
    <x v="15"/>
    <x v="1"/>
    <n v="6"/>
    <x v="1"/>
    <x v="1"/>
  </r>
  <r>
    <d v="2019-10-02T00:00:00"/>
    <x v="1"/>
    <d v="2019-10-02T00:00:00"/>
    <x v="10"/>
    <x v="0"/>
    <n v="2"/>
    <x v="1"/>
    <x v="1"/>
    <n v="2"/>
    <x v="1"/>
    <x v="1"/>
  </r>
  <r>
    <d v="2019-10-02T00:00:00"/>
    <x v="1"/>
    <d v="2019-10-02T00:00:00"/>
    <x v="10"/>
    <x v="0"/>
    <n v="2"/>
    <x v="2"/>
    <x v="1"/>
    <n v="10"/>
    <x v="1"/>
    <x v="1"/>
  </r>
  <r>
    <d v="2019-10-02T00:00:00"/>
    <x v="1"/>
    <d v="2019-10-02T00:00:00"/>
    <x v="10"/>
    <x v="0"/>
    <n v="2"/>
    <x v="6"/>
    <x v="1"/>
    <n v="1"/>
    <x v="1"/>
    <x v="1"/>
  </r>
  <r>
    <d v="2019-10-02T00:00:00"/>
    <x v="1"/>
    <d v="2019-10-02T00:00:00"/>
    <x v="10"/>
    <x v="0"/>
    <n v="2"/>
    <x v="7"/>
    <x v="1"/>
    <n v="2"/>
    <x v="1"/>
    <x v="1"/>
  </r>
  <r>
    <d v="2019-10-02T00:00:00"/>
    <x v="1"/>
    <d v="2019-10-02T00:00:00"/>
    <x v="10"/>
    <x v="0"/>
    <n v="2"/>
    <x v="13"/>
    <x v="1"/>
    <n v="1"/>
    <x v="1"/>
    <x v="1"/>
  </r>
  <r>
    <d v="2019-10-02T00:00:00"/>
    <x v="1"/>
    <d v="2019-10-02T00:00:00"/>
    <x v="10"/>
    <x v="0"/>
    <n v="2"/>
    <x v="9"/>
    <x v="1"/>
    <n v="5"/>
    <x v="1"/>
    <x v="1"/>
  </r>
  <r>
    <d v="2019-10-02T00:00:00"/>
    <x v="1"/>
    <d v="2019-10-02T00:00:00"/>
    <x v="10"/>
    <x v="0"/>
    <n v="2"/>
    <x v="19"/>
    <x v="1"/>
    <n v="6"/>
    <x v="1"/>
    <x v="1"/>
  </r>
  <r>
    <d v="2019-10-02T00:00:00"/>
    <x v="1"/>
    <d v="2019-10-02T00:00:00"/>
    <x v="10"/>
    <x v="0"/>
    <n v="2"/>
    <x v="10"/>
    <x v="1"/>
    <n v="3"/>
    <x v="1"/>
    <x v="1"/>
  </r>
  <r>
    <d v="2019-10-02T00:00:00"/>
    <x v="1"/>
    <d v="1902-10-23T00:00:00"/>
    <x v="13"/>
    <x v="1"/>
    <n v="1"/>
    <x v="20"/>
    <x v="0"/>
    <n v="12"/>
    <x v="1"/>
    <x v="1"/>
  </r>
  <r>
    <d v="2019-10-02T00:00:00"/>
    <x v="1"/>
    <d v="1902-10-23T00:00:00"/>
    <x v="13"/>
    <x v="1"/>
    <n v="1"/>
    <x v="15"/>
    <x v="0"/>
    <n v="5"/>
    <x v="1"/>
    <x v="1"/>
  </r>
  <r>
    <d v="2019-10-02T00:00:00"/>
    <x v="1"/>
    <d v="1902-10-23T00:00:00"/>
    <x v="13"/>
    <x v="1"/>
    <n v="1"/>
    <x v="1"/>
    <x v="0"/>
    <n v="3"/>
    <x v="1"/>
    <x v="1"/>
  </r>
  <r>
    <d v="2019-10-02T00:00:00"/>
    <x v="1"/>
    <d v="1902-10-23T00:00:00"/>
    <x v="13"/>
    <x v="1"/>
    <n v="1"/>
    <x v="21"/>
    <x v="0"/>
    <n v="3"/>
    <x v="1"/>
    <x v="1"/>
  </r>
  <r>
    <d v="2019-10-02T00:00:00"/>
    <x v="1"/>
    <d v="1902-10-23T00:00:00"/>
    <x v="13"/>
    <x v="1"/>
    <n v="1"/>
    <x v="27"/>
    <x v="0"/>
    <n v="3"/>
    <x v="1"/>
    <x v="1"/>
  </r>
  <r>
    <d v="2019-10-02T00:00:00"/>
    <x v="1"/>
    <d v="1902-10-23T00:00:00"/>
    <x v="13"/>
    <x v="1"/>
    <n v="1"/>
    <x v="31"/>
    <x v="0"/>
    <n v="3"/>
    <x v="1"/>
    <x v="1"/>
  </r>
  <r>
    <d v="2019-10-02T00:00:00"/>
    <x v="1"/>
    <d v="1902-10-23T00:00:00"/>
    <x v="13"/>
    <x v="1"/>
    <n v="1"/>
    <x v="32"/>
    <x v="0"/>
    <n v="2"/>
    <x v="1"/>
    <x v="1"/>
  </r>
  <r>
    <d v="2019-10-02T00:00:00"/>
    <x v="1"/>
    <d v="1902-10-23T00:00:00"/>
    <x v="13"/>
    <x v="1"/>
    <n v="1"/>
    <x v="28"/>
    <x v="0"/>
    <n v="1"/>
    <x v="1"/>
    <x v="1"/>
  </r>
  <r>
    <d v="2019-10-02T00:00:00"/>
    <x v="1"/>
    <d v="1902-10-23T00:00:00"/>
    <x v="13"/>
    <x v="1"/>
    <n v="1"/>
    <x v="24"/>
    <x v="0"/>
    <n v="3"/>
    <x v="1"/>
    <x v="1"/>
  </r>
  <r>
    <d v="2019-10-02T00:00:00"/>
    <x v="1"/>
    <d v="1902-10-23T00:00:00"/>
    <x v="13"/>
    <x v="1"/>
    <n v="1"/>
    <x v="1"/>
    <x v="0"/>
    <n v="3"/>
    <x v="1"/>
    <x v="1"/>
  </r>
  <r>
    <d v="2019-10-02T00:00:00"/>
    <x v="1"/>
    <d v="1902-10-23T00:00:00"/>
    <x v="13"/>
    <x v="1"/>
    <n v="1"/>
    <x v="23"/>
    <x v="0"/>
    <n v="3"/>
    <x v="1"/>
    <x v="1"/>
  </r>
  <r>
    <d v="2019-10-02T00:00:00"/>
    <x v="1"/>
    <d v="1902-10-23T00:00:00"/>
    <x v="13"/>
    <x v="1"/>
    <n v="1"/>
    <x v="21"/>
    <x v="0"/>
    <n v="1"/>
    <x v="1"/>
    <x v="1"/>
  </r>
  <r>
    <d v="2019-10-02T00:00:00"/>
    <x v="1"/>
    <d v="1902-10-23T00:00:00"/>
    <x v="13"/>
    <x v="1"/>
    <n v="1"/>
    <x v="16"/>
    <x v="0"/>
    <n v="5"/>
    <x v="1"/>
    <x v="1"/>
  </r>
  <r>
    <d v="2019-10-02T00:00:00"/>
    <x v="1"/>
    <d v="1902-10-23T00:00:00"/>
    <x v="13"/>
    <x v="1"/>
    <n v="1"/>
    <x v="27"/>
    <x v="0"/>
    <n v="5"/>
    <x v="1"/>
    <x v="1"/>
  </r>
  <r>
    <d v="2019-10-02T00:00:00"/>
    <x v="1"/>
    <d v="1902-10-23T00:00:00"/>
    <x v="13"/>
    <x v="1"/>
    <n v="1"/>
    <x v="23"/>
    <x v="0"/>
    <n v="17"/>
    <x v="1"/>
    <x v="1"/>
  </r>
  <r>
    <d v="2019-10-02T00:00:00"/>
    <x v="1"/>
    <d v="1902-10-23T00:00:00"/>
    <x v="13"/>
    <x v="1"/>
    <n v="1"/>
    <x v="19"/>
    <x v="0"/>
    <n v="24"/>
    <x v="1"/>
    <x v="1"/>
  </r>
  <r>
    <d v="2019-10-02T00:00:00"/>
    <x v="1"/>
    <d v="1902-10-23T00:00:00"/>
    <x v="13"/>
    <x v="1"/>
    <n v="1"/>
    <x v="17"/>
    <x v="0"/>
    <n v="10"/>
    <x v="1"/>
    <x v="1"/>
  </r>
  <r>
    <d v="2019-10-02T00:00:00"/>
    <x v="1"/>
    <d v="1902-10-23T00:00:00"/>
    <x v="13"/>
    <x v="1"/>
    <n v="1"/>
    <x v="0"/>
    <x v="1"/>
    <n v="4"/>
    <x v="1"/>
    <x v="1"/>
  </r>
  <r>
    <d v="2019-10-02T00:00:00"/>
    <x v="1"/>
    <d v="1902-10-23T00:00:00"/>
    <x v="13"/>
    <x v="1"/>
    <n v="1"/>
    <x v="27"/>
    <x v="1"/>
    <n v="4"/>
    <x v="1"/>
    <x v="1"/>
  </r>
  <r>
    <d v="2019-10-02T00:00:00"/>
    <x v="1"/>
    <d v="1902-10-23T00:00:00"/>
    <x v="13"/>
    <x v="1"/>
    <n v="1"/>
    <x v="33"/>
    <x v="1"/>
    <n v="3"/>
    <x v="1"/>
    <x v="1"/>
  </r>
  <r>
    <d v="2019-10-02T00:00:00"/>
    <x v="1"/>
    <d v="1902-10-23T00:00:00"/>
    <x v="13"/>
    <x v="1"/>
    <n v="1"/>
    <x v="21"/>
    <x v="1"/>
    <n v="14"/>
    <x v="1"/>
    <x v="1"/>
  </r>
  <r>
    <d v="2019-10-02T00:00:00"/>
    <x v="1"/>
    <d v="1902-10-23T00:00:00"/>
    <x v="13"/>
    <x v="1"/>
    <n v="1"/>
    <x v="3"/>
    <x v="1"/>
    <n v="1"/>
    <x v="1"/>
    <x v="1"/>
  </r>
  <r>
    <d v="2019-10-02T00:00:00"/>
    <x v="1"/>
    <d v="1902-10-23T00:00:00"/>
    <x v="13"/>
    <x v="1"/>
    <n v="2"/>
    <x v="27"/>
    <x v="1"/>
    <n v="11"/>
    <x v="1"/>
    <x v="1"/>
  </r>
  <r>
    <d v="2019-10-02T00:00:00"/>
    <x v="1"/>
    <d v="1902-10-23T00:00:00"/>
    <x v="13"/>
    <x v="1"/>
    <n v="2"/>
    <x v="33"/>
    <x v="1"/>
    <n v="2"/>
    <x v="1"/>
    <x v="1"/>
  </r>
  <r>
    <d v="2019-10-02T00:00:00"/>
    <x v="1"/>
    <d v="1902-10-23T00:00:00"/>
    <x v="13"/>
    <x v="1"/>
    <n v="2"/>
    <x v="24"/>
    <x v="1"/>
    <n v="6"/>
    <x v="1"/>
    <x v="1"/>
  </r>
  <r>
    <d v="2019-10-02T00:00:00"/>
    <x v="1"/>
    <d v="1902-10-23T00:00:00"/>
    <x v="13"/>
    <x v="1"/>
    <n v="2"/>
    <x v="34"/>
    <x v="1"/>
    <n v="3"/>
    <x v="1"/>
    <x v="1"/>
  </r>
  <r>
    <d v="2019-10-02T00:00:00"/>
    <x v="1"/>
    <d v="1902-10-23T00:00:00"/>
    <x v="13"/>
    <x v="1"/>
    <n v="2"/>
    <x v="16"/>
    <x v="1"/>
    <n v="3"/>
    <x v="1"/>
    <x v="1"/>
  </r>
  <r>
    <d v="2019-10-02T00:00:00"/>
    <x v="1"/>
    <d v="1902-10-23T00:00:00"/>
    <x v="13"/>
    <x v="1"/>
    <n v="2"/>
    <x v="19"/>
    <x v="1"/>
    <n v="4"/>
    <x v="1"/>
    <x v="1"/>
  </r>
  <r>
    <d v="2019-10-02T00:00:00"/>
    <x v="1"/>
    <d v="1902-12-12T00:00:00"/>
    <x v="20"/>
    <x v="0"/>
    <n v="1"/>
    <x v="12"/>
    <x v="0"/>
    <n v="11"/>
    <x v="1"/>
    <x v="1"/>
  </r>
  <r>
    <d v="2019-10-02T00:00:00"/>
    <x v="1"/>
    <d v="1902-12-12T00:00:00"/>
    <x v="20"/>
    <x v="0"/>
    <n v="1"/>
    <x v="3"/>
    <x v="0"/>
    <n v="2"/>
    <x v="1"/>
    <x v="1"/>
  </r>
  <r>
    <d v="2019-10-02T00:00:00"/>
    <x v="1"/>
    <d v="1902-12-12T00:00:00"/>
    <x v="20"/>
    <x v="0"/>
    <n v="1"/>
    <x v="16"/>
    <x v="0"/>
    <n v="1"/>
    <x v="1"/>
    <x v="1"/>
  </r>
  <r>
    <d v="2019-10-02T00:00:00"/>
    <x v="1"/>
    <d v="1902-12-12T00:00:00"/>
    <x v="20"/>
    <x v="0"/>
    <n v="1"/>
    <x v="19"/>
    <x v="0"/>
    <n v="19"/>
    <x v="1"/>
    <x v="1"/>
  </r>
  <r>
    <d v="2019-10-02T00:00:00"/>
    <x v="1"/>
    <d v="1902-12-12T00:00:00"/>
    <x v="20"/>
    <x v="1"/>
    <n v="1"/>
    <x v="27"/>
    <x v="1"/>
    <n v="2"/>
    <x v="1"/>
    <x v="1"/>
  </r>
  <r>
    <d v="2019-10-02T00:00:00"/>
    <x v="1"/>
    <d v="1902-12-12T00:00:00"/>
    <x v="20"/>
    <x v="1"/>
    <n v="1"/>
    <x v="33"/>
    <x v="1"/>
    <n v="1"/>
    <x v="1"/>
    <x v="1"/>
  </r>
  <r>
    <d v="2019-10-02T00:00:00"/>
    <x v="1"/>
    <d v="1902-12-12T00:00:00"/>
    <x v="20"/>
    <x v="1"/>
    <n v="1"/>
    <x v="28"/>
    <x v="1"/>
    <n v="2"/>
    <x v="1"/>
    <x v="1"/>
  </r>
  <r>
    <d v="2019-10-02T00:00:00"/>
    <x v="1"/>
    <d v="1902-12-12T00:00:00"/>
    <x v="20"/>
    <x v="1"/>
    <n v="1"/>
    <x v="15"/>
    <x v="1"/>
    <n v="19"/>
    <x v="1"/>
    <x v="1"/>
  </r>
  <r>
    <d v="2019-10-02T00:00:00"/>
    <x v="1"/>
    <d v="1902-12-12T00:00:00"/>
    <x v="20"/>
    <x v="1"/>
    <n v="1"/>
    <x v="3"/>
    <x v="1"/>
    <n v="4"/>
    <x v="1"/>
    <x v="1"/>
  </r>
  <r>
    <d v="2019-10-02T00:00:00"/>
    <x v="1"/>
    <d v="1902-12-12T00:00:00"/>
    <x v="20"/>
    <x v="1"/>
    <n v="1"/>
    <x v="19"/>
    <x v="1"/>
    <n v="4"/>
    <x v="1"/>
    <x v="1"/>
  </r>
  <r>
    <d v="2019-10-02T00:00:00"/>
    <x v="1"/>
    <d v="1902-12-12T00:00:00"/>
    <x v="20"/>
    <x v="1"/>
    <n v="1"/>
    <x v="30"/>
    <x v="1"/>
    <n v="1"/>
    <x v="1"/>
    <x v="1"/>
  </r>
  <r>
    <d v="2019-10-02T00:00:00"/>
    <x v="1"/>
    <d v="1904-09-29T00:00:00"/>
    <x v="19"/>
    <x v="1"/>
    <n v="1"/>
    <x v="27"/>
    <x v="0"/>
    <n v="5"/>
    <x v="1"/>
    <x v="1"/>
  </r>
  <r>
    <d v="2019-10-02T00:00:00"/>
    <x v="1"/>
    <d v="1904-09-29T00:00:00"/>
    <x v="19"/>
    <x v="1"/>
    <n v="1"/>
    <x v="33"/>
    <x v="0"/>
    <n v="6"/>
    <x v="1"/>
    <x v="1"/>
  </r>
  <r>
    <d v="2019-10-02T00:00:00"/>
    <x v="1"/>
    <d v="1904-09-29T00:00:00"/>
    <x v="19"/>
    <x v="1"/>
    <n v="1"/>
    <x v="31"/>
    <x v="0"/>
    <n v="4"/>
    <x v="1"/>
    <x v="1"/>
  </r>
  <r>
    <d v="2019-10-02T00:00:00"/>
    <x v="1"/>
    <d v="1904-09-29T00:00:00"/>
    <x v="19"/>
    <x v="1"/>
    <n v="1"/>
    <x v="15"/>
    <x v="0"/>
    <n v="10"/>
    <x v="1"/>
    <x v="1"/>
  </r>
  <r>
    <d v="2019-10-02T00:00:00"/>
    <x v="1"/>
    <d v="1904-09-29T00:00:00"/>
    <x v="19"/>
    <x v="1"/>
    <n v="1"/>
    <x v="24"/>
    <x v="0"/>
    <n v="2"/>
    <x v="1"/>
    <x v="1"/>
  </r>
  <r>
    <d v="2019-10-02T00:00:00"/>
    <x v="1"/>
    <d v="1904-09-29T00:00:00"/>
    <x v="19"/>
    <x v="1"/>
    <n v="1"/>
    <x v="34"/>
    <x v="0"/>
    <n v="6"/>
    <x v="1"/>
    <x v="1"/>
  </r>
  <r>
    <d v="2019-10-02T00:00:00"/>
    <x v="1"/>
    <d v="1904-09-29T00:00:00"/>
    <x v="19"/>
    <x v="1"/>
    <n v="1"/>
    <x v="23"/>
    <x v="0"/>
    <n v="4"/>
    <x v="1"/>
    <x v="1"/>
  </r>
  <r>
    <d v="2019-10-02T00:00:00"/>
    <x v="1"/>
    <d v="1904-09-29T00:00:00"/>
    <x v="19"/>
    <x v="1"/>
    <n v="1"/>
    <x v="16"/>
    <x v="0"/>
    <n v="1"/>
    <x v="1"/>
    <x v="1"/>
  </r>
  <r>
    <d v="2019-10-02T00:00:00"/>
    <x v="1"/>
    <d v="1904-09-29T00:00:00"/>
    <x v="19"/>
    <x v="1"/>
    <n v="1"/>
    <x v="19"/>
    <x v="0"/>
    <n v="3"/>
    <x v="1"/>
    <x v="1"/>
  </r>
  <r>
    <d v="2019-10-02T00:00:00"/>
    <x v="1"/>
    <d v="1904-09-29T00:00:00"/>
    <x v="19"/>
    <x v="1"/>
    <n v="2"/>
    <x v="20"/>
    <x v="0"/>
    <n v="18"/>
    <x v="1"/>
    <x v="1"/>
  </r>
  <r>
    <d v="2019-10-02T00:00:00"/>
    <x v="1"/>
    <d v="1904-09-29T00:00:00"/>
    <x v="19"/>
    <x v="1"/>
    <n v="2"/>
    <x v="15"/>
    <x v="0"/>
    <n v="2"/>
    <x v="1"/>
    <x v="1"/>
  </r>
  <r>
    <d v="2019-10-02T00:00:00"/>
    <x v="1"/>
    <d v="1904-09-29T00:00:00"/>
    <x v="19"/>
    <x v="1"/>
    <n v="2"/>
    <x v="2"/>
    <x v="0"/>
    <n v="9"/>
    <x v="1"/>
    <x v="1"/>
  </r>
  <r>
    <d v="2019-10-02T00:00:00"/>
    <x v="1"/>
    <d v="1904-09-29T00:00:00"/>
    <x v="19"/>
    <x v="1"/>
    <n v="2"/>
    <x v="21"/>
    <x v="0"/>
    <n v="12"/>
    <x v="1"/>
    <x v="1"/>
  </r>
  <r>
    <d v="2019-10-02T00:00:00"/>
    <x v="1"/>
    <d v="1904-09-29T00:00:00"/>
    <x v="19"/>
    <x v="0"/>
    <n v="1"/>
    <x v="12"/>
    <x v="0"/>
    <n v="4"/>
    <x v="1"/>
    <x v="1"/>
  </r>
  <r>
    <d v="2019-10-02T00:00:00"/>
    <x v="1"/>
    <d v="1904-09-29T00:00:00"/>
    <x v="19"/>
    <x v="0"/>
    <n v="1"/>
    <x v="13"/>
    <x v="0"/>
    <n v="4"/>
    <x v="1"/>
    <x v="1"/>
  </r>
  <r>
    <d v="2019-10-02T00:00:00"/>
    <x v="1"/>
    <d v="1904-09-29T00:00:00"/>
    <x v="19"/>
    <x v="0"/>
    <n v="1"/>
    <x v="16"/>
    <x v="0"/>
    <n v="19"/>
    <x v="1"/>
    <x v="1"/>
  </r>
  <r>
    <d v="2019-10-02T00:00:00"/>
    <x v="1"/>
    <d v="1904-09-29T00:00:00"/>
    <x v="19"/>
    <x v="0"/>
    <n v="2"/>
    <x v="27"/>
    <x v="0"/>
    <n v="6"/>
    <x v="1"/>
    <x v="1"/>
  </r>
  <r>
    <d v="2019-10-02T00:00:00"/>
    <x v="1"/>
    <d v="1904-09-29T00:00:00"/>
    <x v="19"/>
    <x v="0"/>
    <n v="2"/>
    <x v="15"/>
    <x v="0"/>
    <n v="8"/>
    <x v="1"/>
    <x v="1"/>
  </r>
  <r>
    <d v="2019-10-02T00:00:00"/>
    <x v="1"/>
    <d v="1904-09-29T00:00:00"/>
    <x v="19"/>
    <x v="0"/>
    <n v="2"/>
    <x v="24"/>
    <x v="0"/>
    <n v="1"/>
    <x v="1"/>
    <x v="1"/>
  </r>
  <r>
    <d v="2019-10-02T00:00:00"/>
    <x v="1"/>
    <d v="1904-09-29T00:00:00"/>
    <x v="19"/>
    <x v="0"/>
    <n v="2"/>
    <x v="29"/>
    <x v="0"/>
    <n v="1"/>
    <x v="1"/>
    <x v="1"/>
  </r>
  <r>
    <d v="2019-10-02T00:00:00"/>
    <x v="1"/>
    <d v="1904-09-29T00:00:00"/>
    <x v="19"/>
    <x v="0"/>
    <n v="2"/>
    <x v="25"/>
    <x v="0"/>
    <n v="1"/>
    <x v="1"/>
    <x v="1"/>
  </r>
  <r>
    <d v="2019-10-02T00:00:00"/>
    <x v="1"/>
    <d v="1904-09-29T00:00:00"/>
    <x v="19"/>
    <x v="0"/>
    <n v="2"/>
    <x v="34"/>
    <x v="0"/>
    <n v="4"/>
    <x v="1"/>
    <x v="1"/>
  </r>
  <r>
    <d v="2019-10-02T00:00:00"/>
    <x v="1"/>
    <d v="1904-09-29T00:00:00"/>
    <x v="19"/>
    <x v="0"/>
    <n v="2"/>
    <x v="23"/>
    <x v="0"/>
    <n v="4"/>
    <x v="1"/>
    <x v="1"/>
  </r>
  <r>
    <d v="2019-10-02T00:00:00"/>
    <x v="1"/>
    <d v="1904-09-29T00:00:00"/>
    <x v="19"/>
    <x v="0"/>
    <n v="2"/>
    <x v="19"/>
    <x v="0"/>
    <n v="2"/>
    <x v="1"/>
    <x v="1"/>
  </r>
  <r>
    <d v="2019-10-02T00:00:00"/>
    <x v="1"/>
    <d v="1902-11-06T00:00:00"/>
    <x v="14"/>
    <x v="1"/>
    <n v="1"/>
    <x v="33"/>
    <x v="0"/>
    <n v="4"/>
    <x v="1"/>
    <x v="1"/>
  </r>
  <r>
    <d v="2019-10-02T00:00:00"/>
    <x v="1"/>
    <d v="1902-11-06T00:00:00"/>
    <x v="14"/>
    <x v="1"/>
    <n v="1"/>
    <x v="15"/>
    <x v="0"/>
    <n v="13"/>
    <x v="1"/>
    <x v="1"/>
  </r>
  <r>
    <d v="2019-10-02T00:00:00"/>
    <x v="1"/>
    <d v="1902-11-06T00:00:00"/>
    <x v="14"/>
    <x v="1"/>
    <n v="1"/>
    <x v="13"/>
    <x v="0"/>
    <n v="3"/>
    <x v="1"/>
    <x v="1"/>
  </r>
  <r>
    <d v="2019-10-02T00:00:00"/>
    <x v="1"/>
    <d v="1902-11-06T00:00:00"/>
    <x v="14"/>
    <x v="1"/>
    <n v="1"/>
    <x v="19"/>
    <x v="0"/>
    <n v="5"/>
    <x v="1"/>
    <x v="1"/>
  </r>
  <r>
    <d v="2019-10-02T00:00:00"/>
    <x v="1"/>
    <d v="1902-11-06T00:00:00"/>
    <x v="14"/>
    <x v="0"/>
    <n v="1"/>
    <x v="20"/>
    <x v="0"/>
    <n v="15"/>
    <x v="1"/>
    <x v="1"/>
  </r>
  <r>
    <d v="2019-10-02T00:00:00"/>
    <x v="1"/>
    <d v="1902-11-06T00:00:00"/>
    <x v="14"/>
    <x v="0"/>
    <n v="1"/>
    <x v="13"/>
    <x v="0"/>
    <n v="60"/>
    <x v="1"/>
    <x v="1"/>
  </r>
  <r>
    <d v="2019-10-02T00:00:00"/>
    <x v="1"/>
    <d v="1902-11-06T00:00:00"/>
    <x v="14"/>
    <x v="0"/>
    <n v="1"/>
    <x v="3"/>
    <x v="0"/>
    <n v="20"/>
    <x v="1"/>
    <x v="1"/>
  </r>
  <r>
    <d v="2019-10-02T00:00:00"/>
    <x v="1"/>
    <d v="1902-11-06T00:00:00"/>
    <x v="14"/>
    <x v="0"/>
    <n v="2"/>
    <x v="36"/>
    <x v="0"/>
    <n v="2"/>
    <x v="1"/>
    <x v="1"/>
  </r>
  <r>
    <d v="2019-10-02T00:00:00"/>
    <x v="1"/>
    <d v="1904-10-16T00:00:00"/>
    <x v="15"/>
    <x v="0"/>
    <n v="1"/>
    <x v="0"/>
    <x v="0"/>
    <n v="3"/>
    <x v="1"/>
    <x v="1"/>
  </r>
  <r>
    <d v="2019-10-02T00:00:00"/>
    <x v="1"/>
    <d v="1904-10-16T00:00:00"/>
    <x v="15"/>
    <x v="0"/>
    <n v="1"/>
    <x v="2"/>
    <x v="0"/>
    <n v="5"/>
    <x v="1"/>
    <x v="1"/>
  </r>
  <r>
    <d v="2019-10-02T00:00:00"/>
    <x v="1"/>
    <d v="1904-10-16T00:00:00"/>
    <x v="15"/>
    <x v="0"/>
    <n v="1"/>
    <x v="21"/>
    <x v="0"/>
    <n v="25"/>
    <x v="1"/>
    <x v="1"/>
  </r>
  <r>
    <d v="2019-10-02T00:00:00"/>
    <x v="1"/>
    <d v="1904-10-16T00:00:00"/>
    <x v="15"/>
    <x v="0"/>
    <n v="1"/>
    <x v="13"/>
    <x v="0"/>
    <n v="10"/>
    <x v="1"/>
    <x v="1"/>
  </r>
  <r>
    <d v="2019-10-02T00:00:00"/>
    <x v="1"/>
    <d v="1904-10-16T00:00:00"/>
    <x v="15"/>
    <x v="0"/>
    <n v="2"/>
    <x v="13"/>
    <x v="0"/>
    <n v="1"/>
    <x v="1"/>
    <x v="1"/>
  </r>
  <r>
    <d v="2019-10-02T00:00:00"/>
    <x v="1"/>
    <d v="1904-10-16T00:00:00"/>
    <x v="15"/>
    <x v="1"/>
    <n v="1"/>
    <x v="2"/>
    <x v="1"/>
    <n v="5"/>
    <x v="1"/>
    <x v="1"/>
  </r>
  <r>
    <d v="2019-10-02T00:00:00"/>
    <x v="1"/>
    <d v="1904-10-16T00:00:00"/>
    <x v="15"/>
    <x v="1"/>
    <n v="1"/>
    <x v="21"/>
    <x v="1"/>
    <n v="1"/>
    <x v="1"/>
    <x v="1"/>
  </r>
  <r>
    <d v="2019-10-02T00:00:00"/>
    <x v="1"/>
    <d v="1904-10-16T00:00:00"/>
    <x v="15"/>
    <x v="1"/>
    <n v="1"/>
    <x v="13"/>
    <x v="1"/>
    <n v="14"/>
    <x v="1"/>
    <x v="1"/>
  </r>
  <r>
    <d v="2019-10-02T00:00:00"/>
    <x v="1"/>
    <d v="1904-10-16T00:00:00"/>
    <x v="15"/>
    <x v="1"/>
    <n v="1"/>
    <x v="3"/>
    <x v="1"/>
    <n v="26"/>
    <x v="1"/>
    <x v="1"/>
  </r>
  <r>
    <d v="2019-10-02T00:00:00"/>
    <x v="1"/>
    <d v="1904-10-16T00:00:00"/>
    <x v="15"/>
    <x v="1"/>
    <n v="1"/>
    <x v="16"/>
    <x v="1"/>
    <n v="1"/>
    <x v="1"/>
    <x v="1"/>
  </r>
  <r>
    <d v="2019-10-02T00:00:00"/>
    <x v="1"/>
    <d v="1904-10-16T00:00:00"/>
    <x v="15"/>
    <x v="0"/>
    <n v="1"/>
    <x v="0"/>
    <x v="1"/>
    <n v="1"/>
    <x v="1"/>
    <x v="1"/>
  </r>
  <r>
    <d v="2019-10-02T00:00:00"/>
    <x v="1"/>
    <d v="1904-10-16T00:00:00"/>
    <x v="15"/>
    <x v="0"/>
    <n v="1"/>
    <x v="27"/>
    <x v="1"/>
    <n v="1"/>
    <x v="1"/>
    <x v="1"/>
  </r>
  <r>
    <d v="2019-10-02T00:00:00"/>
    <x v="1"/>
    <d v="1904-10-16T00:00:00"/>
    <x v="15"/>
    <x v="0"/>
    <n v="1"/>
    <x v="33"/>
    <x v="1"/>
    <n v="3"/>
    <x v="1"/>
    <x v="1"/>
  </r>
  <r>
    <d v="2019-10-02T00:00:00"/>
    <x v="1"/>
    <d v="1904-10-16T00:00:00"/>
    <x v="15"/>
    <x v="0"/>
    <n v="1"/>
    <x v="32"/>
    <x v="1"/>
    <n v="2"/>
    <x v="1"/>
    <x v="1"/>
  </r>
  <r>
    <d v="2019-10-02T00:00:00"/>
    <x v="1"/>
    <d v="1904-10-16T00:00:00"/>
    <x v="15"/>
    <x v="0"/>
    <n v="1"/>
    <x v="15"/>
    <x v="1"/>
    <n v="4"/>
    <x v="1"/>
    <x v="1"/>
  </r>
  <r>
    <d v="2019-10-02T00:00:00"/>
    <x v="1"/>
    <d v="1904-10-16T00:00:00"/>
    <x v="15"/>
    <x v="0"/>
    <n v="1"/>
    <x v="29"/>
    <x v="1"/>
    <n v="1"/>
    <x v="1"/>
    <x v="1"/>
  </r>
  <r>
    <d v="2019-10-02T00:00:00"/>
    <x v="1"/>
    <d v="1904-10-16T00:00:00"/>
    <x v="15"/>
    <x v="0"/>
    <n v="1"/>
    <x v="2"/>
    <x v="1"/>
    <n v="8"/>
    <x v="1"/>
    <x v="1"/>
  </r>
  <r>
    <d v="2019-10-02T00:00:00"/>
    <x v="1"/>
    <d v="1904-10-16T00:00:00"/>
    <x v="15"/>
    <x v="0"/>
    <n v="1"/>
    <x v="6"/>
    <x v="1"/>
    <n v="1"/>
    <x v="1"/>
    <x v="1"/>
  </r>
  <r>
    <d v="2019-10-02T00:00:00"/>
    <x v="1"/>
    <d v="1904-10-16T00:00:00"/>
    <x v="15"/>
    <x v="0"/>
    <n v="1"/>
    <x v="13"/>
    <x v="1"/>
    <n v="17"/>
    <x v="1"/>
    <x v="1"/>
  </r>
  <r>
    <d v="2019-10-02T00:00:00"/>
    <x v="1"/>
    <d v="1904-10-16T00:00:00"/>
    <x v="15"/>
    <x v="0"/>
    <n v="1"/>
    <x v="3"/>
    <x v="1"/>
    <n v="6"/>
    <x v="1"/>
    <x v="1"/>
  </r>
  <r>
    <d v="2019-10-02T00:00:00"/>
    <x v="1"/>
    <d v="1904-10-16T00:00:00"/>
    <x v="15"/>
    <x v="0"/>
    <n v="1"/>
    <x v="16"/>
    <x v="1"/>
    <n v="3"/>
    <x v="1"/>
    <x v="1"/>
  </r>
  <r>
    <d v="2019-10-02T00:00:00"/>
    <x v="1"/>
    <d v="1904-10-16T00:00:00"/>
    <x v="15"/>
    <x v="1"/>
    <n v="1"/>
    <x v="27"/>
    <x v="0"/>
    <n v="5"/>
    <x v="1"/>
    <x v="1"/>
  </r>
  <r>
    <d v="2019-10-02T00:00:00"/>
    <x v="1"/>
    <d v="1904-10-16T00:00:00"/>
    <x v="15"/>
    <x v="1"/>
    <n v="1"/>
    <x v="33"/>
    <x v="0"/>
    <n v="4"/>
    <x v="1"/>
    <x v="1"/>
  </r>
  <r>
    <d v="2019-10-02T00:00:00"/>
    <x v="1"/>
    <d v="1904-10-16T00:00:00"/>
    <x v="15"/>
    <x v="1"/>
    <n v="1"/>
    <x v="15"/>
    <x v="0"/>
    <n v="16"/>
    <x v="1"/>
    <x v="1"/>
  </r>
  <r>
    <d v="2019-10-02T00:00:00"/>
    <x v="1"/>
    <d v="1904-10-16T00:00:00"/>
    <x v="15"/>
    <x v="1"/>
    <n v="1"/>
    <x v="2"/>
    <x v="0"/>
    <n v="2"/>
    <x v="1"/>
    <x v="1"/>
  </r>
  <r>
    <d v="2019-10-02T00:00:00"/>
    <x v="1"/>
    <d v="1904-10-16T00:00:00"/>
    <x v="15"/>
    <x v="1"/>
    <n v="1"/>
    <x v="25"/>
    <x v="0"/>
    <n v="2"/>
    <x v="1"/>
    <x v="1"/>
  </r>
  <r>
    <d v="2019-10-02T00:00:00"/>
    <x v="1"/>
    <d v="1904-10-16T00:00:00"/>
    <x v="15"/>
    <x v="1"/>
    <n v="1"/>
    <x v="23"/>
    <x v="0"/>
    <n v="9"/>
    <x v="1"/>
    <x v="1"/>
  </r>
  <r>
    <d v="2019-10-02T00:00:00"/>
    <x v="1"/>
    <d v="1904-10-16T00:00:00"/>
    <x v="15"/>
    <x v="1"/>
    <n v="1"/>
    <x v="21"/>
    <x v="0"/>
    <n v="3"/>
    <x v="1"/>
    <x v="1"/>
  </r>
  <r>
    <d v="2019-10-02T00:00:00"/>
    <x v="1"/>
    <d v="1904-10-16T00:00:00"/>
    <x v="15"/>
    <x v="1"/>
    <n v="1"/>
    <x v="16"/>
    <x v="0"/>
    <n v="3"/>
    <x v="1"/>
    <x v="1"/>
  </r>
  <r>
    <d v="2019-10-02T00:00:00"/>
    <x v="1"/>
    <d v="1904-10-16T00:00:00"/>
    <x v="15"/>
    <x v="1"/>
    <n v="1"/>
    <x v="19"/>
    <x v="0"/>
    <n v="3"/>
    <x v="1"/>
    <x v="1"/>
  </r>
  <r>
    <d v="2019-10-02T00:00:00"/>
    <x v="1"/>
    <d v="1904-10-19T00:00:00"/>
    <x v="20"/>
    <x v="1"/>
    <n v="1"/>
    <x v="4"/>
    <x v="0"/>
    <n v="10"/>
    <x v="1"/>
    <x v="1"/>
  </r>
  <r>
    <d v="2019-10-02T00:00:00"/>
    <x v="1"/>
    <d v="1904-10-19T00:00:00"/>
    <x v="20"/>
    <x v="1"/>
    <n v="1"/>
    <x v="0"/>
    <x v="0"/>
    <n v="3"/>
    <x v="1"/>
    <x v="1"/>
  </r>
  <r>
    <d v="2019-10-02T00:00:00"/>
    <x v="1"/>
    <d v="1904-10-19T00:00:00"/>
    <x v="20"/>
    <x v="1"/>
    <n v="1"/>
    <x v="27"/>
    <x v="0"/>
    <n v="4"/>
    <x v="1"/>
    <x v="1"/>
  </r>
  <r>
    <d v="2019-10-02T00:00:00"/>
    <x v="1"/>
    <d v="1904-10-19T00:00:00"/>
    <x v="20"/>
    <x v="1"/>
    <n v="1"/>
    <x v="11"/>
    <x v="0"/>
    <n v="13"/>
    <x v="1"/>
    <x v="1"/>
  </r>
  <r>
    <d v="2019-10-02T00:00:00"/>
    <x v="1"/>
    <d v="1904-10-19T00:00:00"/>
    <x v="20"/>
    <x v="1"/>
    <n v="1"/>
    <x v="28"/>
    <x v="0"/>
    <n v="8"/>
    <x v="1"/>
    <x v="1"/>
  </r>
  <r>
    <d v="2019-10-02T00:00:00"/>
    <x v="1"/>
    <d v="1904-10-19T00:00:00"/>
    <x v="20"/>
    <x v="1"/>
    <n v="1"/>
    <x v="21"/>
    <x v="0"/>
    <n v="3"/>
    <x v="1"/>
    <x v="1"/>
  </r>
  <r>
    <d v="2019-10-02T00:00:00"/>
    <x v="1"/>
    <d v="1904-10-19T00:00:00"/>
    <x v="20"/>
    <x v="1"/>
    <n v="1"/>
    <x v="13"/>
    <x v="0"/>
    <n v="7"/>
    <x v="1"/>
    <x v="1"/>
  </r>
  <r>
    <d v="2019-10-02T00:00:00"/>
    <x v="1"/>
    <d v="1904-10-19T00:00:00"/>
    <x v="20"/>
    <x v="1"/>
    <n v="1"/>
    <x v="19"/>
    <x v="0"/>
    <n v="1"/>
    <x v="1"/>
    <x v="1"/>
  </r>
  <r>
    <d v="2019-10-02T00:00:00"/>
    <x v="1"/>
    <d v="1904-10-19T00:00:00"/>
    <x v="20"/>
    <x v="0"/>
    <n v="1"/>
    <x v="20"/>
    <x v="0"/>
    <n v="13"/>
    <x v="1"/>
    <x v="1"/>
  </r>
  <r>
    <d v="2019-10-02T00:00:00"/>
    <x v="1"/>
    <d v="1904-10-19T00:00:00"/>
    <x v="20"/>
    <x v="1"/>
    <n v="1"/>
    <x v="12"/>
    <x v="1"/>
    <n v="3"/>
    <x v="1"/>
    <x v="1"/>
  </r>
  <r>
    <d v="2019-10-02T00:00:00"/>
    <x v="1"/>
    <d v="1904-10-19T00:00:00"/>
    <x v="20"/>
    <x v="1"/>
    <n v="1"/>
    <x v="24"/>
    <x v="1"/>
    <n v="3"/>
    <x v="1"/>
    <x v="1"/>
  </r>
  <r>
    <d v="2019-10-02T00:00:00"/>
    <x v="1"/>
    <d v="1904-10-19T00:00:00"/>
    <x v="20"/>
    <x v="1"/>
    <n v="1"/>
    <x v="21"/>
    <x v="1"/>
    <n v="34"/>
    <x v="1"/>
    <x v="1"/>
  </r>
  <r>
    <d v="2019-10-02T00:00:00"/>
    <x v="1"/>
    <d v="1904-10-19T00:00:00"/>
    <x v="20"/>
    <x v="1"/>
    <n v="1"/>
    <x v="19"/>
    <x v="1"/>
    <n v="9"/>
    <x v="1"/>
    <x v="1"/>
  </r>
  <r>
    <d v="2019-10-02T00:00:00"/>
    <x v="1"/>
    <d v="1904-10-19T00:00:00"/>
    <x v="20"/>
    <x v="0"/>
    <n v="1"/>
    <x v="31"/>
    <x v="1"/>
    <n v="2"/>
    <x v="1"/>
    <x v="1"/>
  </r>
  <r>
    <d v="2019-10-02T00:00:00"/>
    <x v="1"/>
    <d v="1904-10-19T00:00:00"/>
    <x v="20"/>
    <x v="0"/>
    <n v="1"/>
    <x v="24"/>
    <x v="1"/>
    <n v="2"/>
    <x v="1"/>
    <x v="1"/>
  </r>
  <r>
    <d v="2019-10-02T00:00:00"/>
    <x v="1"/>
    <d v="1904-10-19T00:00:00"/>
    <x v="20"/>
    <x v="0"/>
    <n v="1"/>
    <x v="16"/>
    <x v="1"/>
    <n v="9"/>
    <x v="1"/>
    <x v="1"/>
  </r>
  <r>
    <d v="2019-10-02T00:00:00"/>
    <x v="1"/>
    <d v="1904-10-26T00:00:00"/>
    <x v="17"/>
    <x v="1"/>
    <n v="1"/>
    <x v="2"/>
    <x v="1"/>
    <n v="15"/>
    <x v="1"/>
    <x v="1"/>
  </r>
  <r>
    <d v="2019-10-02T00:00:00"/>
    <x v="1"/>
    <d v="1904-10-26T00:00:00"/>
    <x v="17"/>
    <x v="1"/>
    <n v="1"/>
    <x v="21"/>
    <x v="1"/>
    <n v="10"/>
    <x v="1"/>
    <x v="1"/>
  </r>
  <r>
    <d v="2019-10-02T00:00:00"/>
    <x v="1"/>
    <d v="1904-10-26T00:00:00"/>
    <x v="17"/>
    <x v="1"/>
    <n v="1"/>
    <x v="16"/>
    <x v="1"/>
    <n v="5"/>
    <x v="1"/>
    <x v="1"/>
  </r>
  <r>
    <d v="2019-10-02T00:00:00"/>
    <x v="1"/>
    <d v="1904-10-26T00:00:00"/>
    <x v="17"/>
    <x v="1"/>
    <n v="1"/>
    <x v="17"/>
    <x v="1"/>
    <n v="35"/>
    <x v="1"/>
    <x v="1"/>
  </r>
  <r>
    <d v="2019-10-02T00:00:00"/>
    <x v="1"/>
    <d v="1904-10-26T00:00:00"/>
    <x v="17"/>
    <x v="1"/>
    <n v="2"/>
    <x v="0"/>
    <x v="1"/>
    <n v="5"/>
    <x v="1"/>
    <x v="1"/>
  </r>
  <r>
    <d v="2019-10-02T00:00:00"/>
    <x v="1"/>
    <d v="1904-10-26T00:00:00"/>
    <x v="17"/>
    <x v="0"/>
    <n v="1"/>
    <x v="10"/>
    <x v="1"/>
    <n v="3"/>
    <x v="1"/>
    <x v="1"/>
  </r>
  <r>
    <d v="2019-10-02T00:00:00"/>
    <x v="1"/>
    <d v="1904-10-26T00:00:00"/>
    <x v="17"/>
    <x v="0"/>
    <n v="2"/>
    <x v="4"/>
    <x v="1"/>
    <n v="2"/>
    <x v="1"/>
    <x v="1"/>
  </r>
  <r>
    <d v="2019-10-02T00:00:00"/>
    <x v="1"/>
    <d v="1904-10-26T00:00:00"/>
    <x v="17"/>
    <x v="0"/>
    <n v="2"/>
    <x v="27"/>
    <x v="1"/>
    <n v="9"/>
    <x v="1"/>
    <x v="1"/>
  </r>
  <r>
    <d v="2019-10-02T00:00:00"/>
    <x v="1"/>
    <d v="1904-10-26T00:00:00"/>
    <x v="17"/>
    <x v="0"/>
    <n v="2"/>
    <x v="33"/>
    <x v="1"/>
    <n v="8"/>
    <x v="1"/>
    <x v="1"/>
  </r>
  <r>
    <d v="2019-10-02T00:00:00"/>
    <x v="1"/>
    <d v="1904-10-26T00:00:00"/>
    <x v="17"/>
    <x v="0"/>
    <n v="2"/>
    <x v="32"/>
    <x v="1"/>
    <n v="1"/>
    <x v="1"/>
    <x v="1"/>
  </r>
  <r>
    <d v="2019-10-02T00:00:00"/>
    <x v="1"/>
    <d v="1904-10-26T00:00:00"/>
    <x v="17"/>
    <x v="0"/>
    <n v="2"/>
    <x v="28"/>
    <x v="1"/>
    <n v="3"/>
    <x v="1"/>
    <x v="1"/>
  </r>
  <r>
    <d v="2019-10-02T00:00:00"/>
    <x v="1"/>
    <d v="1904-10-26T00:00:00"/>
    <x v="17"/>
    <x v="0"/>
    <n v="2"/>
    <x v="20"/>
    <x v="1"/>
    <n v="3"/>
    <x v="1"/>
    <x v="1"/>
  </r>
  <r>
    <d v="2019-10-02T00:00:00"/>
    <x v="1"/>
    <d v="1904-10-26T00:00:00"/>
    <x v="17"/>
    <x v="0"/>
    <n v="2"/>
    <x v="29"/>
    <x v="1"/>
    <n v="1"/>
    <x v="1"/>
    <x v="1"/>
  </r>
  <r>
    <d v="2019-10-02T00:00:00"/>
    <x v="1"/>
    <d v="1904-10-26T00:00:00"/>
    <x v="17"/>
    <x v="0"/>
    <n v="2"/>
    <x v="13"/>
    <x v="1"/>
    <n v="2"/>
    <x v="1"/>
    <x v="1"/>
  </r>
  <r>
    <d v="2019-10-02T00:00:00"/>
    <x v="1"/>
    <d v="1904-10-26T00:00:00"/>
    <x v="17"/>
    <x v="0"/>
    <n v="2"/>
    <x v="3"/>
    <x v="1"/>
    <n v="4"/>
    <x v="1"/>
    <x v="1"/>
  </r>
  <r>
    <d v="2019-10-02T00:00:00"/>
    <x v="1"/>
    <d v="1904-10-26T00:00:00"/>
    <x v="17"/>
    <x v="1"/>
    <n v="1"/>
    <x v="27"/>
    <x v="0"/>
    <n v="5"/>
    <x v="1"/>
    <x v="1"/>
  </r>
  <r>
    <d v="2019-10-02T00:00:00"/>
    <x v="1"/>
    <d v="1904-10-26T00:00:00"/>
    <x v="17"/>
    <x v="1"/>
    <n v="1"/>
    <x v="33"/>
    <x v="0"/>
    <n v="10"/>
    <x v="1"/>
    <x v="1"/>
  </r>
  <r>
    <d v="2019-10-02T00:00:00"/>
    <x v="1"/>
    <d v="1904-10-26T00:00:00"/>
    <x v="17"/>
    <x v="1"/>
    <n v="1"/>
    <x v="15"/>
    <x v="0"/>
    <n v="20"/>
    <x v="1"/>
    <x v="1"/>
  </r>
  <r>
    <d v="2019-10-02T00:00:00"/>
    <x v="1"/>
    <d v="1904-10-26T00:00:00"/>
    <x v="17"/>
    <x v="1"/>
    <n v="1"/>
    <x v="29"/>
    <x v="0"/>
    <n v="2"/>
    <x v="1"/>
    <x v="1"/>
  </r>
  <r>
    <d v="2019-10-02T00:00:00"/>
    <x v="1"/>
    <d v="1904-10-26T00:00:00"/>
    <x v="17"/>
    <x v="1"/>
    <n v="1"/>
    <x v="25"/>
    <x v="0"/>
    <n v="18"/>
    <x v="1"/>
    <x v="1"/>
  </r>
  <r>
    <d v="2019-10-02T00:00:00"/>
    <x v="1"/>
    <d v="1904-10-26T00:00:00"/>
    <x v="17"/>
    <x v="1"/>
    <n v="1"/>
    <x v="21"/>
    <x v="0"/>
    <n v="4"/>
    <x v="1"/>
    <x v="1"/>
  </r>
  <r>
    <d v="2019-10-02T00:00:00"/>
    <x v="1"/>
    <d v="1904-10-26T00:00:00"/>
    <x v="17"/>
    <x v="1"/>
    <n v="1"/>
    <x v="19"/>
    <x v="0"/>
    <n v="1"/>
    <x v="1"/>
    <x v="1"/>
  </r>
  <r>
    <d v="2019-10-02T00:00:00"/>
    <x v="1"/>
    <d v="1904-10-26T00:00:00"/>
    <x v="17"/>
    <x v="1"/>
    <n v="1"/>
    <x v="17"/>
    <x v="0"/>
    <n v="5"/>
    <x v="1"/>
    <x v="1"/>
  </r>
  <r>
    <d v="2019-10-02T00:00:00"/>
    <x v="1"/>
    <d v="1904-10-26T00:00:00"/>
    <x v="17"/>
    <x v="1"/>
    <n v="2"/>
    <x v="28"/>
    <x v="0"/>
    <n v="4"/>
    <x v="1"/>
    <x v="1"/>
  </r>
  <r>
    <d v="2019-10-02T00:00:00"/>
    <x v="1"/>
    <d v="1904-10-26T00:00:00"/>
    <x v="17"/>
    <x v="1"/>
    <n v="2"/>
    <x v="30"/>
    <x v="0"/>
    <n v="1"/>
    <x v="1"/>
    <x v="1"/>
  </r>
  <r>
    <d v="2019-10-02T00:00:00"/>
    <x v="1"/>
    <d v="1904-10-26T00:00:00"/>
    <x v="17"/>
    <x v="0"/>
    <n v="1"/>
    <x v="11"/>
    <x v="0"/>
    <n v="3"/>
    <x v="1"/>
    <x v="1"/>
  </r>
  <r>
    <d v="2019-10-02T00:00:00"/>
    <x v="1"/>
    <d v="1904-10-26T00:00:00"/>
    <x v="17"/>
    <x v="0"/>
    <n v="2"/>
    <x v="29"/>
    <x v="0"/>
    <n v="8"/>
    <x v="1"/>
    <x v="1"/>
  </r>
  <r>
    <d v="2019-10-02T00:00:00"/>
    <x v="1"/>
    <d v="1904-10-26T00:00:00"/>
    <x v="17"/>
    <x v="0"/>
    <n v="2"/>
    <x v="21"/>
    <x v="0"/>
    <n v="25"/>
    <x v="1"/>
    <x v="1"/>
  </r>
  <r>
    <d v="2019-10-02T00:00:00"/>
    <x v="1"/>
    <d v="1912-04-30T00:00:00"/>
    <x v="18"/>
    <x v="1"/>
    <n v="1"/>
    <x v="27"/>
    <x v="0"/>
    <n v="4"/>
    <x v="1"/>
    <x v="1"/>
  </r>
  <r>
    <d v="2019-10-02T00:00:00"/>
    <x v="1"/>
    <d v="1912-04-30T00:00:00"/>
    <x v="18"/>
    <x v="1"/>
    <n v="1"/>
    <x v="33"/>
    <x v="0"/>
    <n v="11"/>
    <x v="1"/>
    <x v="1"/>
  </r>
  <r>
    <d v="2019-10-02T00:00:00"/>
    <x v="1"/>
    <d v="1912-04-30T00:00:00"/>
    <x v="18"/>
    <x v="1"/>
    <n v="1"/>
    <x v="29"/>
    <x v="0"/>
    <n v="2"/>
    <x v="1"/>
    <x v="1"/>
  </r>
  <r>
    <d v="2019-10-02T00:00:00"/>
    <x v="1"/>
    <d v="1912-04-30T00:00:00"/>
    <x v="18"/>
    <x v="1"/>
    <n v="1"/>
    <x v="25"/>
    <x v="0"/>
    <n v="1"/>
    <x v="1"/>
    <x v="1"/>
  </r>
  <r>
    <d v="2019-10-02T00:00:00"/>
    <x v="1"/>
    <d v="1912-04-30T00:00:00"/>
    <x v="18"/>
    <x v="1"/>
    <n v="1"/>
    <x v="19"/>
    <x v="0"/>
    <n v="1"/>
    <x v="1"/>
    <x v="1"/>
  </r>
  <r>
    <d v="2019-10-02T00:00:00"/>
    <x v="1"/>
    <d v="1912-04-30T00:00:00"/>
    <x v="18"/>
    <x v="1"/>
    <n v="1"/>
    <x v="30"/>
    <x v="0"/>
    <n v="2"/>
    <x v="1"/>
    <x v="1"/>
  </r>
  <r>
    <d v="2019-10-02T00:00:00"/>
    <x v="1"/>
    <d v="1912-04-30T00:00:00"/>
    <x v="18"/>
    <x v="0"/>
    <n v="1"/>
    <x v="24"/>
    <x v="0"/>
    <n v="5"/>
    <x v="1"/>
    <x v="1"/>
  </r>
  <r>
    <d v="2019-10-02T00:00:00"/>
    <x v="1"/>
    <d v="1912-04-30T00:00:00"/>
    <x v="18"/>
    <x v="0"/>
    <n v="2"/>
    <x v="2"/>
    <x v="0"/>
    <n v="11"/>
    <x v="1"/>
    <x v="1"/>
  </r>
  <r>
    <d v="2019-10-02T00:00:00"/>
    <x v="1"/>
    <d v="1912-04-30T00:00:00"/>
    <x v="18"/>
    <x v="0"/>
    <n v="2"/>
    <x v="23"/>
    <x v="0"/>
    <n v="3"/>
    <x v="1"/>
    <x v="1"/>
  </r>
  <r>
    <d v="2019-10-02T00:00:00"/>
    <x v="1"/>
    <d v="1912-04-30T00:00:00"/>
    <x v="18"/>
    <x v="0"/>
    <n v="2"/>
    <x v="16"/>
    <x v="0"/>
    <n v="1"/>
    <x v="1"/>
    <x v="1"/>
  </r>
  <r>
    <d v="2019-10-02T00:00:00"/>
    <x v="1"/>
    <d v="1912-04-30T00:00:00"/>
    <x v="18"/>
    <x v="1"/>
    <n v="2"/>
    <x v="20"/>
    <x v="1"/>
    <n v="15"/>
    <x v="1"/>
    <x v="1"/>
  </r>
  <r>
    <d v="2019-10-02T00:00:00"/>
    <x v="1"/>
    <d v="1912-04-30T00:00:00"/>
    <x v="18"/>
    <x v="1"/>
    <n v="2"/>
    <x v="24"/>
    <x v="1"/>
    <n v="2"/>
    <x v="1"/>
    <x v="1"/>
  </r>
  <r>
    <d v="2019-10-02T00:00:00"/>
    <x v="1"/>
    <d v="1912-04-30T00:00:00"/>
    <x v="18"/>
    <x v="1"/>
    <n v="2"/>
    <x v="23"/>
    <x v="1"/>
    <n v="3"/>
    <x v="1"/>
    <x v="1"/>
  </r>
  <r>
    <d v="2019-10-02T00:00:00"/>
    <x v="1"/>
    <d v="1912-04-30T00:00:00"/>
    <x v="18"/>
    <x v="1"/>
    <n v="2"/>
    <x v="13"/>
    <x v="1"/>
    <n v="1"/>
    <x v="1"/>
    <x v="1"/>
  </r>
  <r>
    <d v="2019-10-02T00:00:00"/>
    <x v="1"/>
    <d v="1912-04-30T00:00:00"/>
    <x v="18"/>
    <x v="0"/>
    <n v="2"/>
    <x v="27"/>
    <x v="1"/>
    <n v="2"/>
    <x v="1"/>
    <x v="1"/>
  </r>
  <r>
    <d v="2019-10-02T00:00:00"/>
    <x v="1"/>
    <d v="1912-04-30T00:00:00"/>
    <x v="18"/>
    <x v="0"/>
    <n v="2"/>
    <x v="28"/>
    <x v="1"/>
    <n v="3"/>
    <x v="1"/>
    <x v="1"/>
  </r>
  <r>
    <d v="2019-10-02T00:00:00"/>
    <x v="1"/>
    <d v="1912-04-30T00:00:00"/>
    <x v="18"/>
    <x v="0"/>
    <n v="2"/>
    <x v="15"/>
    <x v="1"/>
    <n v="1"/>
    <x v="1"/>
    <x v="1"/>
  </r>
  <r>
    <d v="2019-10-02T00:00:00"/>
    <x v="1"/>
    <d v="1912-04-30T00:00:00"/>
    <x v="18"/>
    <x v="0"/>
    <n v="2"/>
    <x v="24"/>
    <x v="1"/>
    <n v="2"/>
    <x v="1"/>
    <x v="1"/>
  </r>
  <r>
    <d v="2019-10-02T00:00:00"/>
    <x v="1"/>
    <d v="1912-04-30T00:00:00"/>
    <x v="18"/>
    <x v="0"/>
    <n v="2"/>
    <x v="25"/>
    <x v="1"/>
    <n v="1"/>
    <x v="1"/>
    <x v="1"/>
  </r>
  <r>
    <d v="2019-10-02T00:00:00"/>
    <x v="1"/>
    <d v="1912-04-30T00:00:00"/>
    <x v="18"/>
    <x v="0"/>
    <n v="2"/>
    <x v="23"/>
    <x v="1"/>
    <n v="3"/>
    <x v="1"/>
    <x v="1"/>
  </r>
  <r>
    <d v="2019-10-02T00:00:00"/>
    <x v="1"/>
    <d v="1912-04-30T00:00:00"/>
    <x v="18"/>
    <x v="0"/>
    <n v="2"/>
    <x v="16"/>
    <x v="1"/>
    <n v="5"/>
    <x v="1"/>
    <x v="1"/>
  </r>
  <r>
    <d v="2019-10-02T00:00:00"/>
    <x v="1"/>
    <d v="1912-04-30T00:00:00"/>
    <x v="18"/>
    <x v="0"/>
    <n v="2"/>
    <x v="19"/>
    <x v="1"/>
    <n v="3"/>
    <x v="1"/>
    <x v="1"/>
  </r>
  <r>
    <d v="2019-10-02T00:00:00"/>
    <x v="1"/>
    <d v="1922-10-02T00:00:00"/>
    <x v="21"/>
    <x v="1"/>
    <n v="1"/>
    <x v="4"/>
    <x v="0"/>
    <n v="11"/>
    <x v="1"/>
    <x v="1"/>
  </r>
  <r>
    <d v="2019-10-02T00:00:00"/>
    <x v="1"/>
    <d v="1922-10-02T00:00:00"/>
    <x v="21"/>
    <x v="1"/>
    <n v="1"/>
    <x v="27"/>
    <x v="0"/>
    <n v="5"/>
    <x v="1"/>
    <x v="1"/>
  </r>
  <r>
    <d v="2019-10-02T00:00:00"/>
    <x v="1"/>
    <d v="1922-10-02T00:00:00"/>
    <x v="21"/>
    <x v="1"/>
    <n v="1"/>
    <x v="5"/>
    <x v="0"/>
    <n v="6"/>
    <x v="1"/>
    <x v="1"/>
  </r>
  <r>
    <d v="2019-10-02T00:00:00"/>
    <x v="1"/>
    <d v="1922-10-02T00:00:00"/>
    <x v="21"/>
    <x v="1"/>
    <n v="1"/>
    <x v="29"/>
    <x v="0"/>
    <n v="1"/>
    <x v="1"/>
    <x v="1"/>
  </r>
  <r>
    <d v="2019-10-02T00:00:00"/>
    <x v="1"/>
    <d v="1922-10-02T00:00:00"/>
    <x v="21"/>
    <x v="1"/>
    <n v="1"/>
    <x v="21"/>
    <x v="0"/>
    <n v="2"/>
    <x v="1"/>
    <x v="1"/>
  </r>
  <r>
    <d v="2019-10-02T00:00:00"/>
    <x v="1"/>
    <d v="1922-10-02T00:00:00"/>
    <x v="21"/>
    <x v="1"/>
    <n v="1"/>
    <x v="13"/>
    <x v="0"/>
    <n v="3"/>
    <x v="1"/>
    <x v="1"/>
  </r>
  <r>
    <d v="2019-10-02T00:00:00"/>
    <x v="1"/>
    <d v="1922-10-02T00:00:00"/>
    <x v="21"/>
    <x v="1"/>
    <n v="2"/>
    <x v="27"/>
    <x v="0"/>
    <n v="2"/>
    <x v="1"/>
    <x v="1"/>
  </r>
  <r>
    <d v="2019-10-02T00:00:00"/>
    <x v="1"/>
    <d v="1922-10-02T00:00:00"/>
    <x v="21"/>
    <x v="1"/>
    <n v="2"/>
    <x v="21"/>
    <x v="0"/>
    <n v="3"/>
    <x v="1"/>
    <x v="1"/>
  </r>
  <r>
    <d v="2019-10-02T00:00:00"/>
    <x v="1"/>
    <d v="1922-10-02T00:00:00"/>
    <x v="21"/>
    <x v="0"/>
    <n v="1"/>
    <x v="21"/>
    <x v="0"/>
    <n v="26"/>
    <x v="1"/>
    <x v="1"/>
  </r>
  <r>
    <d v="2019-10-02T00:00:00"/>
    <x v="1"/>
    <d v="1922-10-02T00:00:00"/>
    <x v="21"/>
    <x v="0"/>
    <n v="1"/>
    <x v="19"/>
    <x v="0"/>
    <n v="34"/>
    <x v="1"/>
    <x v="1"/>
  </r>
  <r>
    <d v="2019-10-02T00:00:00"/>
    <x v="1"/>
    <d v="1922-10-02T00:00:00"/>
    <x v="21"/>
    <x v="1"/>
    <n v="1"/>
    <x v="21"/>
    <x v="1"/>
    <n v="27"/>
    <x v="1"/>
    <x v="1"/>
  </r>
  <r>
    <d v="2019-10-02T00:00:00"/>
    <x v="1"/>
    <d v="1922-10-02T00:00:00"/>
    <x v="21"/>
    <x v="1"/>
    <n v="1"/>
    <x v="19"/>
    <x v="1"/>
    <n v="6"/>
    <x v="1"/>
    <x v="1"/>
  </r>
  <r>
    <d v="2019-10-02T00:00:00"/>
    <x v="1"/>
    <d v="1922-10-02T00:00:00"/>
    <x v="21"/>
    <x v="0"/>
    <n v="1"/>
    <x v="11"/>
    <x v="1"/>
    <n v="23"/>
    <x v="1"/>
    <x v="1"/>
  </r>
  <r>
    <d v="2019-10-02T00:00:00"/>
    <x v="1"/>
    <d v="1922-10-02T00:00:00"/>
    <x v="21"/>
    <x v="0"/>
    <n v="1"/>
    <x v="25"/>
    <x v="1"/>
    <n v="2"/>
    <x v="1"/>
    <x v="1"/>
  </r>
  <r>
    <d v="2019-10-02T00:00:00"/>
    <x v="1"/>
    <d v="1922-10-02T00:00:00"/>
    <x v="21"/>
    <x v="0"/>
    <n v="1"/>
    <x v="34"/>
    <x v="1"/>
    <n v="1"/>
    <x v="1"/>
    <x v="1"/>
  </r>
  <r>
    <d v="2019-10-02T00:00:00"/>
    <x v="1"/>
    <d v="1922-10-02T00:00:00"/>
    <x v="21"/>
    <x v="0"/>
    <n v="1"/>
    <x v="23"/>
    <x v="1"/>
    <n v="9"/>
    <x v="1"/>
    <x v="1"/>
  </r>
  <r>
    <d v="2019-10-02T00:00:00"/>
    <x v="1"/>
    <d v="1922-10-02T00:00:00"/>
    <x v="21"/>
    <x v="0"/>
    <n v="1"/>
    <x v="21"/>
    <x v="1"/>
    <n v="9"/>
    <x v="1"/>
    <x v="1"/>
  </r>
  <r>
    <d v="2019-10-02T00:00:00"/>
    <x v="1"/>
    <d v="1922-10-02T00:00:00"/>
    <x v="21"/>
    <x v="0"/>
    <n v="1"/>
    <x v="16"/>
    <x v="1"/>
    <n v="13"/>
    <x v="1"/>
    <x v="1"/>
  </r>
  <r>
    <d v="2019-10-02T00:00:00"/>
    <x v="1"/>
    <d v="1922-10-02T00:00:00"/>
    <x v="21"/>
    <x v="0"/>
    <n v="1"/>
    <x v="19"/>
    <x v="1"/>
    <n v="3"/>
    <x v="1"/>
    <x v="1"/>
  </r>
  <r>
    <d v="2019-10-02T00:00:00"/>
    <x v="1"/>
    <d v="1902-10-31T00:00:00"/>
    <x v="26"/>
    <x v="0"/>
    <n v="1"/>
    <x v="20"/>
    <x v="0"/>
    <n v="46"/>
    <x v="1"/>
    <x v="1"/>
  </r>
  <r>
    <d v="2019-10-02T00:00:00"/>
    <x v="1"/>
    <d v="1902-10-31T00:00:00"/>
    <x v="26"/>
    <x v="0"/>
    <n v="2"/>
    <x v="17"/>
    <x v="0"/>
    <n v="48"/>
    <x v="1"/>
    <x v="1"/>
  </r>
  <r>
    <d v="2019-10-02T00:00:00"/>
    <x v="1"/>
    <d v="1925-06-22T00:00:00"/>
    <x v="22"/>
    <x v="1"/>
    <n v="1"/>
    <x v="27"/>
    <x v="0"/>
    <n v="5"/>
    <x v="1"/>
    <x v="1"/>
  </r>
  <r>
    <d v="2019-10-02T00:00:00"/>
    <x v="1"/>
    <d v="1925-06-22T00:00:00"/>
    <x v="22"/>
    <x v="1"/>
    <n v="1"/>
    <x v="30"/>
    <x v="0"/>
    <n v="5"/>
    <x v="1"/>
    <x v="1"/>
  </r>
  <r>
    <d v="2019-10-02T00:00:00"/>
    <x v="1"/>
    <d v="1925-06-22T00:00:00"/>
    <x v="22"/>
    <x v="1"/>
    <n v="2"/>
    <x v="6"/>
    <x v="0"/>
    <n v="1"/>
    <x v="1"/>
    <x v="1"/>
  </r>
  <r>
    <d v="2019-10-02T00:00:00"/>
    <x v="1"/>
    <d v="1925-06-22T00:00:00"/>
    <x v="22"/>
    <x v="1"/>
    <n v="2"/>
    <x v="25"/>
    <x v="0"/>
    <n v="2"/>
    <x v="1"/>
    <x v="1"/>
  </r>
  <r>
    <d v="2019-10-02T00:00:00"/>
    <x v="1"/>
    <d v="1925-06-22T00:00:00"/>
    <x v="22"/>
    <x v="1"/>
    <n v="2"/>
    <x v="34"/>
    <x v="0"/>
    <n v="2"/>
    <x v="1"/>
    <x v="1"/>
  </r>
  <r>
    <d v="2019-10-02T00:00:00"/>
    <x v="1"/>
    <d v="1925-06-22T00:00:00"/>
    <x v="22"/>
    <x v="1"/>
    <n v="2"/>
    <x v="3"/>
    <x v="0"/>
    <n v="9"/>
    <x v="1"/>
    <x v="1"/>
  </r>
  <r>
    <d v="2019-10-02T00:00:00"/>
    <x v="1"/>
    <d v="1925-06-22T00:00:00"/>
    <x v="22"/>
    <x v="1"/>
    <n v="2"/>
    <x v="16"/>
    <x v="0"/>
    <n v="4"/>
    <x v="1"/>
    <x v="1"/>
  </r>
  <r>
    <d v="2019-10-02T00:00:00"/>
    <x v="1"/>
    <d v="1925-06-22T00:00:00"/>
    <x v="22"/>
    <x v="0"/>
    <n v="1"/>
    <x v="0"/>
    <x v="1"/>
    <n v="6"/>
    <x v="1"/>
    <x v="1"/>
  </r>
  <r>
    <d v="2019-10-02T00:00:00"/>
    <x v="1"/>
    <d v="1925-06-22T00:00:00"/>
    <x v="22"/>
    <x v="0"/>
    <n v="1"/>
    <x v="27"/>
    <x v="1"/>
    <n v="6"/>
    <x v="1"/>
    <x v="1"/>
  </r>
  <r>
    <d v="2019-10-02T00:00:00"/>
    <x v="1"/>
    <d v="1925-06-22T00:00:00"/>
    <x v="22"/>
    <x v="0"/>
    <n v="1"/>
    <x v="28"/>
    <x v="1"/>
    <n v="5"/>
    <x v="1"/>
    <x v="1"/>
  </r>
  <r>
    <d v="2019-10-02T00:00:00"/>
    <x v="1"/>
    <d v="1925-06-22T00:00:00"/>
    <x v="22"/>
    <x v="0"/>
    <n v="1"/>
    <x v="15"/>
    <x v="1"/>
    <n v="2"/>
    <x v="1"/>
    <x v="1"/>
  </r>
  <r>
    <d v="2019-10-02T00:00:00"/>
    <x v="1"/>
    <d v="1925-06-22T00:00:00"/>
    <x v="22"/>
    <x v="0"/>
    <n v="1"/>
    <x v="24"/>
    <x v="1"/>
    <n v="7"/>
    <x v="1"/>
    <x v="1"/>
  </r>
  <r>
    <d v="2019-10-02T00:00:00"/>
    <x v="1"/>
    <d v="1925-06-22T00:00:00"/>
    <x v="22"/>
    <x v="0"/>
    <n v="1"/>
    <x v="1"/>
    <x v="1"/>
    <n v="3"/>
    <x v="1"/>
    <x v="1"/>
  </r>
  <r>
    <d v="2019-10-02T00:00:00"/>
    <x v="1"/>
    <d v="1925-06-22T00:00:00"/>
    <x v="22"/>
    <x v="0"/>
    <n v="1"/>
    <x v="2"/>
    <x v="1"/>
    <n v="4"/>
    <x v="1"/>
    <x v="1"/>
  </r>
  <r>
    <d v="2019-10-02T00:00:00"/>
    <x v="1"/>
    <d v="1925-06-22T00:00:00"/>
    <x v="22"/>
    <x v="0"/>
    <n v="1"/>
    <x v="6"/>
    <x v="1"/>
    <n v="3"/>
    <x v="1"/>
    <x v="1"/>
  </r>
  <r>
    <d v="2019-10-02T00:00:00"/>
    <x v="1"/>
    <d v="1925-06-22T00:00:00"/>
    <x v="22"/>
    <x v="0"/>
    <n v="1"/>
    <x v="25"/>
    <x v="1"/>
    <n v="2"/>
    <x v="1"/>
    <x v="1"/>
  </r>
  <r>
    <d v="2019-10-02T00:00:00"/>
    <x v="1"/>
    <d v="1925-06-22T00:00:00"/>
    <x v="22"/>
    <x v="0"/>
    <n v="1"/>
    <x v="21"/>
    <x v="1"/>
    <n v="10"/>
    <x v="1"/>
    <x v="1"/>
  </r>
  <r>
    <d v="2019-10-02T00:00:00"/>
    <x v="1"/>
    <d v="1925-06-22T00:00:00"/>
    <x v="22"/>
    <x v="0"/>
    <n v="1"/>
    <x v="9"/>
    <x v="1"/>
    <n v="3"/>
    <x v="1"/>
    <x v="1"/>
  </r>
  <r>
    <d v="2019-10-02T00:00:00"/>
    <x v="1"/>
    <d v="1925-06-22T00:00:00"/>
    <x v="22"/>
    <x v="0"/>
    <n v="1"/>
    <x v="16"/>
    <x v="1"/>
    <n v="11"/>
    <x v="1"/>
    <x v="1"/>
  </r>
  <r>
    <d v="2019-10-02T00:00:00"/>
    <x v="1"/>
    <d v="1925-06-22T00:00:00"/>
    <x v="22"/>
    <x v="0"/>
    <n v="1"/>
    <x v="10"/>
    <x v="1"/>
    <n v="3"/>
    <x v="1"/>
    <x v="1"/>
  </r>
  <r>
    <d v="2019-10-02T00:00:00"/>
    <x v="1"/>
    <d v="1925-06-22T00:00:00"/>
    <x v="22"/>
    <x v="0"/>
    <n v="2"/>
    <x v="33"/>
    <x v="1"/>
    <n v="2"/>
    <x v="1"/>
    <x v="1"/>
  </r>
  <r>
    <d v="2019-10-02T00:00:00"/>
    <x v="1"/>
    <d v="1925-06-22T00:00:00"/>
    <x v="22"/>
    <x v="0"/>
    <n v="2"/>
    <x v="15"/>
    <x v="1"/>
    <n v="3"/>
    <x v="1"/>
    <x v="1"/>
  </r>
  <r>
    <d v="2019-10-02T00:00:00"/>
    <x v="1"/>
    <d v="1925-06-22T00:00:00"/>
    <x v="22"/>
    <x v="0"/>
    <n v="2"/>
    <x v="34"/>
    <x v="1"/>
    <n v="1"/>
    <x v="1"/>
    <x v="1"/>
  </r>
  <r>
    <d v="2019-10-02T00:00:00"/>
    <x v="1"/>
    <d v="1925-06-22T00:00:00"/>
    <x v="22"/>
    <x v="0"/>
    <n v="2"/>
    <x v="21"/>
    <x v="1"/>
    <n v="1"/>
    <x v="1"/>
    <x v="1"/>
  </r>
  <r>
    <d v="2019-10-02T00:00:00"/>
    <x v="1"/>
    <d v="1925-06-22T00:00:00"/>
    <x v="22"/>
    <x v="0"/>
    <n v="1"/>
    <x v="20"/>
    <x v="0"/>
    <n v="46"/>
    <x v="1"/>
    <x v="1"/>
  </r>
  <r>
    <d v="2019-10-02T00:00:00"/>
    <x v="1"/>
    <d v="1925-06-22T00:00:00"/>
    <x v="22"/>
    <x v="0"/>
    <n v="1"/>
    <x v="5"/>
    <x v="0"/>
    <n v="7"/>
    <x v="1"/>
    <x v="1"/>
  </r>
  <r>
    <d v="2019-10-02T00:00:00"/>
    <x v="1"/>
    <d v="1925-06-22T00:00:00"/>
    <x v="22"/>
    <x v="0"/>
    <n v="1"/>
    <x v="14"/>
    <x v="0"/>
    <n v="12"/>
    <x v="1"/>
    <x v="1"/>
  </r>
  <r>
    <d v="2019-10-02T00:00:00"/>
    <x v="1"/>
    <d v="1925-06-22T00:00:00"/>
    <x v="22"/>
    <x v="0"/>
    <n v="2"/>
    <x v="17"/>
    <x v="0"/>
    <n v="7"/>
    <x v="1"/>
    <x v="1"/>
  </r>
  <r>
    <d v="2019-10-02T00:00:00"/>
    <x v="1"/>
    <d v="1925-07-01T00:00:00"/>
    <x v="23"/>
    <x v="1"/>
    <n v="1"/>
    <x v="27"/>
    <x v="0"/>
    <n v="13"/>
    <x v="1"/>
    <x v="1"/>
  </r>
  <r>
    <d v="2019-10-02T00:00:00"/>
    <x v="1"/>
    <d v="1925-07-01T00:00:00"/>
    <x v="23"/>
    <x v="1"/>
    <n v="1"/>
    <x v="33"/>
    <x v="0"/>
    <n v="2"/>
    <x v="1"/>
    <x v="1"/>
  </r>
  <r>
    <d v="2019-10-02T00:00:00"/>
    <x v="1"/>
    <d v="1925-07-01T00:00:00"/>
    <x v="23"/>
    <x v="1"/>
    <n v="1"/>
    <x v="31"/>
    <x v="0"/>
    <n v="3"/>
    <x v="1"/>
    <x v="1"/>
  </r>
  <r>
    <d v="2019-10-02T00:00:00"/>
    <x v="1"/>
    <d v="1925-07-01T00:00:00"/>
    <x v="23"/>
    <x v="1"/>
    <n v="1"/>
    <x v="32"/>
    <x v="0"/>
    <n v="1"/>
    <x v="1"/>
    <x v="1"/>
  </r>
  <r>
    <d v="2019-10-02T00:00:00"/>
    <x v="1"/>
    <d v="1925-07-01T00:00:00"/>
    <x v="23"/>
    <x v="1"/>
    <n v="1"/>
    <x v="28"/>
    <x v="0"/>
    <n v="1"/>
    <x v="1"/>
    <x v="1"/>
  </r>
  <r>
    <d v="2019-10-02T00:00:00"/>
    <x v="1"/>
    <d v="1925-07-01T00:00:00"/>
    <x v="23"/>
    <x v="1"/>
    <n v="1"/>
    <x v="24"/>
    <x v="0"/>
    <n v="2"/>
    <x v="1"/>
    <x v="1"/>
  </r>
  <r>
    <d v="2019-10-02T00:00:00"/>
    <x v="1"/>
    <d v="1925-07-01T00:00:00"/>
    <x v="23"/>
    <x v="1"/>
    <n v="1"/>
    <x v="23"/>
    <x v="0"/>
    <n v="2"/>
    <x v="1"/>
    <x v="1"/>
  </r>
  <r>
    <d v="2019-10-02T00:00:00"/>
    <x v="1"/>
    <d v="1925-07-01T00:00:00"/>
    <x v="23"/>
    <x v="1"/>
    <n v="1"/>
    <x v="19"/>
    <x v="0"/>
    <n v="4"/>
    <x v="1"/>
    <x v="1"/>
  </r>
  <r>
    <d v="2019-10-02T00:00:00"/>
    <x v="1"/>
    <d v="1925-07-01T00:00:00"/>
    <x v="23"/>
    <x v="1"/>
    <n v="1"/>
    <x v="30"/>
    <x v="0"/>
    <n v="2"/>
    <x v="1"/>
    <x v="1"/>
  </r>
  <r>
    <d v="2019-10-02T00:00:00"/>
    <x v="1"/>
    <d v="1925-07-01T00:00:00"/>
    <x v="23"/>
    <x v="1"/>
    <n v="1"/>
    <x v="35"/>
    <x v="0"/>
    <n v="2"/>
    <x v="1"/>
    <x v="1"/>
  </r>
  <r>
    <d v="2019-10-02T00:00:00"/>
    <x v="1"/>
    <d v="1925-07-01T00:00:00"/>
    <x v="23"/>
    <x v="0"/>
    <n v="1"/>
    <x v="15"/>
    <x v="0"/>
    <n v="15"/>
    <x v="1"/>
    <x v="1"/>
  </r>
  <r>
    <d v="2019-10-02T00:00:00"/>
    <x v="1"/>
    <d v="1925-07-01T00:00:00"/>
    <x v="23"/>
    <x v="0"/>
    <n v="1"/>
    <x v="23"/>
    <x v="0"/>
    <n v="5"/>
    <x v="1"/>
    <x v="1"/>
  </r>
  <r>
    <d v="2019-10-02T00:00:00"/>
    <x v="1"/>
    <d v="1925-07-01T00:00:00"/>
    <x v="23"/>
    <x v="0"/>
    <n v="1"/>
    <x v="3"/>
    <x v="0"/>
    <n v="6"/>
    <x v="1"/>
    <x v="1"/>
  </r>
  <r>
    <d v="2019-10-02T00:00:00"/>
    <x v="1"/>
    <d v="1925-07-01T00:00:00"/>
    <x v="23"/>
    <x v="0"/>
    <n v="1"/>
    <x v="17"/>
    <x v="0"/>
    <n v="9"/>
    <x v="1"/>
    <x v="1"/>
  </r>
  <r>
    <d v="2019-10-02T00:00:00"/>
    <x v="1"/>
    <d v="1925-07-01T00:00:00"/>
    <x v="23"/>
    <x v="0"/>
    <n v="2"/>
    <x v="3"/>
    <x v="0"/>
    <n v="10"/>
    <x v="1"/>
    <x v="1"/>
  </r>
  <r>
    <d v="2019-10-02T00:00:00"/>
    <x v="1"/>
    <d v="1925-07-07T00:00:00"/>
    <x v="24"/>
    <x v="1"/>
    <n v="1"/>
    <x v="21"/>
    <x v="1"/>
    <n v="10"/>
    <x v="1"/>
    <x v="1"/>
  </r>
  <r>
    <d v="2019-10-02T00:00:00"/>
    <x v="1"/>
    <d v="1925-07-07T00:00:00"/>
    <x v="24"/>
    <x v="1"/>
    <n v="1"/>
    <x v="13"/>
    <x v="1"/>
    <n v="2"/>
    <x v="1"/>
    <x v="1"/>
  </r>
  <r>
    <d v="2019-10-02T00:00:00"/>
    <x v="1"/>
    <d v="1925-07-07T00:00:00"/>
    <x v="24"/>
    <x v="1"/>
    <n v="1"/>
    <x v="14"/>
    <x v="1"/>
    <n v="14"/>
    <x v="1"/>
    <x v="1"/>
  </r>
  <r>
    <d v="2019-10-02T00:00:00"/>
    <x v="1"/>
    <d v="1925-07-07T00:00:00"/>
    <x v="24"/>
    <x v="0"/>
    <n v="1"/>
    <x v="27"/>
    <x v="1"/>
    <n v="3"/>
    <x v="1"/>
    <x v="1"/>
  </r>
  <r>
    <d v="2019-10-02T00:00:00"/>
    <x v="1"/>
    <d v="1925-07-07T00:00:00"/>
    <x v="24"/>
    <x v="0"/>
    <n v="1"/>
    <x v="33"/>
    <x v="1"/>
    <n v="9"/>
    <x v="1"/>
    <x v="1"/>
  </r>
  <r>
    <d v="2019-10-02T00:00:00"/>
    <x v="1"/>
    <d v="1925-07-07T00:00:00"/>
    <x v="24"/>
    <x v="0"/>
    <n v="1"/>
    <x v="36"/>
    <x v="1"/>
    <n v="13"/>
    <x v="1"/>
    <x v="1"/>
  </r>
  <r>
    <d v="2019-10-02T00:00:00"/>
    <x v="1"/>
    <d v="1925-07-07T00:00:00"/>
    <x v="24"/>
    <x v="0"/>
    <n v="1"/>
    <x v="29"/>
    <x v="1"/>
    <n v="1"/>
    <x v="1"/>
    <x v="1"/>
  </r>
  <r>
    <d v="2019-10-02T00:00:00"/>
    <x v="1"/>
    <d v="1925-07-07T00:00:00"/>
    <x v="24"/>
    <x v="0"/>
    <n v="1"/>
    <x v="25"/>
    <x v="1"/>
    <n v="10"/>
    <x v="1"/>
    <x v="1"/>
  </r>
  <r>
    <d v="2019-10-02T00:00:00"/>
    <x v="1"/>
    <d v="1925-07-07T00:00:00"/>
    <x v="24"/>
    <x v="0"/>
    <n v="1"/>
    <x v="23"/>
    <x v="1"/>
    <n v="7"/>
    <x v="1"/>
    <x v="1"/>
  </r>
  <r>
    <d v="2019-10-02T00:00:00"/>
    <x v="1"/>
    <d v="1925-07-07T00:00:00"/>
    <x v="24"/>
    <x v="0"/>
    <n v="1"/>
    <x v="21"/>
    <x v="1"/>
    <n v="9"/>
    <x v="1"/>
    <x v="1"/>
  </r>
  <r>
    <d v="2019-10-02T00:00:00"/>
    <x v="1"/>
    <d v="1925-07-07T00:00:00"/>
    <x v="24"/>
    <x v="0"/>
    <n v="1"/>
    <x v="19"/>
    <x v="1"/>
    <n v="7"/>
    <x v="1"/>
    <x v="1"/>
  </r>
  <r>
    <d v="2019-10-02T00:00:00"/>
    <x v="1"/>
    <d v="1925-07-07T00:00:00"/>
    <x v="24"/>
    <x v="0"/>
    <n v="2"/>
    <x v="27"/>
    <x v="1"/>
    <n v="2"/>
    <x v="1"/>
    <x v="1"/>
  </r>
  <r>
    <d v="2019-10-02T00:00:00"/>
    <x v="1"/>
    <d v="1925-07-07T00:00:00"/>
    <x v="24"/>
    <x v="0"/>
    <n v="2"/>
    <x v="33"/>
    <x v="1"/>
    <n v="7"/>
    <x v="1"/>
    <x v="1"/>
  </r>
  <r>
    <d v="2019-10-02T00:00:00"/>
    <x v="1"/>
    <d v="1925-07-07T00:00:00"/>
    <x v="24"/>
    <x v="0"/>
    <n v="2"/>
    <x v="28"/>
    <x v="1"/>
    <n v="5"/>
    <x v="1"/>
    <x v="1"/>
  </r>
  <r>
    <d v="2019-10-02T00:00:00"/>
    <x v="1"/>
    <d v="1925-07-07T00:00:00"/>
    <x v="24"/>
    <x v="0"/>
    <n v="2"/>
    <x v="36"/>
    <x v="1"/>
    <n v="23"/>
    <x v="1"/>
    <x v="1"/>
  </r>
  <r>
    <d v="2019-10-02T00:00:00"/>
    <x v="1"/>
    <d v="1925-07-07T00:00:00"/>
    <x v="24"/>
    <x v="0"/>
    <n v="2"/>
    <x v="29"/>
    <x v="1"/>
    <n v="1"/>
    <x v="1"/>
    <x v="1"/>
  </r>
  <r>
    <d v="2019-10-02T00:00:00"/>
    <x v="1"/>
    <d v="1925-07-07T00:00:00"/>
    <x v="24"/>
    <x v="0"/>
    <n v="2"/>
    <x v="23"/>
    <x v="1"/>
    <n v="11"/>
    <x v="1"/>
    <x v="1"/>
  </r>
  <r>
    <d v="2019-10-02T00:00:00"/>
    <x v="1"/>
    <d v="1925-07-07T00:00:00"/>
    <x v="24"/>
    <x v="0"/>
    <n v="2"/>
    <x v="19"/>
    <x v="1"/>
    <n v="5"/>
    <x v="1"/>
    <x v="1"/>
  </r>
  <r>
    <d v="2019-10-02T00:00:00"/>
    <x v="1"/>
    <d v="1925-07-07T00:00:00"/>
    <x v="24"/>
    <x v="0"/>
    <n v="2"/>
    <x v="30"/>
    <x v="1"/>
    <n v="1"/>
    <x v="1"/>
    <x v="1"/>
  </r>
  <r>
    <d v="2019-10-02T00:00:00"/>
    <x v="1"/>
    <d v="1925-07-07T00:00:00"/>
    <x v="24"/>
    <x v="1"/>
    <n v="1"/>
    <x v="27"/>
    <x v="0"/>
    <n v="9"/>
    <x v="1"/>
    <x v="1"/>
  </r>
  <r>
    <d v="2019-10-02T00:00:00"/>
    <x v="1"/>
    <d v="1925-07-07T00:00:00"/>
    <x v="24"/>
    <x v="1"/>
    <n v="1"/>
    <x v="15"/>
    <x v="0"/>
    <n v="7"/>
    <x v="1"/>
    <x v="1"/>
  </r>
  <r>
    <d v="2019-10-02T00:00:00"/>
    <x v="1"/>
    <d v="1925-07-07T00:00:00"/>
    <x v="24"/>
    <x v="1"/>
    <n v="1"/>
    <x v="34"/>
    <x v="0"/>
    <n v="1"/>
    <x v="1"/>
    <x v="1"/>
  </r>
  <r>
    <d v="2019-10-02T00:00:00"/>
    <x v="1"/>
    <d v="1925-07-07T00:00:00"/>
    <x v="24"/>
    <x v="1"/>
    <n v="1"/>
    <x v="23"/>
    <x v="0"/>
    <n v="1"/>
    <x v="1"/>
    <x v="1"/>
  </r>
  <r>
    <d v="2019-10-02T00:00:00"/>
    <x v="1"/>
    <d v="1925-07-07T00:00:00"/>
    <x v="24"/>
    <x v="1"/>
    <n v="1"/>
    <x v="21"/>
    <x v="0"/>
    <n v="3"/>
    <x v="1"/>
    <x v="1"/>
  </r>
  <r>
    <d v="2019-10-02T00:00:00"/>
    <x v="1"/>
    <d v="1925-07-07T00:00:00"/>
    <x v="24"/>
    <x v="1"/>
    <n v="1"/>
    <x v="19"/>
    <x v="0"/>
    <n v="1"/>
    <x v="1"/>
    <x v="1"/>
  </r>
  <r>
    <d v="2019-10-02T00:00:00"/>
    <x v="1"/>
    <d v="1925-07-07T00:00:00"/>
    <x v="24"/>
    <x v="0"/>
    <n v="1"/>
    <x v="20"/>
    <x v="0"/>
    <n v="59"/>
    <x v="1"/>
    <x v="1"/>
  </r>
  <r>
    <d v="2019-10-02T00:00:00"/>
    <x v="1"/>
    <d v="1925-07-07T00:00:00"/>
    <x v="24"/>
    <x v="0"/>
    <n v="2"/>
    <x v="0"/>
    <x v="0"/>
    <n v="12"/>
    <x v="1"/>
    <x v="1"/>
  </r>
  <r>
    <d v="2019-10-02T00:00:00"/>
    <x v="1"/>
    <d v="1925-07-07T00:00:00"/>
    <x v="24"/>
    <x v="0"/>
    <n v="2"/>
    <x v="20"/>
    <x v="0"/>
    <n v="55"/>
    <x v="1"/>
    <x v="1"/>
  </r>
  <r>
    <d v="2019-10-02T00:00:00"/>
    <x v="1"/>
    <d v="1917-12-07T00:00:00"/>
    <x v="27"/>
    <x v="1"/>
    <n v="1"/>
    <x v="0"/>
    <x v="0"/>
    <n v="6"/>
    <x v="1"/>
    <x v="1"/>
  </r>
  <r>
    <d v="2019-10-02T00:00:00"/>
    <x v="1"/>
    <d v="1917-12-07T00:00:00"/>
    <x v="27"/>
    <x v="1"/>
    <n v="1"/>
    <x v="11"/>
    <x v="0"/>
    <n v="12"/>
    <x v="1"/>
    <x v="1"/>
  </r>
  <r>
    <d v="2019-10-02T00:00:00"/>
    <x v="1"/>
    <d v="1917-12-07T00:00:00"/>
    <x v="27"/>
    <x v="1"/>
    <n v="1"/>
    <x v="32"/>
    <x v="0"/>
    <n v="6"/>
    <x v="1"/>
    <x v="1"/>
  </r>
  <r>
    <d v="2019-10-02T00:00:00"/>
    <x v="1"/>
    <d v="1917-12-07T00:00:00"/>
    <x v="27"/>
    <x v="1"/>
    <n v="1"/>
    <x v="15"/>
    <x v="0"/>
    <n v="17"/>
    <x v="1"/>
    <x v="1"/>
  </r>
  <r>
    <d v="2019-10-02T00:00:00"/>
    <x v="1"/>
    <d v="1917-12-07T00:00:00"/>
    <x v="27"/>
    <x v="1"/>
    <n v="1"/>
    <x v="23"/>
    <x v="0"/>
    <n v="8"/>
    <x v="1"/>
    <x v="1"/>
  </r>
  <r>
    <d v="2019-10-02T00:00:00"/>
    <x v="1"/>
    <d v="1917-12-07T00:00:00"/>
    <x v="27"/>
    <x v="1"/>
    <n v="1"/>
    <x v="21"/>
    <x v="0"/>
    <n v="9"/>
    <x v="1"/>
    <x v="1"/>
  </r>
  <r>
    <d v="2019-10-02T00:00:00"/>
    <x v="1"/>
    <d v="1917-12-07T00:00:00"/>
    <x v="27"/>
    <x v="1"/>
    <n v="1"/>
    <x v="13"/>
    <x v="0"/>
    <n v="2"/>
    <x v="1"/>
    <x v="1"/>
  </r>
  <r>
    <d v="2019-10-02T00:00:00"/>
    <x v="1"/>
    <d v="1917-12-07T00:00:00"/>
    <x v="27"/>
    <x v="1"/>
    <n v="1"/>
    <x v="3"/>
    <x v="0"/>
    <n v="16"/>
    <x v="1"/>
    <x v="1"/>
  </r>
  <r>
    <d v="2019-10-02T00:00:00"/>
    <x v="1"/>
    <d v="1917-12-07T00:00:00"/>
    <x v="27"/>
    <x v="1"/>
    <n v="1"/>
    <x v="16"/>
    <x v="0"/>
    <n v="6"/>
    <x v="1"/>
    <x v="1"/>
  </r>
  <r>
    <d v="2019-10-02T00:00:00"/>
    <x v="1"/>
    <d v="1917-12-07T00:00:00"/>
    <x v="27"/>
    <x v="1"/>
    <n v="1"/>
    <x v="17"/>
    <x v="0"/>
    <n v="1"/>
    <x v="1"/>
    <x v="1"/>
  </r>
  <r>
    <d v="2019-10-02T00:00:00"/>
    <x v="1"/>
    <d v="1917-12-07T00:00:00"/>
    <x v="27"/>
    <x v="0"/>
    <n v="1"/>
    <x v="24"/>
    <x v="0"/>
    <n v="7"/>
    <x v="1"/>
    <x v="1"/>
  </r>
  <r>
    <d v="2019-10-02T00:00:00"/>
    <x v="1"/>
    <d v="1917-12-07T00:00:00"/>
    <x v="27"/>
    <x v="0"/>
    <n v="1"/>
    <x v="13"/>
    <x v="0"/>
    <n v="14"/>
    <x v="1"/>
    <x v="1"/>
  </r>
  <r>
    <d v="2019-10-02T00:00:00"/>
    <x v="1"/>
    <d v="1917-12-07T00:00:00"/>
    <x v="27"/>
    <x v="0"/>
    <n v="1"/>
    <x v="16"/>
    <x v="0"/>
    <n v="8"/>
    <x v="1"/>
    <x v="1"/>
  </r>
  <r>
    <d v="2019-10-02T00:00:00"/>
    <x v="1"/>
    <d v="1917-12-07T00:00:00"/>
    <x v="27"/>
    <x v="0"/>
    <n v="1"/>
    <x v="19"/>
    <x v="0"/>
    <n v="4"/>
    <x v="1"/>
    <x v="1"/>
  </r>
  <r>
    <d v="2019-10-02T00:00:00"/>
    <x v="1"/>
    <d v="1917-12-07T00:00:00"/>
    <x v="27"/>
    <x v="0"/>
    <n v="2"/>
    <x v="20"/>
    <x v="0"/>
    <n v="20"/>
    <x v="1"/>
    <x v="1"/>
  </r>
  <r>
    <d v="2019-10-02T00:00:00"/>
    <x v="1"/>
    <d v="1917-12-07T00:00:00"/>
    <x v="27"/>
    <x v="0"/>
    <n v="2"/>
    <x v="2"/>
    <x v="0"/>
    <n v="15"/>
    <x v="1"/>
    <x v="1"/>
  </r>
  <r>
    <d v="2019-10-02T00:00:00"/>
    <x v="1"/>
    <d v="1917-12-07T00:00:00"/>
    <x v="27"/>
    <x v="0"/>
    <n v="2"/>
    <x v="13"/>
    <x v="0"/>
    <n v="1"/>
    <x v="1"/>
    <x v="1"/>
  </r>
  <r>
    <d v="2019-10-02T00:00:00"/>
    <x v="1"/>
    <d v="1917-12-07T00:00:00"/>
    <x v="27"/>
    <x v="1"/>
    <n v="1"/>
    <x v="20"/>
    <x v="1"/>
    <n v="12"/>
    <x v="1"/>
    <x v="1"/>
  </r>
  <r>
    <d v="2019-10-02T00:00:00"/>
    <x v="1"/>
    <d v="1917-12-07T00:00:00"/>
    <x v="27"/>
    <x v="1"/>
    <n v="1"/>
    <x v="15"/>
    <x v="1"/>
    <n v="3"/>
    <x v="1"/>
    <x v="1"/>
  </r>
  <r>
    <d v="2019-10-02T00:00:00"/>
    <x v="1"/>
    <d v="1917-12-07T00:00:00"/>
    <x v="27"/>
    <x v="1"/>
    <n v="1"/>
    <x v="2"/>
    <x v="1"/>
    <n v="7"/>
    <x v="1"/>
    <x v="1"/>
  </r>
  <r>
    <d v="2019-10-02T00:00:00"/>
    <x v="1"/>
    <d v="1917-12-07T00:00:00"/>
    <x v="27"/>
    <x v="1"/>
    <n v="1"/>
    <x v="23"/>
    <x v="1"/>
    <n v="4"/>
    <x v="1"/>
    <x v="1"/>
  </r>
  <r>
    <d v="2019-10-02T00:00:00"/>
    <x v="1"/>
    <d v="1917-12-07T00:00:00"/>
    <x v="27"/>
    <x v="1"/>
    <n v="1"/>
    <x v="21"/>
    <x v="1"/>
    <n v="6"/>
    <x v="1"/>
    <x v="1"/>
  </r>
  <r>
    <d v="2019-10-02T00:00:00"/>
    <x v="1"/>
    <d v="1917-12-07T00:00:00"/>
    <x v="27"/>
    <x v="1"/>
    <n v="1"/>
    <x v="16"/>
    <x v="1"/>
    <n v="9"/>
    <x v="1"/>
    <x v="1"/>
  </r>
  <r>
    <d v="2019-10-02T00:00:00"/>
    <x v="1"/>
    <d v="1917-12-07T00:00:00"/>
    <x v="27"/>
    <x v="1"/>
    <n v="1"/>
    <x v="19"/>
    <x v="1"/>
    <n v="19"/>
    <x v="1"/>
    <x v="1"/>
  </r>
  <r>
    <d v="2019-10-02T00:00:00"/>
    <x v="1"/>
    <d v="1917-12-07T00:00:00"/>
    <x v="27"/>
    <x v="1"/>
    <n v="1"/>
    <x v="17"/>
    <x v="1"/>
    <n v="23"/>
    <x v="1"/>
    <x v="1"/>
  </r>
  <r>
    <d v="2019-10-02T00:00:00"/>
    <x v="1"/>
    <d v="1917-12-07T00:00:00"/>
    <x v="27"/>
    <x v="0"/>
    <n v="1"/>
    <x v="0"/>
    <x v="1"/>
    <n v="4"/>
    <x v="1"/>
    <x v="1"/>
  </r>
  <r>
    <d v="2019-10-02T00:00:00"/>
    <x v="1"/>
    <d v="1917-12-07T00:00:00"/>
    <x v="27"/>
    <x v="0"/>
    <n v="1"/>
    <x v="27"/>
    <x v="1"/>
    <n v="5"/>
    <x v="1"/>
    <x v="1"/>
  </r>
  <r>
    <d v="2019-10-02T00:00:00"/>
    <x v="1"/>
    <d v="1917-12-07T00:00:00"/>
    <x v="27"/>
    <x v="0"/>
    <n v="1"/>
    <x v="11"/>
    <x v="1"/>
    <n v="3"/>
    <x v="1"/>
    <x v="1"/>
  </r>
  <r>
    <d v="2019-10-02T00:00:00"/>
    <x v="1"/>
    <d v="1917-12-07T00:00:00"/>
    <x v="27"/>
    <x v="0"/>
    <n v="1"/>
    <x v="33"/>
    <x v="1"/>
    <n v="1"/>
    <x v="1"/>
    <x v="1"/>
  </r>
  <r>
    <d v="2019-10-02T00:00:00"/>
    <x v="1"/>
    <d v="1917-12-07T00:00:00"/>
    <x v="27"/>
    <x v="0"/>
    <n v="1"/>
    <x v="31"/>
    <x v="1"/>
    <n v="4"/>
    <x v="1"/>
    <x v="1"/>
  </r>
  <r>
    <d v="2019-10-02T00:00:00"/>
    <x v="1"/>
    <d v="1917-12-07T00:00:00"/>
    <x v="27"/>
    <x v="0"/>
    <n v="1"/>
    <x v="28"/>
    <x v="1"/>
    <n v="7"/>
    <x v="1"/>
    <x v="1"/>
  </r>
  <r>
    <d v="2019-10-02T00:00:00"/>
    <x v="1"/>
    <d v="1917-12-07T00:00:00"/>
    <x v="27"/>
    <x v="0"/>
    <n v="1"/>
    <x v="20"/>
    <x v="1"/>
    <n v="2"/>
    <x v="1"/>
    <x v="1"/>
  </r>
  <r>
    <d v="2019-10-02T00:00:00"/>
    <x v="1"/>
    <d v="1917-12-07T00:00:00"/>
    <x v="27"/>
    <x v="0"/>
    <n v="1"/>
    <x v="24"/>
    <x v="1"/>
    <n v="4"/>
    <x v="1"/>
    <x v="1"/>
  </r>
  <r>
    <d v="2019-10-02T00:00:00"/>
    <x v="1"/>
    <d v="1917-12-07T00:00:00"/>
    <x v="27"/>
    <x v="0"/>
    <n v="1"/>
    <x v="29"/>
    <x v="1"/>
    <n v="1"/>
    <x v="1"/>
    <x v="1"/>
  </r>
  <r>
    <d v="2019-10-02T00:00:00"/>
    <x v="1"/>
    <d v="1917-12-07T00:00:00"/>
    <x v="27"/>
    <x v="0"/>
    <n v="1"/>
    <x v="6"/>
    <x v="1"/>
    <n v="6"/>
    <x v="1"/>
    <x v="1"/>
  </r>
  <r>
    <d v="2019-10-02T00:00:00"/>
    <x v="1"/>
    <d v="1917-12-07T00:00:00"/>
    <x v="27"/>
    <x v="0"/>
    <n v="1"/>
    <x v="25"/>
    <x v="1"/>
    <n v="1"/>
    <x v="1"/>
    <x v="1"/>
  </r>
  <r>
    <d v="2019-10-02T00:00:00"/>
    <x v="1"/>
    <d v="1917-12-07T00:00:00"/>
    <x v="27"/>
    <x v="0"/>
    <n v="1"/>
    <x v="34"/>
    <x v="1"/>
    <n v="1"/>
    <x v="1"/>
    <x v="1"/>
  </r>
  <r>
    <d v="2019-10-02T00:00:00"/>
    <x v="1"/>
    <d v="1917-12-07T00:00:00"/>
    <x v="27"/>
    <x v="0"/>
    <n v="1"/>
    <x v="23"/>
    <x v="1"/>
    <n v="3"/>
    <x v="1"/>
    <x v="1"/>
  </r>
  <r>
    <d v="2019-10-02T00:00:00"/>
    <x v="1"/>
    <d v="1917-12-07T00:00:00"/>
    <x v="27"/>
    <x v="0"/>
    <n v="1"/>
    <x v="21"/>
    <x v="1"/>
    <n v="1"/>
    <x v="1"/>
    <x v="1"/>
  </r>
  <r>
    <d v="2019-10-02T00:00:00"/>
    <x v="1"/>
    <d v="1917-12-07T00:00:00"/>
    <x v="27"/>
    <x v="0"/>
    <n v="1"/>
    <x v="3"/>
    <x v="1"/>
    <n v="1"/>
    <x v="1"/>
    <x v="1"/>
  </r>
  <r>
    <d v="2019-10-02T00:00:00"/>
    <x v="1"/>
    <d v="1917-12-07T00:00:00"/>
    <x v="27"/>
    <x v="0"/>
    <n v="1"/>
    <x v="16"/>
    <x v="1"/>
    <n v="3"/>
    <x v="1"/>
    <x v="1"/>
  </r>
  <r>
    <d v="2019-10-02T00:00:00"/>
    <x v="1"/>
    <d v="1917-12-07T00:00:00"/>
    <x v="27"/>
    <x v="0"/>
    <n v="1"/>
    <x v="19"/>
    <x v="1"/>
    <n v="1"/>
    <x v="1"/>
    <x v="1"/>
  </r>
  <r>
    <d v="2019-10-02T00:00:00"/>
    <x v="1"/>
    <d v="1917-12-07T00:00:00"/>
    <x v="27"/>
    <x v="0"/>
    <n v="2"/>
    <x v="27"/>
    <x v="1"/>
    <n v="2"/>
    <x v="1"/>
    <x v="1"/>
  </r>
  <r>
    <d v="2019-10-02T00:00:00"/>
    <x v="1"/>
    <d v="1917-12-07T00:00:00"/>
    <x v="27"/>
    <x v="0"/>
    <n v="2"/>
    <x v="15"/>
    <x v="1"/>
    <n v="4"/>
    <x v="1"/>
    <x v="1"/>
  </r>
  <r>
    <d v="2019-10-02T00:00:00"/>
    <x v="1"/>
    <d v="1917-12-07T00:00:00"/>
    <x v="27"/>
    <x v="0"/>
    <n v="2"/>
    <x v="24"/>
    <x v="1"/>
    <n v="1"/>
    <x v="1"/>
    <x v="1"/>
  </r>
  <r>
    <d v="2019-10-02T00:00:00"/>
    <x v="1"/>
    <d v="1917-12-07T00:00:00"/>
    <x v="27"/>
    <x v="0"/>
    <n v="2"/>
    <x v="34"/>
    <x v="1"/>
    <n v="3"/>
    <x v="1"/>
    <x v="1"/>
  </r>
  <r>
    <d v="2019-10-02T00:00:00"/>
    <x v="1"/>
    <d v="1917-12-07T00:00:00"/>
    <x v="27"/>
    <x v="0"/>
    <n v="2"/>
    <x v="23"/>
    <x v="1"/>
    <n v="3"/>
    <x v="1"/>
    <x v="1"/>
  </r>
  <r>
    <d v="2019-10-02T00:00:00"/>
    <x v="1"/>
    <d v="1917-12-07T00:00:00"/>
    <x v="27"/>
    <x v="0"/>
    <n v="2"/>
    <x v="21"/>
    <x v="1"/>
    <n v="5"/>
    <x v="1"/>
    <x v="1"/>
  </r>
  <r>
    <d v="2019-10-02T00:00:00"/>
    <x v="1"/>
    <d v="1917-12-07T00:00:00"/>
    <x v="27"/>
    <x v="0"/>
    <n v="2"/>
    <x v="16"/>
    <x v="1"/>
    <n v="2"/>
    <x v="1"/>
    <x v="1"/>
  </r>
  <r>
    <d v="2019-11-11T00:00:00"/>
    <x v="0"/>
    <d v="1904-09-29T00:00:00"/>
    <x v="19"/>
    <x v="1"/>
    <n v="1"/>
    <x v="27"/>
    <x v="0"/>
    <n v="4"/>
    <x v="2"/>
    <x v="2"/>
  </r>
  <r>
    <d v="2019-11-11T00:00:00"/>
    <x v="0"/>
    <d v="1904-09-29T00:00:00"/>
    <x v="19"/>
    <x v="1"/>
    <n v="1"/>
    <x v="24"/>
    <x v="0"/>
    <n v="2"/>
    <x v="2"/>
    <x v="2"/>
  </r>
  <r>
    <d v="2019-11-11T00:00:00"/>
    <x v="0"/>
    <d v="1904-09-29T00:00:00"/>
    <x v="19"/>
    <x v="1"/>
    <n v="1"/>
    <x v="21"/>
    <x v="0"/>
    <n v="18"/>
    <x v="2"/>
    <x v="2"/>
  </r>
  <r>
    <d v="2019-11-11T00:00:00"/>
    <x v="0"/>
    <d v="1904-09-29T00:00:00"/>
    <x v="19"/>
    <x v="1"/>
    <n v="1"/>
    <x v="3"/>
    <x v="0"/>
    <n v="1"/>
    <x v="2"/>
    <x v="2"/>
  </r>
  <r>
    <d v="2019-11-11T00:00:00"/>
    <x v="0"/>
    <d v="1904-09-29T00:00:00"/>
    <x v="19"/>
    <x v="1"/>
    <n v="1"/>
    <x v="19"/>
    <x v="0"/>
    <n v="1"/>
    <x v="2"/>
    <x v="2"/>
  </r>
  <r>
    <d v="2019-11-11T00:00:00"/>
    <x v="0"/>
    <d v="1904-09-29T00:00:00"/>
    <x v="19"/>
    <x v="1"/>
    <n v="2"/>
    <x v="20"/>
    <x v="0"/>
    <n v="8"/>
    <x v="2"/>
    <x v="2"/>
  </r>
  <r>
    <d v="2019-11-11T00:00:00"/>
    <x v="0"/>
    <d v="1904-09-29T00:00:00"/>
    <x v="19"/>
    <x v="1"/>
    <n v="2"/>
    <x v="13"/>
    <x v="0"/>
    <n v="8"/>
    <x v="2"/>
    <x v="2"/>
  </r>
  <r>
    <d v="2019-11-11T00:00:00"/>
    <x v="0"/>
    <d v="1904-09-29T00:00:00"/>
    <x v="19"/>
    <x v="1"/>
    <n v="2"/>
    <x v="3"/>
    <x v="0"/>
    <n v="10"/>
    <x v="2"/>
    <x v="2"/>
  </r>
  <r>
    <d v="2019-11-11T00:00:00"/>
    <x v="0"/>
    <d v="1904-09-29T00:00:00"/>
    <x v="19"/>
    <x v="1"/>
    <n v="2"/>
    <x v="19"/>
    <x v="0"/>
    <n v="1"/>
    <x v="2"/>
    <x v="2"/>
  </r>
  <r>
    <d v="2019-11-11T00:00:00"/>
    <x v="0"/>
    <d v="1904-09-29T00:00:00"/>
    <x v="19"/>
    <x v="0"/>
    <n v="1"/>
    <x v="26"/>
    <x v="0"/>
    <n v="7"/>
    <x v="2"/>
    <x v="2"/>
  </r>
  <r>
    <d v="2019-11-11T00:00:00"/>
    <x v="0"/>
    <d v="1904-09-29T00:00:00"/>
    <x v="19"/>
    <x v="0"/>
    <n v="1"/>
    <x v="16"/>
    <x v="0"/>
    <n v="43"/>
    <x v="2"/>
    <x v="2"/>
  </r>
  <r>
    <d v="2019-11-11T00:00:00"/>
    <x v="0"/>
    <d v="1904-09-29T00:00:00"/>
    <x v="19"/>
    <x v="0"/>
    <n v="2"/>
    <x v="33"/>
    <x v="0"/>
    <n v="6"/>
    <x v="2"/>
    <x v="2"/>
  </r>
  <r>
    <d v="2019-11-11T00:00:00"/>
    <x v="0"/>
    <d v="1904-09-29T00:00:00"/>
    <x v="19"/>
    <x v="0"/>
    <n v="2"/>
    <x v="15"/>
    <x v="0"/>
    <n v="19"/>
    <x v="2"/>
    <x v="2"/>
  </r>
  <r>
    <d v="2019-11-11T00:00:00"/>
    <x v="0"/>
    <d v="1904-09-29T00:00:00"/>
    <x v="19"/>
    <x v="0"/>
    <n v="2"/>
    <x v="25"/>
    <x v="0"/>
    <n v="6"/>
    <x v="2"/>
    <x v="2"/>
  </r>
  <r>
    <d v="2019-11-11T00:00:00"/>
    <x v="0"/>
    <d v="1904-09-29T00:00:00"/>
    <x v="19"/>
    <x v="0"/>
    <n v="2"/>
    <x v="34"/>
    <x v="0"/>
    <n v="7"/>
    <x v="2"/>
    <x v="2"/>
  </r>
  <r>
    <d v="2019-11-11T00:00:00"/>
    <x v="0"/>
    <d v="1904-09-29T00:00:00"/>
    <x v="19"/>
    <x v="0"/>
    <n v="2"/>
    <x v="26"/>
    <x v="0"/>
    <n v="13"/>
    <x v="2"/>
    <x v="2"/>
  </r>
  <r>
    <d v="2019-11-11T00:00:00"/>
    <x v="0"/>
    <d v="1904-09-29T00:00:00"/>
    <x v="19"/>
    <x v="0"/>
    <n v="2"/>
    <x v="21"/>
    <x v="0"/>
    <n v="3"/>
    <x v="2"/>
    <x v="2"/>
  </r>
  <r>
    <d v="2019-11-11T00:00:00"/>
    <x v="0"/>
    <d v="1904-10-01T00:00:00"/>
    <x v="14"/>
    <x v="1"/>
    <n v="1"/>
    <x v="33"/>
    <x v="0"/>
    <n v="4"/>
    <x v="2"/>
    <x v="2"/>
  </r>
  <r>
    <d v="2019-11-11T00:00:00"/>
    <x v="0"/>
    <d v="1904-10-01T00:00:00"/>
    <x v="14"/>
    <x v="1"/>
    <n v="1"/>
    <x v="15"/>
    <x v="0"/>
    <n v="6"/>
    <x v="2"/>
    <x v="2"/>
  </r>
  <r>
    <d v="2019-11-11T00:00:00"/>
    <x v="0"/>
    <d v="1904-10-01T00:00:00"/>
    <x v="14"/>
    <x v="1"/>
    <n v="1"/>
    <x v="34"/>
    <x v="0"/>
    <n v="12"/>
    <x v="2"/>
    <x v="2"/>
  </r>
  <r>
    <d v="2019-11-11T00:00:00"/>
    <x v="0"/>
    <d v="1904-10-01T00:00:00"/>
    <x v="14"/>
    <x v="1"/>
    <n v="1"/>
    <x v="19"/>
    <x v="0"/>
    <n v="5"/>
    <x v="2"/>
    <x v="2"/>
  </r>
  <r>
    <d v="2019-11-11T00:00:00"/>
    <x v="0"/>
    <d v="1904-10-01T00:00:00"/>
    <x v="14"/>
    <x v="1"/>
    <n v="2"/>
    <x v="28"/>
    <x v="0"/>
    <n v="2"/>
    <x v="2"/>
    <x v="2"/>
  </r>
  <r>
    <d v="2019-11-11T00:00:00"/>
    <x v="0"/>
    <d v="1904-10-01T00:00:00"/>
    <x v="14"/>
    <x v="0"/>
    <n v="1"/>
    <x v="15"/>
    <x v="0"/>
    <n v="10"/>
    <x v="2"/>
    <x v="2"/>
  </r>
  <r>
    <d v="2019-11-11T00:00:00"/>
    <x v="0"/>
    <d v="1904-10-01T00:00:00"/>
    <x v="14"/>
    <x v="0"/>
    <n v="1"/>
    <x v="21"/>
    <x v="0"/>
    <n v="48"/>
    <x v="2"/>
    <x v="2"/>
  </r>
  <r>
    <d v="2019-11-11T00:00:00"/>
    <x v="0"/>
    <d v="1904-10-01T00:00:00"/>
    <x v="14"/>
    <x v="0"/>
    <n v="1"/>
    <x v="3"/>
    <x v="0"/>
    <n v="21"/>
    <x v="2"/>
    <x v="2"/>
  </r>
  <r>
    <d v="2019-11-11T00:00:00"/>
    <x v="0"/>
    <d v="1904-10-01T00:00:00"/>
    <x v="14"/>
    <x v="0"/>
    <n v="1"/>
    <x v="19"/>
    <x v="0"/>
    <n v="40"/>
    <x v="2"/>
    <x v="2"/>
  </r>
  <r>
    <d v="2019-11-11T00:00:00"/>
    <x v="0"/>
    <d v="1904-10-01T00:00:00"/>
    <x v="14"/>
    <x v="1"/>
    <n v="2"/>
    <x v="20"/>
    <x v="0"/>
    <n v="18"/>
    <x v="2"/>
    <x v="2"/>
  </r>
  <r>
    <d v="2019-11-11T00:00:00"/>
    <x v="0"/>
    <d v="1904-10-01T00:00:00"/>
    <x v="14"/>
    <x v="1"/>
    <n v="2"/>
    <x v="21"/>
    <x v="0"/>
    <n v="4"/>
    <x v="2"/>
    <x v="2"/>
  </r>
  <r>
    <d v="2019-11-11T00:00:00"/>
    <x v="0"/>
    <d v="1904-10-01T00:00:00"/>
    <x v="14"/>
    <x v="1"/>
    <n v="2"/>
    <x v="16"/>
    <x v="0"/>
    <n v="5"/>
    <x v="2"/>
    <x v="2"/>
  </r>
  <r>
    <d v="2019-11-11T00:00:00"/>
    <x v="0"/>
    <d v="1904-10-16T00:00:00"/>
    <x v="15"/>
    <x v="1"/>
    <n v="1"/>
    <x v="2"/>
    <x v="1"/>
    <n v="3"/>
    <x v="2"/>
    <x v="2"/>
  </r>
  <r>
    <d v="2019-11-11T00:00:00"/>
    <x v="0"/>
    <d v="1904-10-16T00:00:00"/>
    <x v="15"/>
    <x v="1"/>
    <n v="1"/>
    <x v="21"/>
    <x v="1"/>
    <n v="6"/>
    <x v="2"/>
    <x v="2"/>
  </r>
  <r>
    <d v="2019-11-11T00:00:00"/>
    <x v="0"/>
    <d v="1904-10-16T00:00:00"/>
    <x v="15"/>
    <x v="1"/>
    <n v="1"/>
    <x v="13"/>
    <x v="1"/>
    <n v="8"/>
    <x v="2"/>
    <x v="2"/>
  </r>
  <r>
    <d v="2019-11-11T00:00:00"/>
    <x v="0"/>
    <d v="1904-10-16T00:00:00"/>
    <x v="15"/>
    <x v="1"/>
    <n v="1"/>
    <x v="3"/>
    <x v="1"/>
    <n v="21"/>
    <x v="2"/>
    <x v="2"/>
  </r>
  <r>
    <d v="2019-11-11T00:00:00"/>
    <x v="0"/>
    <d v="1904-10-16T00:00:00"/>
    <x v="15"/>
    <x v="0"/>
    <n v="1"/>
    <x v="0"/>
    <x v="1"/>
    <n v="7"/>
    <x v="2"/>
    <x v="2"/>
  </r>
  <r>
    <d v="2019-11-11T00:00:00"/>
    <x v="0"/>
    <d v="1904-10-16T00:00:00"/>
    <x v="15"/>
    <x v="0"/>
    <n v="1"/>
    <x v="11"/>
    <x v="1"/>
    <n v="13"/>
    <x v="2"/>
    <x v="2"/>
  </r>
  <r>
    <d v="2019-11-11T00:00:00"/>
    <x v="0"/>
    <d v="1904-10-16T00:00:00"/>
    <x v="15"/>
    <x v="0"/>
    <n v="1"/>
    <x v="33"/>
    <x v="1"/>
    <n v="3"/>
    <x v="2"/>
    <x v="2"/>
  </r>
  <r>
    <d v="2019-11-11T00:00:00"/>
    <x v="0"/>
    <d v="1904-10-16T00:00:00"/>
    <x v="15"/>
    <x v="0"/>
    <n v="1"/>
    <x v="31"/>
    <x v="1"/>
    <n v="1"/>
    <x v="2"/>
    <x v="2"/>
  </r>
  <r>
    <d v="2019-11-11T00:00:00"/>
    <x v="0"/>
    <d v="1904-10-16T00:00:00"/>
    <x v="15"/>
    <x v="0"/>
    <n v="1"/>
    <x v="32"/>
    <x v="1"/>
    <n v="2"/>
    <x v="2"/>
    <x v="2"/>
  </r>
  <r>
    <d v="2019-11-11T00:00:00"/>
    <x v="0"/>
    <d v="1904-10-16T00:00:00"/>
    <x v="15"/>
    <x v="0"/>
    <n v="1"/>
    <x v="28"/>
    <x v="1"/>
    <n v="2"/>
    <x v="2"/>
    <x v="2"/>
  </r>
  <r>
    <d v="2019-11-11T00:00:00"/>
    <x v="0"/>
    <d v="1904-10-16T00:00:00"/>
    <x v="15"/>
    <x v="0"/>
    <n v="1"/>
    <x v="15"/>
    <x v="1"/>
    <n v="2"/>
    <x v="2"/>
    <x v="2"/>
  </r>
  <r>
    <d v="2019-11-11T00:00:00"/>
    <x v="0"/>
    <d v="1904-10-16T00:00:00"/>
    <x v="15"/>
    <x v="0"/>
    <n v="1"/>
    <x v="24"/>
    <x v="1"/>
    <n v="3"/>
    <x v="2"/>
    <x v="2"/>
  </r>
  <r>
    <d v="2019-11-11T00:00:00"/>
    <x v="0"/>
    <d v="1904-10-16T00:00:00"/>
    <x v="15"/>
    <x v="0"/>
    <n v="1"/>
    <x v="2"/>
    <x v="1"/>
    <n v="6"/>
    <x v="2"/>
    <x v="2"/>
  </r>
  <r>
    <d v="2019-11-11T00:00:00"/>
    <x v="0"/>
    <d v="1904-10-16T00:00:00"/>
    <x v="15"/>
    <x v="0"/>
    <n v="1"/>
    <x v="13"/>
    <x v="1"/>
    <n v="6"/>
    <x v="2"/>
    <x v="2"/>
  </r>
  <r>
    <d v="2019-11-11T00:00:00"/>
    <x v="0"/>
    <d v="1904-10-16T00:00:00"/>
    <x v="15"/>
    <x v="0"/>
    <n v="1"/>
    <x v="3"/>
    <x v="1"/>
    <n v="8"/>
    <x v="2"/>
    <x v="2"/>
  </r>
  <r>
    <d v="2019-11-11T00:00:00"/>
    <x v="0"/>
    <d v="1904-10-16T00:00:00"/>
    <x v="15"/>
    <x v="0"/>
    <n v="1"/>
    <x v="9"/>
    <x v="1"/>
    <n v="4"/>
    <x v="2"/>
    <x v="2"/>
  </r>
  <r>
    <d v="2019-11-11T00:00:00"/>
    <x v="0"/>
    <d v="1904-10-16T00:00:00"/>
    <x v="15"/>
    <x v="0"/>
    <n v="1"/>
    <x v="16"/>
    <x v="1"/>
    <n v="4"/>
    <x v="2"/>
    <x v="2"/>
  </r>
  <r>
    <d v="2019-11-11T00:00:00"/>
    <x v="0"/>
    <d v="1911-10-10T00:00:00"/>
    <x v="13"/>
    <x v="1"/>
    <n v="1"/>
    <x v="32"/>
    <x v="0"/>
    <n v="1"/>
    <x v="2"/>
    <x v="2"/>
  </r>
  <r>
    <d v="2019-11-11T00:00:00"/>
    <x v="0"/>
    <d v="1911-10-10T00:00:00"/>
    <x v="13"/>
    <x v="1"/>
    <n v="1"/>
    <x v="24"/>
    <x v="0"/>
    <n v="8"/>
    <x v="2"/>
    <x v="2"/>
  </r>
  <r>
    <d v="2019-11-11T00:00:00"/>
    <x v="0"/>
    <d v="1911-10-10T00:00:00"/>
    <x v="13"/>
    <x v="1"/>
    <n v="1"/>
    <x v="1"/>
    <x v="0"/>
    <n v="3"/>
    <x v="2"/>
    <x v="2"/>
  </r>
  <r>
    <d v="2019-11-11T00:00:00"/>
    <x v="0"/>
    <d v="1911-10-10T00:00:00"/>
    <x v="13"/>
    <x v="1"/>
    <n v="1"/>
    <x v="16"/>
    <x v="0"/>
    <n v="2"/>
    <x v="2"/>
    <x v="2"/>
  </r>
  <r>
    <d v="2019-11-11T00:00:00"/>
    <x v="0"/>
    <d v="1911-10-10T00:00:00"/>
    <x v="13"/>
    <x v="0"/>
    <n v="1"/>
    <x v="15"/>
    <x v="0"/>
    <n v="3"/>
    <x v="2"/>
    <x v="2"/>
  </r>
  <r>
    <d v="2019-11-11T00:00:00"/>
    <x v="0"/>
    <d v="1911-10-10T00:00:00"/>
    <x v="13"/>
    <x v="0"/>
    <n v="1"/>
    <x v="25"/>
    <x v="0"/>
    <n v="1"/>
    <x v="2"/>
    <x v="2"/>
  </r>
  <r>
    <d v="2019-11-11T00:00:00"/>
    <x v="0"/>
    <d v="1911-10-10T00:00:00"/>
    <x v="13"/>
    <x v="0"/>
    <n v="1"/>
    <x v="23"/>
    <x v="0"/>
    <n v="16"/>
    <x v="2"/>
    <x v="2"/>
  </r>
  <r>
    <d v="2019-11-11T00:00:00"/>
    <x v="0"/>
    <d v="1911-10-10T00:00:00"/>
    <x v="13"/>
    <x v="0"/>
    <n v="1"/>
    <x v="21"/>
    <x v="0"/>
    <n v="3"/>
    <x v="2"/>
    <x v="2"/>
  </r>
  <r>
    <d v="2019-11-11T00:00:00"/>
    <x v="0"/>
    <d v="1911-10-10T00:00:00"/>
    <x v="13"/>
    <x v="0"/>
    <n v="1"/>
    <x v="19"/>
    <x v="0"/>
    <n v="32"/>
    <x v="2"/>
    <x v="2"/>
  </r>
  <r>
    <d v="2019-11-11T00:00:00"/>
    <x v="0"/>
    <d v="1911-10-10T00:00:00"/>
    <x v="13"/>
    <x v="0"/>
    <n v="1"/>
    <x v="17"/>
    <x v="0"/>
    <n v="21"/>
    <x v="2"/>
    <x v="2"/>
  </r>
  <r>
    <d v="2019-11-11T00:00:00"/>
    <x v="0"/>
    <d v="1911-10-10T00:00:00"/>
    <x v="13"/>
    <x v="1"/>
    <n v="1"/>
    <x v="20"/>
    <x v="1"/>
    <n v="8"/>
    <x v="2"/>
    <x v="2"/>
  </r>
  <r>
    <d v="2019-11-11T00:00:00"/>
    <x v="0"/>
    <d v="1911-10-10T00:00:00"/>
    <x v="13"/>
    <x v="1"/>
    <n v="1"/>
    <x v="15"/>
    <x v="1"/>
    <n v="2"/>
    <x v="2"/>
    <x v="2"/>
  </r>
  <r>
    <d v="2019-11-11T00:00:00"/>
    <x v="0"/>
    <d v="1911-10-10T00:00:00"/>
    <x v="13"/>
    <x v="1"/>
    <n v="1"/>
    <x v="9"/>
    <x v="1"/>
    <n v="3"/>
    <x v="2"/>
    <x v="2"/>
  </r>
  <r>
    <d v="2019-11-11T00:00:00"/>
    <x v="0"/>
    <d v="1911-10-10T00:00:00"/>
    <x v="13"/>
    <x v="1"/>
    <n v="1"/>
    <x v="16"/>
    <x v="1"/>
    <n v="1"/>
    <x v="2"/>
    <x v="2"/>
  </r>
  <r>
    <d v="2019-11-11T00:00:00"/>
    <x v="0"/>
    <d v="1911-10-10T00:00:00"/>
    <x v="13"/>
    <x v="0"/>
    <n v="1"/>
    <x v="27"/>
    <x v="1"/>
    <n v="15"/>
    <x v="2"/>
    <x v="2"/>
  </r>
  <r>
    <d v="2019-11-11T00:00:00"/>
    <x v="0"/>
    <d v="1911-10-10T00:00:00"/>
    <x v="13"/>
    <x v="0"/>
    <n v="1"/>
    <x v="33"/>
    <x v="1"/>
    <n v="4"/>
    <x v="2"/>
    <x v="2"/>
  </r>
  <r>
    <d v="2019-11-11T00:00:00"/>
    <x v="0"/>
    <d v="1911-10-10T00:00:00"/>
    <x v="13"/>
    <x v="0"/>
    <n v="1"/>
    <x v="1"/>
    <x v="1"/>
    <n v="4"/>
    <x v="2"/>
    <x v="2"/>
  </r>
  <r>
    <d v="2019-11-11T00:00:00"/>
    <x v="0"/>
    <d v="1911-10-10T00:00:00"/>
    <x v="13"/>
    <x v="0"/>
    <n v="1"/>
    <x v="29"/>
    <x v="1"/>
    <n v="2"/>
    <x v="2"/>
    <x v="2"/>
  </r>
  <r>
    <d v="2019-11-11T00:00:00"/>
    <x v="0"/>
    <d v="1911-10-10T00:00:00"/>
    <x v="13"/>
    <x v="0"/>
    <n v="1"/>
    <x v="25"/>
    <x v="1"/>
    <n v="9"/>
    <x v="2"/>
    <x v="2"/>
  </r>
  <r>
    <d v="2019-11-11T00:00:00"/>
    <x v="0"/>
    <d v="1911-10-10T00:00:00"/>
    <x v="13"/>
    <x v="0"/>
    <n v="1"/>
    <x v="23"/>
    <x v="1"/>
    <n v="20"/>
    <x v="2"/>
    <x v="2"/>
  </r>
  <r>
    <d v="2019-11-11T00:00:00"/>
    <x v="0"/>
    <d v="1911-10-10T00:00:00"/>
    <x v="13"/>
    <x v="0"/>
    <n v="1"/>
    <x v="21"/>
    <x v="1"/>
    <n v="11"/>
    <x v="2"/>
    <x v="2"/>
  </r>
  <r>
    <d v="2019-11-11T00:00:00"/>
    <x v="0"/>
    <d v="1911-10-10T00:00:00"/>
    <x v="13"/>
    <x v="0"/>
    <n v="1"/>
    <x v="16"/>
    <x v="1"/>
    <n v="6"/>
    <x v="2"/>
    <x v="2"/>
  </r>
  <r>
    <d v="2019-11-11T00:00:00"/>
    <x v="0"/>
    <d v="1911-10-10T00:00:00"/>
    <x v="13"/>
    <x v="0"/>
    <n v="1"/>
    <x v="19"/>
    <x v="1"/>
    <n v="5"/>
    <x v="2"/>
    <x v="2"/>
  </r>
  <r>
    <d v="2019-11-11T00:00:00"/>
    <x v="0"/>
    <d v="1911-10-10T00:00:00"/>
    <x v="13"/>
    <x v="0"/>
    <n v="2"/>
    <x v="27"/>
    <x v="1"/>
    <n v="2"/>
    <x v="2"/>
    <x v="2"/>
  </r>
  <r>
    <d v="2019-11-11T00:00:00"/>
    <x v="0"/>
    <d v="1911-10-10T00:00:00"/>
    <x v="13"/>
    <x v="0"/>
    <n v="2"/>
    <x v="33"/>
    <x v="1"/>
    <n v="4"/>
    <x v="2"/>
    <x v="2"/>
  </r>
  <r>
    <d v="2019-11-11T00:00:00"/>
    <x v="0"/>
    <d v="1912-04-30T00:00:00"/>
    <x v="18"/>
    <x v="1"/>
    <n v="1"/>
    <x v="27"/>
    <x v="0"/>
    <n v="2"/>
    <x v="2"/>
    <x v="2"/>
  </r>
  <r>
    <d v="2019-11-11T00:00:00"/>
    <x v="0"/>
    <d v="1912-04-30T00:00:00"/>
    <x v="18"/>
    <x v="1"/>
    <n v="1"/>
    <x v="33"/>
    <x v="0"/>
    <n v="10"/>
    <x v="2"/>
    <x v="2"/>
  </r>
  <r>
    <d v="2019-11-11T00:00:00"/>
    <x v="0"/>
    <d v="1912-04-30T00:00:00"/>
    <x v="18"/>
    <x v="1"/>
    <n v="1"/>
    <x v="15"/>
    <x v="0"/>
    <n v="1"/>
    <x v="2"/>
    <x v="2"/>
  </r>
  <r>
    <d v="2019-11-11T00:00:00"/>
    <x v="0"/>
    <d v="1912-04-30T00:00:00"/>
    <x v="18"/>
    <x v="1"/>
    <n v="1"/>
    <x v="29"/>
    <x v="0"/>
    <n v="2"/>
    <x v="2"/>
    <x v="2"/>
  </r>
  <r>
    <d v="2019-11-11T00:00:00"/>
    <x v="0"/>
    <d v="1912-04-30T00:00:00"/>
    <x v="18"/>
    <x v="1"/>
    <n v="1"/>
    <x v="25"/>
    <x v="0"/>
    <n v="5"/>
    <x v="2"/>
    <x v="2"/>
  </r>
  <r>
    <d v="2019-11-11T00:00:00"/>
    <x v="0"/>
    <d v="1912-04-30T00:00:00"/>
    <x v="18"/>
    <x v="1"/>
    <n v="1"/>
    <x v="23"/>
    <x v="0"/>
    <n v="4"/>
    <x v="2"/>
    <x v="2"/>
  </r>
  <r>
    <d v="2019-11-11T00:00:00"/>
    <x v="0"/>
    <d v="1912-04-30T00:00:00"/>
    <x v="18"/>
    <x v="1"/>
    <n v="1"/>
    <x v="19"/>
    <x v="0"/>
    <n v="3"/>
    <x v="2"/>
    <x v="2"/>
  </r>
  <r>
    <d v="2019-11-11T00:00:00"/>
    <x v="0"/>
    <d v="1912-04-30T00:00:00"/>
    <x v="18"/>
    <x v="1"/>
    <n v="1"/>
    <x v="30"/>
    <x v="0"/>
    <n v="1"/>
    <x v="2"/>
    <x v="2"/>
  </r>
  <r>
    <d v="2019-11-11T00:00:00"/>
    <x v="0"/>
    <d v="1912-04-30T00:00:00"/>
    <x v="18"/>
    <x v="0"/>
    <n v="1"/>
    <x v="24"/>
    <x v="0"/>
    <n v="12"/>
    <x v="2"/>
    <x v="2"/>
  </r>
  <r>
    <d v="2019-11-11T00:00:00"/>
    <x v="0"/>
    <d v="1912-04-30T00:00:00"/>
    <x v="18"/>
    <x v="0"/>
    <n v="1"/>
    <x v="2"/>
    <x v="0"/>
    <n v="11"/>
    <x v="2"/>
    <x v="2"/>
  </r>
  <r>
    <d v="2019-11-11T00:00:00"/>
    <x v="0"/>
    <d v="1912-04-30T00:00:00"/>
    <x v="18"/>
    <x v="0"/>
    <n v="1"/>
    <x v="23"/>
    <x v="0"/>
    <n v="5"/>
    <x v="2"/>
    <x v="2"/>
  </r>
  <r>
    <d v="2019-11-11T00:00:00"/>
    <x v="0"/>
    <d v="1912-04-30T00:00:00"/>
    <x v="18"/>
    <x v="0"/>
    <n v="1"/>
    <x v="16"/>
    <x v="0"/>
    <n v="1"/>
    <x v="2"/>
    <x v="2"/>
  </r>
  <r>
    <d v="2019-11-11T00:00:00"/>
    <x v="0"/>
    <d v="1912-04-30T00:00:00"/>
    <x v="18"/>
    <x v="1"/>
    <n v="2"/>
    <x v="20"/>
    <x v="1"/>
    <n v="17"/>
    <x v="2"/>
    <x v="2"/>
  </r>
  <r>
    <d v="2019-11-11T00:00:00"/>
    <x v="0"/>
    <d v="1912-04-30T00:00:00"/>
    <x v="18"/>
    <x v="1"/>
    <n v="2"/>
    <x v="15"/>
    <x v="1"/>
    <n v="4"/>
    <x v="2"/>
    <x v="2"/>
  </r>
  <r>
    <d v="2019-11-11T00:00:00"/>
    <x v="0"/>
    <d v="1912-04-30T00:00:00"/>
    <x v="18"/>
    <x v="1"/>
    <n v="2"/>
    <x v="16"/>
    <x v="1"/>
    <n v="7"/>
    <x v="2"/>
    <x v="2"/>
  </r>
  <r>
    <d v="2019-11-11T00:00:00"/>
    <x v="0"/>
    <d v="1912-04-30T00:00:00"/>
    <x v="18"/>
    <x v="0"/>
    <n v="2"/>
    <x v="27"/>
    <x v="1"/>
    <n v="3"/>
    <x v="2"/>
    <x v="2"/>
  </r>
  <r>
    <d v="2019-11-11T00:00:00"/>
    <x v="0"/>
    <d v="1912-04-30T00:00:00"/>
    <x v="18"/>
    <x v="0"/>
    <n v="2"/>
    <x v="33"/>
    <x v="1"/>
    <n v="2"/>
    <x v="2"/>
    <x v="2"/>
  </r>
  <r>
    <d v="2019-11-11T00:00:00"/>
    <x v="0"/>
    <d v="1912-04-30T00:00:00"/>
    <x v="18"/>
    <x v="0"/>
    <n v="2"/>
    <x v="28"/>
    <x v="1"/>
    <n v="7"/>
    <x v="2"/>
    <x v="2"/>
  </r>
  <r>
    <d v="2019-11-11T00:00:00"/>
    <x v="0"/>
    <d v="1912-04-30T00:00:00"/>
    <x v="18"/>
    <x v="0"/>
    <n v="2"/>
    <x v="15"/>
    <x v="1"/>
    <n v="2"/>
    <x v="2"/>
    <x v="2"/>
  </r>
  <r>
    <d v="2019-11-11T00:00:00"/>
    <x v="0"/>
    <d v="1912-04-30T00:00:00"/>
    <x v="18"/>
    <x v="0"/>
    <n v="2"/>
    <x v="24"/>
    <x v="1"/>
    <n v="4"/>
    <x v="2"/>
    <x v="2"/>
  </r>
  <r>
    <d v="2019-11-11T00:00:00"/>
    <x v="0"/>
    <d v="1912-04-30T00:00:00"/>
    <x v="18"/>
    <x v="0"/>
    <n v="2"/>
    <x v="2"/>
    <x v="1"/>
    <n v="1"/>
    <x v="2"/>
    <x v="2"/>
  </r>
  <r>
    <d v="2019-11-11T00:00:00"/>
    <x v="0"/>
    <d v="1912-04-30T00:00:00"/>
    <x v="18"/>
    <x v="0"/>
    <n v="2"/>
    <x v="34"/>
    <x v="1"/>
    <n v="1"/>
    <x v="2"/>
    <x v="2"/>
  </r>
  <r>
    <d v="2019-11-11T00:00:00"/>
    <x v="0"/>
    <d v="1912-04-30T00:00:00"/>
    <x v="18"/>
    <x v="0"/>
    <n v="2"/>
    <x v="16"/>
    <x v="1"/>
    <n v="6"/>
    <x v="2"/>
    <x v="2"/>
  </r>
  <r>
    <d v="2019-11-11T00:00:00"/>
    <x v="0"/>
    <d v="1912-04-30T00:00:00"/>
    <x v="18"/>
    <x v="0"/>
    <n v="2"/>
    <x v="19"/>
    <x v="1"/>
    <n v="1"/>
    <x v="2"/>
    <x v="2"/>
  </r>
  <r>
    <d v="2019-11-11T00:00:00"/>
    <x v="0"/>
    <d v="1912-04-30T00:00:00"/>
    <x v="18"/>
    <x v="0"/>
    <n v="2"/>
    <x v="30"/>
    <x v="1"/>
    <n v="2"/>
    <x v="2"/>
    <x v="2"/>
  </r>
  <r>
    <d v="2019-11-11T00:00:00"/>
    <x v="0"/>
    <d v="1912-04-30T00:00:00"/>
    <x v="18"/>
    <x v="0"/>
    <n v="2"/>
    <x v="35"/>
    <x v="1"/>
    <n v="1"/>
    <x v="2"/>
    <x v="2"/>
  </r>
  <r>
    <d v="2019-11-11T00:00:00"/>
    <x v="0"/>
    <d v="1917-12-06T00:00:00"/>
    <x v="17"/>
    <x v="1"/>
    <n v="2"/>
    <x v="27"/>
    <x v="0"/>
    <n v="8"/>
    <x v="2"/>
    <x v="2"/>
  </r>
  <r>
    <d v="2019-11-11T00:00:00"/>
    <x v="0"/>
    <d v="1917-12-06T00:00:00"/>
    <x v="17"/>
    <x v="1"/>
    <n v="2"/>
    <x v="33"/>
    <x v="0"/>
    <n v="14"/>
    <x v="2"/>
    <x v="2"/>
  </r>
  <r>
    <d v="2019-11-11T00:00:00"/>
    <x v="0"/>
    <d v="1917-12-06T00:00:00"/>
    <x v="17"/>
    <x v="1"/>
    <n v="2"/>
    <x v="32"/>
    <x v="0"/>
    <n v="2"/>
    <x v="2"/>
    <x v="2"/>
  </r>
  <r>
    <d v="2019-11-11T00:00:00"/>
    <x v="0"/>
    <d v="1917-12-06T00:00:00"/>
    <x v="17"/>
    <x v="1"/>
    <n v="2"/>
    <x v="15"/>
    <x v="0"/>
    <n v="15"/>
    <x v="2"/>
    <x v="2"/>
  </r>
  <r>
    <d v="2019-11-11T00:00:00"/>
    <x v="0"/>
    <d v="1917-12-06T00:00:00"/>
    <x v="17"/>
    <x v="1"/>
    <n v="2"/>
    <x v="29"/>
    <x v="0"/>
    <n v="6"/>
    <x v="2"/>
    <x v="2"/>
  </r>
  <r>
    <d v="2019-11-11T00:00:00"/>
    <x v="0"/>
    <d v="1917-12-06T00:00:00"/>
    <x v="17"/>
    <x v="1"/>
    <n v="2"/>
    <x v="2"/>
    <x v="0"/>
    <n v="2"/>
    <x v="2"/>
    <x v="2"/>
  </r>
  <r>
    <d v="2019-11-11T00:00:00"/>
    <x v="0"/>
    <d v="1917-12-06T00:00:00"/>
    <x v="17"/>
    <x v="1"/>
    <n v="2"/>
    <x v="25"/>
    <x v="0"/>
    <n v="10"/>
    <x v="2"/>
    <x v="2"/>
  </r>
  <r>
    <d v="2019-11-11T00:00:00"/>
    <x v="0"/>
    <d v="1917-12-06T00:00:00"/>
    <x v="17"/>
    <x v="1"/>
    <n v="2"/>
    <x v="23"/>
    <x v="0"/>
    <n v="9"/>
    <x v="2"/>
    <x v="2"/>
  </r>
  <r>
    <d v="2019-11-11T00:00:00"/>
    <x v="0"/>
    <d v="1917-12-06T00:00:00"/>
    <x v="17"/>
    <x v="1"/>
    <n v="2"/>
    <x v="21"/>
    <x v="0"/>
    <n v="7"/>
    <x v="2"/>
    <x v="2"/>
  </r>
  <r>
    <d v="2019-11-11T00:00:00"/>
    <x v="0"/>
    <d v="1917-12-06T00:00:00"/>
    <x v="17"/>
    <x v="1"/>
    <n v="2"/>
    <x v="19"/>
    <x v="0"/>
    <n v="12"/>
    <x v="2"/>
    <x v="2"/>
  </r>
  <r>
    <d v="2019-11-11T00:00:00"/>
    <x v="0"/>
    <d v="1917-12-06T00:00:00"/>
    <x v="13"/>
    <x v="0"/>
    <n v="2"/>
    <x v="20"/>
    <x v="0"/>
    <n v="28"/>
    <x v="2"/>
    <x v="2"/>
  </r>
  <r>
    <d v="2019-11-11T00:00:00"/>
    <x v="0"/>
    <d v="1917-12-06T00:00:00"/>
    <x v="13"/>
    <x v="0"/>
    <n v="2"/>
    <x v="21"/>
    <x v="0"/>
    <n v="21"/>
    <x v="2"/>
    <x v="2"/>
  </r>
  <r>
    <d v="2019-11-11T00:00:00"/>
    <x v="0"/>
    <d v="1917-12-09T00:00:00"/>
    <x v="20"/>
    <x v="1"/>
    <n v="1"/>
    <x v="4"/>
    <x v="0"/>
    <n v="16"/>
    <x v="2"/>
    <x v="2"/>
  </r>
  <r>
    <d v="2019-11-11T00:00:00"/>
    <x v="0"/>
    <d v="1917-12-09T00:00:00"/>
    <x v="20"/>
    <x v="1"/>
    <n v="1"/>
    <x v="0"/>
    <x v="0"/>
    <n v="6"/>
    <x v="2"/>
    <x v="2"/>
  </r>
  <r>
    <d v="2019-11-11T00:00:00"/>
    <x v="0"/>
    <d v="1917-12-09T00:00:00"/>
    <x v="20"/>
    <x v="1"/>
    <n v="1"/>
    <x v="27"/>
    <x v="0"/>
    <n v="3"/>
    <x v="2"/>
    <x v="2"/>
  </r>
  <r>
    <d v="2019-11-11T00:00:00"/>
    <x v="0"/>
    <d v="1917-12-09T00:00:00"/>
    <x v="20"/>
    <x v="1"/>
    <n v="1"/>
    <x v="11"/>
    <x v="0"/>
    <n v="18"/>
    <x v="2"/>
    <x v="2"/>
  </r>
  <r>
    <d v="2019-11-11T00:00:00"/>
    <x v="0"/>
    <d v="1917-12-09T00:00:00"/>
    <x v="20"/>
    <x v="1"/>
    <n v="1"/>
    <x v="31"/>
    <x v="0"/>
    <n v="7"/>
    <x v="2"/>
    <x v="2"/>
  </r>
  <r>
    <d v="2019-11-11T00:00:00"/>
    <x v="0"/>
    <d v="1917-12-09T00:00:00"/>
    <x v="20"/>
    <x v="1"/>
    <n v="1"/>
    <x v="24"/>
    <x v="0"/>
    <n v="2"/>
    <x v="2"/>
    <x v="2"/>
  </r>
  <r>
    <d v="2019-11-11T00:00:00"/>
    <x v="0"/>
    <d v="1917-12-09T00:00:00"/>
    <x v="20"/>
    <x v="1"/>
    <n v="1"/>
    <x v="21"/>
    <x v="0"/>
    <n v="5"/>
    <x v="2"/>
    <x v="2"/>
  </r>
  <r>
    <d v="2019-11-11T00:00:00"/>
    <x v="0"/>
    <d v="1917-12-09T00:00:00"/>
    <x v="20"/>
    <x v="1"/>
    <n v="1"/>
    <x v="13"/>
    <x v="0"/>
    <n v="9"/>
    <x v="2"/>
    <x v="2"/>
  </r>
  <r>
    <d v="2019-11-11T00:00:00"/>
    <x v="0"/>
    <d v="1917-12-09T00:00:00"/>
    <x v="20"/>
    <x v="1"/>
    <n v="2"/>
    <x v="3"/>
    <x v="0"/>
    <n v="3"/>
    <x v="2"/>
    <x v="2"/>
  </r>
  <r>
    <d v="2019-11-11T00:00:00"/>
    <x v="0"/>
    <d v="1917-12-09T00:00:00"/>
    <x v="20"/>
    <x v="0"/>
    <n v="1"/>
    <x v="20"/>
    <x v="0"/>
    <n v="8"/>
    <x v="2"/>
    <x v="2"/>
  </r>
  <r>
    <d v="2019-11-11T00:00:00"/>
    <x v="0"/>
    <d v="1917-12-09T00:00:00"/>
    <x v="20"/>
    <x v="0"/>
    <n v="1"/>
    <x v="3"/>
    <x v="0"/>
    <n v="2"/>
    <x v="2"/>
    <x v="2"/>
  </r>
  <r>
    <d v="2019-11-11T00:00:00"/>
    <x v="0"/>
    <d v="1917-12-09T00:00:00"/>
    <x v="20"/>
    <x v="0"/>
    <n v="1"/>
    <x v="16"/>
    <x v="0"/>
    <n v="1"/>
    <x v="2"/>
    <x v="2"/>
  </r>
  <r>
    <d v="2019-11-11T00:00:00"/>
    <x v="0"/>
    <d v="1917-12-09T00:00:00"/>
    <x v="20"/>
    <x v="0"/>
    <n v="1"/>
    <x v="19"/>
    <x v="0"/>
    <n v="27"/>
    <x v="2"/>
    <x v="2"/>
  </r>
  <r>
    <d v="2019-11-11T00:00:00"/>
    <x v="0"/>
    <d v="1917-12-09T00:00:00"/>
    <x v="20"/>
    <x v="1"/>
    <n v="1"/>
    <x v="12"/>
    <x v="1"/>
    <n v="4"/>
    <x v="2"/>
    <x v="2"/>
  </r>
  <r>
    <d v="2019-11-11T00:00:00"/>
    <x v="0"/>
    <d v="1917-12-09T00:00:00"/>
    <x v="20"/>
    <x v="1"/>
    <n v="1"/>
    <x v="24"/>
    <x v="1"/>
    <n v="3"/>
    <x v="2"/>
    <x v="2"/>
  </r>
  <r>
    <d v="2019-11-11T00:00:00"/>
    <x v="0"/>
    <d v="1917-12-09T00:00:00"/>
    <x v="20"/>
    <x v="1"/>
    <n v="1"/>
    <x v="23"/>
    <x v="1"/>
    <n v="2"/>
    <x v="2"/>
    <x v="2"/>
  </r>
  <r>
    <d v="2019-11-11T00:00:00"/>
    <x v="0"/>
    <d v="1917-12-09T00:00:00"/>
    <x v="20"/>
    <x v="1"/>
    <n v="1"/>
    <x v="21"/>
    <x v="1"/>
    <n v="50"/>
    <x v="2"/>
    <x v="2"/>
  </r>
  <r>
    <d v="2019-11-11T00:00:00"/>
    <x v="0"/>
    <d v="1917-12-09T00:00:00"/>
    <x v="20"/>
    <x v="1"/>
    <n v="1"/>
    <x v="3"/>
    <x v="1"/>
    <n v="1"/>
    <x v="2"/>
    <x v="2"/>
  </r>
  <r>
    <d v="2019-11-11T00:00:00"/>
    <x v="0"/>
    <d v="1917-12-09T00:00:00"/>
    <x v="20"/>
    <x v="1"/>
    <n v="1"/>
    <x v="19"/>
    <x v="1"/>
    <n v="9"/>
    <x v="2"/>
    <x v="2"/>
  </r>
  <r>
    <d v="2019-11-11T00:00:00"/>
    <x v="0"/>
    <d v="1917-12-09T00:00:00"/>
    <x v="20"/>
    <x v="0"/>
    <n v="1"/>
    <x v="27"/>
    <x v="1"/>
    <n v="3"/>
    <x v="2"/>
    <x v="2"/>
  </r>
  <r>
    <d v="2019-11-11T00:00:00"/>
    <x v="0"/>
    <d v="1917-12-09T00:00:00"/>
    <x v="20"/>
    <x v="0"/>
    <n v="1"/>
    <x v="33"/>
    <x v="1"/>
    <n v="1"/>
    <x v="2"/>
    <x v="2"/>
  </r>
  <r>
    <d v="2019-11-11T00:00:00"/>
    <x v="0"/>
    <d v="1917-12-09T00:00:00"/>
    <x v="20"/>
    <x v="0"/>
    <n v="1"/>
    <x v="32"/>
    <x v="1"/>
    <n v="2"/>
    <x v="2"/>
    <x v="2"/>
  </r>
  <r>
    <d v="2019-11-11T00:00:00"/>
    <x v="0"/>
    <d v="1917-12-09T00:00:00"/>
    <x v="20"/>
    <x v="0"/>
    <n v="1"/>
    <x v="28"/>
    <x v="1"/>
    <n v="1"/>
    <x v="2"/>
    <x v="2"/>
  </r>
  <r>
    <d v="2019-11-11T00:00:00"/>
    <x v="0"/>
    <d v="1917-12-09T00:00:00"/>
    <x v="20"/>
    <x v="0"/>
    <n v="1"/>
    <x v="15"/>
    <x v="1"/>
    <n v="28"/>
    <x v="2"/>
    <x v="2"/>
  </r>
  <r>
    <d v="2019-11-11T00:00:00"/>
    <x v="0"/>
    <d v="1917-12-09T00:00:00"/>
    <x v="20"/>
    <x v="0"/>
    <n v="1"/>
    <x v="24"/>
    <x v="1"/>
    <n v="2"/>
    <x v="2"/>
    <x v="2"/>
  </r>
  <r>
    <d v="2019-11-11T00:00:00"/>
    <x v="0"/>
    <d v="1917-12-09T00:00:00"/>
    <x v="20"/>
    <x v="0"/>
    <n v="1"/>
    <x v="19"/>
    <x v="1"/>
    <n v="3"/>
    <x v="2"/>
    <x v="2"/>
  </r>
  <r>
    <d v="2019-11-11T00:00:00"/>
    <x v="0"/>
    <d v="1917-12-09T00:00:00"/>
    <x v="20"/>
    <x v="0"/>
    <n v="1"/>
    <x v="30"/>
    <x v="1"/>
    <n v="1"/>
    <x v="2"/>
    <x v="2"/>
  </r>
  <r>
    <d v="2019-11-11T00:00:00"/>
    <x v="0"/>
    <d v="1922-10-02T00:00:00"/>
    <x v="21"/>
    <x v="1"/>
    <n v="1"/>
    <x v="4"/>
    <x v="0"/>
    <n v="11"/>
    <x v="2"/>
    <x v="2"/>
  </r>
  <r>
    <d v="2019-11-11T00:00:00"/>
    <x v="0"/>
    <d v="1922-10-02T00:00:00"/>
    <x v="21"/>
    <x v="1"/>
    <n v="1"/>
    <x v="27"/>
    <x v="0"/>
    <n v="3"/>
    <x v="2"/>
    <x v="2"/>
  </r>
  <r>
    <d v="2019-11-11T00:00:00"/>
    <x v="0"/>
    <d v="1922-10-02T00:00:00"/>
    <x v="21"/>
    <x v="1"/>
    <n v="1"/>
    <x v="33"/>
    <x v="0"/>
    <n v="4"/>
    <x v="2"/>
    <x v="2"/>
  </r>
  <r>
    <d v="2019-11-11T00:00:00"/>
    <x v="0"/>
    <d v="1922-10-02T00:00:00"/>
    <x v="21"/>
    <x v="1"/>
    <n v="1"/>
    <x v="5"/>
    <x v="0"/>
    <n v="3"/>
    <x v="2"/>
    <x v="2"/>
  </r>
  <r>
    <d v="2019-11-11T00:00:00"/>
    <x v="0"/>
    <d v="1922-10-02T00:00:00"/>
    <x v="21"/>
    <x v="1"/>
    <n v="1"/>
    <x v="2"/>
    <x v="0"/>
    <n v="7"/>
    <x v="2"/>
    <x v="2"/>
  </r>
  <r>
    <d v="2019-11-11T00:00:00"/>
    <x v="0"/>
    <d v="1922-10-02T00:00:00"/>
    <x v="21"/>
    <x v="1"/>
    <n v="1"/>
    <x v="21"/>
    <x v="0"/>
    <n v="3"/>
    <x v="2"/>
    <x v="2"/>
  </r>
  <r>
    <d v="2019-11-11T00:00:00"/>
    <x v="0"/>
    <d v="1922-10-02T00:00:00"/>
    <x v="21"/>
    <x v="1"/>
    <n v="1"/>
    <x v="13"/>
    <x v="0"/>
    <n v="4"/>
    <x v="2"/>
    <x v="2"/>
  </r>
  <r>
    <d v="2019-11-11T00:00:00"/>
    <x v="0"/>
    <d v="1922-10-02T00:00:00"/>
    <x v="21"/>
    <x v="1"/>
    <n v="2"/>
    <x v="5"/>
    <x v="0"/>
    <n v="1"/>
    <x v="2"/>
    <x v="2"/>
  </r>
  <r>
    <d v="2019-11-11T00:00:00"/>
    <x v="0"/>
    <d v="1922-10-02T00:00:00"/>
    <x v="21"/>
    <x v="1"/>
    <n v="2"/>
    <x v="21"/>
    <x v="0"/>
    <n v="3"/>
    <x v="2"/>
    <x v="2"/>
  </r>
  <r>
    <d v="2019-11-11T00:00:00"/>
    <x v="0"/>
    <d v="1922-10-02T00:00:00"/>
    <x v="21"/>
    <x v="1"/>
    <n v="2"/>
    <x v="13"/>
    <x v="0"/>
    <n v="2"/>
    <x v="2"/>
    <x v="2"/>
  </r>
  <r>
    <d v="2019-11-11T00:00:00"/>
    <x v="0"/>
    <d v="1922-10-02T00:00:00"/>
    <x v="21"/>
    <x v="0"/>
    <n v="1"/>
    <x v="21"/>
    <x v="0"/>
    <n v="32"/>
    <x v="2"/>
    <x v="2"/>
  </r>
  <r>
    <d v="2019-11-11T00:00:00"/>
    <x v="0"/>
    <d v="1922-10-02T00:00:00"/>
    <x v="21"/>
    <x v="0"/>
    <n v="1"/>
    <x v="19"/>
    <x v="0"/>
    <n v="34"/>
    <x v="2"/>
    <x v="2"/>
  </r>
  <r>
    <d v="2019-11-11T00:00:00"/>
    <x v="0"/>
    <d v="1922-10-02T00:00:00"/>
    <x v="21"/>
    <x v="0"/>
    <n v="2"/>
    <x v="21"/>
    <x v="0"/>
    <n v="2"/>
    <x v="2"/>
    <x v="2"/>
  </r>
  <r>
    <d v="2019-11-11T00:00:00"/>
    <x v="0"/>
    <d v="1922-10-02T00:00:00"/>
    <x v="21"/>
    <x v="0"/>
    <n v="2"/>
    <x v="19"/>
    <x v="0"/>
    <n v="5"/>
    <x v="2"/>
    <x v="2"/>
  </r>
  <r>
    <d v="2019-11-11T00:00:00"/>
    <x v="0"/>
    <d v="1922-10-02T00:00:00"/>
    <x v="21"/>
    <x v="1"/>
    <n v="1"/>
    <x v="20"/>
    <x v="1"/>
    <n v="5"/>
    <x v="2"/>
    <x v="2"/>
  </r>
  <r>
    <d v="2019-11-11T00:00:00"/>
    <x v="0"/>
    <d v="1922-10-02T00:00:00"/>
    <x v="21"/>
    <x v="1"/>
    <n v="1"/>
    <x v="5"/>
    <x v="1"/>
    <n v="2"/>
    <x v="2"/>
    <x v="2"/>
  </r>
  <r>
    <d v="2019-11-11T00:00:00"/>
    <x v="0"/>
    <d v="1922-10-02T00:00:00"/>
    <x v="21"/>
    <x v="1"/>
    <n v="1"/>
    <x v="21"/>
    <x v="1"/>
    <n v="23"/>
    <x v="2"/>
    <x v="2"/>
  </r>
  <r>
    <d v="2019-11-11T00:00:00"/>
    <x v="0"/>
    <d v="1922-10-02T00:00:00"/>
    <x v="21"/>
    <x v="1"/>
    <n v="1"/>
    <x v="19"/>
    <x v="1"/>
    <n v="8"/>
    <x v="2"/>
    <x v="2"/>
  </r>
  <r>
    <d v="2019-11-11T00:00:00"/>
    <x v="0"/>
    <d v="1922-10-02T00:00:00"/>
    <x v="21"/>
    <x v="1"/>
    <n v="2"/>
    <x v="19"/>
    <x v="1"/>
    <n v="3"/>
    <x v="2"/>
    <x v="2"/>
  </r>
  <r>
    <d v="2019-11-11T00:00:00"/>
    <x v="0"/>
    <d v="1922-10-02T00:00:00"/>
    <x v="21"/>
    <x v="0"/>
    <n v="1"/>
    <x v="11"/>
    <x v="1"/>
    <n v="29"/>
    <x v="2"/>
    <x v="2"/>
  </r>
  <r>
    <d v="2019-11-11T00:00:00"/>
    <x v="0"/>
    <d v="1922-10-02T00:00:00"/>
    <x v="21"/>
    <x v="0"/>
    <n v="1"/>
    <x v="28"/>
    <x v="1"/>
    <n v="1"/>
    <x v="2"/>
    <x v="2"/>
  </r>
  <r>
    <d v="2019-11-11T00:00:00"/>
    <x v="0"/>
    <d v="1922-10-02T00:00:00"/>
    <x v="21"/>
    <x v="0"/>
    <n v="1"/>
    <x v="25"/>
    <x v="1"/>
    <n v="6"/>
    <x v="2"/>
    <x v="2"/>
  </r>
  <r>
    <d v="2019-11-11T00:00:00"/>
    <x v="0"/>
    <d v="1922-10-02T00:00:00"/>
    <x v="21"/>
    <x v="0"/>
    <n v="1"/>
    <x v="34"/>
    <x v="1"/>
    <n v="2"/>
    <x v="2"/>
    <x v="2"/>
  </r>
  <r>
    <d v="2019-11-11T00:00:00"/>
    <x v="0"/>
    <d v="1922-10-02T00:00:00"/>
    <x v="21"/>
    <x v="0"/>
    <n v="1"/>
    <x v="23"/>
    <x v="1"/>
    <n v="6"/>
    <x v="2"/>
    <x v="2"/>
  </r>
  <r>
    <d v="2019-11-11T00:00:00"/>
    <x v="0"/>
    <d v="1922-10-02T00:00:00"/>
    <x v="21"/>
    <x v="0"/>
    <n v="1"/>
    <x v="21"/>
    <x v="1"/>
    <n v="11"/>
    <x v="2"/>
    <x v="2"/>
  </r>
  <r>
    <d v="2019-11-11T00:00:00"/>
    <x v="0"/>
    <d v="1922-10-02T00:00:00"/>
    <x v="21"/>
    <x v="0"/>
    <n v="1"/>
    <x v="16"/>
    <x v="1"/>
    <n v="14"/>
    <x v="2"/>
    <x v="2"/>
  </r>
  <r>
    <d v="2019-11-11T00:00:00"/>
    <x v="0"/>
    <d v="1922-10-02T00:00:00"/>
    <x v="21"/>
    <x v="0"/>
    <n v="1"/>
    <x v="19"/>
    <x v="1"/>
    <n v="4"/>
    <x v="2"/>
    <x v="2"/>
  </r>
  <r>
    <d v="2019-11-11T00:00:00"/>
    <x v="0"/>
    <d v="1925-06-22T00:00:00"/>
    <x v="22"/>
    <x v="1"/>
    <n v="1"/>
    <x v="27"/>
    <x v="0"/>
    <n v="4"/>
    <x v="2"/>
    <x v="2"/>
  </r>
  <r>
    <d v="2019-11-11T00:00:00"/>
    <x v="0"/>
    <d v="1925-06-22T00:00:00"/>
    <x v="22"/>
    <x v="1"/>
    <n v="1"/>
    <x v="31"/>
    <x v="0"/>
    <n v="7"/>
    <x v="2"/>
    <x v="2"/>
  </r>
  <r>
    <d v="2019-11-11T00:00:00"/>
    <x v="0"/>
    <d v="1925-06-22T00:00:00"/>
    <x v="22"/>
    <x v="1"/>
    <n v="1"/>
    <x v="28"/>
    <x v="0"/>
    <n v="2"/>
    <x v="2"/>
    <x v="2"/>
  </r>
  <r>
    <d v="2019-11-11T00:00:00"/>
    <x v="0"/>
    <d v="1925-06-22T00:00:00"/>
    <x v="22"/>
    <x v="1"/>
    <n v="1"/>
    <x v="15"/>
    <x v="0"/>
    <n v="22"/>
    <x v="2"/>
    <x v="2"/>
  </r>
  <r>
    <d v="2019-11-11T00:00:00"/>
    <x v="0"/>
    <d v="1925-06-22T00:00:00"/>
    <x v="22"/>
    <x v="1"/>
    <n v="1"/>
    <x v="24"/>
    <x v="0"/>
    <n v="16"/>
    <x v="2"/>
    <x v="2"/>
  </r>
  <r>
    <d v="2019-11-11T00:00:00"/>
    <x v="0"/>
    <d v="1925-06-22T00:00:00"/>
    <x v="22"/>
    <x v="0"/>
    <n v="1"/>
    <x v="20"/>
    <x v="0"/>
    <n v="62"/>
    <x v="2"/>
    <x v="2"/>
  </r>
  <r>
    <d v="2019-11-11T00:00:00"/>
    <x v="0"/>
    <d v="1925-06-22T00:00:00"/>
    <x v="22"/>
    <x v="0"/>
    <n v="1"/>
    <x v="5"/>
    <x v="0"/>
    <n v="6"/>
    <x v="2"/>
    <x v="2"/>
  </r>
  <r>
    <d v="2019-11-11T00:00:00"/>
    <x v="0"/>
    <d v="1925-06-22T00:00:00"/>
    <x v="22"/>
    <x v="0"/>
    <n v="1"/>
    <x v="24"/>
    <x v="0"/>
    <n v="3"/>
    <x v="2"/>
    <x v="2"/>
  </r>
  <r>
    <d v="2019-11-11T00:00:00"/>
    <x v="0"/>
    <d v="1925-06-22T00:00:00"/>
    <x v="22"/>
    <x v="1"/>
    <n v="1"/>
    <x v="20"/>
    <x v="1"/>
    <n v="12"/>
    <x v="2"/>
    <x v="2"/>
  </r>
  <r>
    <d v="2019-11-11T00:00:00"/>
    <x v="0"/>
    <d v="1925-06-22T00:00:00"/>
    <x v="22"/>
    <x v="1"/>
    <n v="1"/>
    <x v="16"/>
    <x v="1"/>
    <n v="3"/>
    <x v="2"/>
    <x v="2"/>
  </r>
  <r>
    <d v="2019-11-11T00:00:00"/>
    <x v="0"/>
    <d v="1925-06-22T00:00:00"/>
    <x v="22"/>
    <x v="1"/>
    <n v="1"/>
    <x v="17"/>
    <x v="1"/>
    <n v="4"/>
    <x v="2"/>
    <x v="2"/>
  </r>
  <r>
    <d v="2019-11-11T00:00:00"/>
    <x v="0"/>
    <d v="1925-06-22T00:00:00"/>
    <x v="22"/>
    <x v="1"/>
    <n v="2"/>
    <x v="15"/>
    <x v="1"/>
    <n v="1"/>
    <x v="2"/>
    <x v="2"/>
  </r>
  <r>
    <d v="2019-11-11T00:00:00"/>
    <x v="0"/>
    <d v="1925-06-22T00:00:00"/>
    <x v="22"/>
    <x v="1"/>
    <n v="2"/>
    <x v="2"/>
    <x v="1"/>
    <n v="2"/>
    <x v="2"/>
    <x v="2"/>
  </r>
  <r>
    <d v="2019-11-11T00:00:00"/>
    <x v="0"/>
    <d v="1925-06-22T00:00:00"/>
    <x v="22"/>
    <x v="1"/>
    <n v="2"/>
    <x v="23"/>
    <x v="1"/>
    <n v="9"/>
    <x v="2"/>
    <x v="2"/>
  </r>
  <r>
    <d v="2019-11-11T00:00:00"/>
    <x v="0"/>
    <d v="1925-06-22T00:00:00"/>
    <x v="22"/>
    <x v="1"/>
    <n v="2"/>
    <x v="3"/>
    <x v="1"/>
    <n v="6"/>
    <x v="2"/>
    <x v="2"/>
  </r>
  <r>
    <d v="2019-11-11T00:00:00"/>
    <x v="0"/>
    <d v="1925-06-22T00:00:00"/>
    <x v="22"/>
    <x v="1"/>
    <n v="2"/>
    <x v="19"/>
    <x v="1"/>
    <n v="18"/>
    <x v="2"/>
    <x v="2"/>
  </r>
  <r>
    <d v="2019-11-11T00:00:00"/>
    <x v="0"/>
    <d v="1925-06-22T00:00:00"/>
    <x v="22"/>
    <x v="0"/>
    <n v="1"/>
    <x v="4"/>
    <x v="1"/>
    <n v="5"/>
    <x v="2"/>
    <x v="2"/>
  </r>
  <r>
    <d v="2019-11-11T00:00:00"/>
    <x v="0"/>
    <d v="1925-06-22T00:00:00"/>
    <x v="22"/>
    <x v="0"/>
    <n v="1"/>
    <x v="27"/>
    <x v="1"/>
    <n v="5"/>
    <x v="2"/>
    <x v="2"/>
  </r>
  <r>
    <d v="2019-11-11T00:00:00"/>
    <x v="0"/>
    <d v="1925-06-22T00:00:00"/>
    <x v="22"/>
    <x v="0"/>
    <n v="1"/>
    <x v="33"/>
    <x v="1"/>
    <n v="3"/>
    <x v="2"/>
    <x v="2"/>
  </r>
  <r>
    <d v="2019-11-11T00:00:00"/>
    <x v="0"/>
    <d v="1925-06-22T00:00:00"/>
    <x v="22"/>
    <x v="0"/>
    <n v="1"/>
    <x v="32"/>
    <x v="1"/>
    <n v="6"/>
    <x v="2"/>
    <x v="2"/>
  </r>
  <r>
    <d v="2019-11-11T00:00:00"/>
    <x v="0"/>
    <d v="1925-06-22T00:00:00"/>
    <x v="22"/>
    <x v="0"/>
    <n v="1"/>
    <x v="15"/>
    <x v="1"/>
    <n v="8"/>
    <x v="2"/>
    <x v="2"/>
  </r>
  <r>
    <d v="2019-11-11T00:00:00"/>
    <x v="0"/>
    <d v="1925-06-22T00:00:00"/>
    <x v="22"/>
    <x v="0"/>
    <n v="1"/>
    <x v="5"/>
    <x v="1"/>
    <n v="7"/>
    <x v="2"/>
    <x v="2"/>
  </r>
  <r>
    <d v="2019-11-11T00:00:00"/>
    <x v="0"/>
    <d v="1925-06-22T00:00:00"/>
    <x v="22"/>
    <x v="0"/>
    <n v="1"/>
    <x v="29"/>
    <x v="1"/>
    <n v="1"/>
    <x v="2"/>
    <x v="2"/>
  </r>
  <r>
    <d v="2019-11-11T00:00:00"/>
    <x v="0"/>
    <d v="1925-06-22T00:00:00"/>
    <x v="22"/>
    <x v="0"/>
    <n v="1"/>
    <x v="2"/>
    <x v="1"/>
    <n v="2"/>
    <x v="2"/>
    <x v="2"/>
  </r>
  <r>
    <d v="2019-11-11T00:00:00"/>
    <x v="0"/>
    <d v="1925-06-22T00:00:00"/>
    <x v="22"/>
    <x v="0"/>
    <n v="1"/>
    <x v="34"/>
    <x v="1"/>
    <n v="3"/>
    <x v="2"/>
    <x v="2"/>
  </r>
  <r>
    <d v="2019-11-11T00:00:00"/>
    <x v="0"/>
    <d v="1925-06-22T00:00:00"/>
    <x v="22"/>
    <x v="0"/>
    <n v="1"/>
    <x v="21"/>
    <x v="1"/>
    <n v="19"/>
    <x v="2"/>
    <x v="2"/>
  </r>
  <r>
    <d v="2019-11-11T00:00:00"/>
    <x v="0"/>
    <d v="1925-06-22T00:00:00"/>
    <x v="22"/>
    <x v="0"/>
    <n v="1"/>
    <x v="16"/>
    <x v="1"/>
    <n v="12"/>
    <x v="2"/>
    <x v="2"/>
  </r>
  <r>
    <d v="2019-11-11T00:00:00"/>
    <x v="0"/>
    <d v="1925-06-22T00:00:00"/>
    <x v="22"/>
    <x v="0"/>
    <n v="2"/>
    <x v="20"/>
    <x v="1"/>
    <n v="1"/>
    <x v="2"/>
    <x v="2"/>
  </r>
  <r>
    <d v="2019-11-11T00:00:00"/>
    <x v="0"/>
    <d v="1925-06-22T00:00:00"/>
    <x v="22"/>
    <x v="0"/>
    <n v="2"/>
    <x v="15"/>
    <x v="1"/>
    <n v="1"/>
    <x v="2"/>
    <x v="2"/>
  </r>
  <r>
    <d v="2019-11-11T00:00:00"/>
    <x v="0"/>
    <d v="1925-06-22T00:00:00"/>
    <x v="22"/>
    <x v="0"/>
    <n v="2"/>
    <x v="25"/>
    <x v="1"/>
    <n v="2"/>
    <x v="2"/>
    <x v="2"/>
  </r>
  <r>
    <d v="2019-11-11T00:00:00"/>
    <x v="0"/>
    <d v="1925-06-22T00:00:00"/>
    <x v="22"/>
    <x v="0"/>
    <n v="2"/>
    <x v="23"/>
    <x v="1"/>
    <n v="1"/>
    <x v="2"/>
    <x v="2"/>
  </r>
  <r>
    <d v="2019-11-11T00:00:00"/>
    <x v="0"/>
    <d v="1925-06-22T00:00:00"/>
    <x v="22"/>
    <x v="0"/>
    <n v="2"/>
    <x v="21"/>
    <x v="1"/>
    <n v="2"/>
    <x v="2"/>
    <x v="2"/>
  </r>
  <r>
    <d v="2019-11-11T00:00:00"/>
    <x v="0"/>
    <d v="1925-07-07T00:00:00"/>
    <x v="24"/>
    <x v="1"/>
    <n v="1"/>
    <x v="27"/>
    <x v="0"/>
    <n v="1"/>
    <x v="2"/>
    <x v="2"/>
  </r>
  <r>
    <d v="2019-11-11T00:00:00"/>
    <x v="0"/>
    <d v="1925-07-07T00:00:00"/>
    <x v="24"/>
    <x v="0"/>
    <n v="1"/>
    <x v="20"/>
    <x v="0"/>
    <n v="46"/>
    <x v="2"/>
    <x v="2"/>
  </r>
  <r>
    <d v="2019-11-11T00:00:00"/>
    <x v="0"/>
    <d v="1925-07-07T00:00:00"/>
    <x v="24"/>
    <x v="0"/>
    <n v="2"/>
    <x v="0"/>
    <x v="0"/>
    <n v="7"/>
    <x v="2"/>
    <x v="2"/>
  </r>
  <r>
    <d v="2019-11-11T00:00:00"/>
    <x v="0"/>
    <d v="1925-07-07T00:00:00"/>
    <x v="24"/>
    <x v="0"/>
    <n v="2"/>
    <x v="20"/>
    <x v="0"/>
    <n v="2"/>
    <x v="2"/>
    <x v="2"/>
  </r>
  <r>
    <d v="2019-11-11T00:00:00"/>
    <x v="0"/>
    <d v="1925-07-07T00:00:00"/>
    <x v="24"/>
    <x v="1"/>
    <n v="1"/>
    <x v="14"/>
    <x v="0"/>
    <n v="1"/>
    <x v="2"/>
    <x v="2"/>
  </r>
  <r>
    <d v="2019-11-11T00:00:00"/>
    <x v="0"/>
    <d v="1925-07-07T00:00:00"/>
    <x v="24"/>
    <x v="1"/>
    <n v="1"/>
    <x v="21"/>
    <x v="1"/>
    <n v="6"/>
    <x v="2"/>
    <x v="2"/>
  </r>
  <r>
    <d v="2019-11-11T00:00:00"/>
    <x v="0"/>
    <d v="1925-07-07T00:00:00"/>
    <x v="24"/>
    <x v="0"/>
    <n v="1"/>
    <x v="27"/>
    <x v="1"/>
    <n v="1"/>
    <x v="2"/>
    <x v="2"/>
  </r>
  <r>
    <d v="2019-11-11T00:00:00"/>
    <x v="0"/>
    <d v="1925-07-07T00:00:00"/>
    <x v="24"/>
    <x v="0"/>
    <n v="1"/>
    <x v="33"/>
    <x v="1"/>
    <n v="4"/>
    <x v="2"/>
    <x v="2"/>
  </r>
  <r>
    <d v="2019-11-11T00:00:00"/>
    <x v="0"/>
    <d v="1925-07-07T00:00:00"/>
    <x v="24"/>
    <x v="0"/>
    <n v="1"/>
    <x v="15"/>
    <x v="1"/>
    <n v="21"/>
    <x v="2"/>
    <x v="2"/>
  </r>
  <r>
    <d v="2019-11-11T00:00:00"/>
    <x v="0"/>
    <d v="1925-07-07T00:00:00"/>
    <x v="24"/>
    <x v="0"/>
    <n v="1"/>
    <x v="34"/>
    <x v="1"/>
    <n v="6"/>
    <x v="2"/>
    <x v="2"/>
  </r>
  <r>
    <d v="2019-11-11T00:00:00"/>
    <x v="0"/>
    <d v="1925-07-07T00:00:00"/>
    <x v="24"/>
    <x v="0"/>
    <n v="1"/>
    <x v="21"/>
    <x v="1"/>
    <n v="10"/>
    <x v="2"/>
    <x v="2"/>
  </r>
  <r>
    <d v="2019-11-11T00:00:00"/>
    <x v="0"/>
    <d v="1925-07-07T00:00:00"/>
    <x v="24"/>
    <x v="0"/>
    <n v="1"/>
    <x v="19"/>
    <x v="1"/>
    <n v="3"/>
    <x v="2"/>
    <x v="2"/>
  </r>
  <r>
    <d v="2019-11-11T00:00:00"/>
    <x v="0"/>
    <d v="1925-07-07T00:00:00"/>
    <x v="24"/>
    <x v="0"/>
    <n v="2"/>
    <x v="33"/>
    <x v="1"/>
    <n v="1"/>
    <x v="2"/>
    <x v="2"/>
  </r>
  <r>
    <d v="2019-11-11T00:00:00"/>
    <x v="0"/>
    <d v="1925-07-07T00:00:00"/>
    <x v="24"/>
    <x v="0"/>
    <n v="2"/>
    <x v="28"/>
    <x v="1"/>
    <n v="3"/>
    <x v="2"/>
    <x v="2"/>
  </r>
  <r>
    <d v="2019-11-11T00:00:00"/>
    <x v="0"/>
    <d v="1925-07-07T00:00:00"/>
    <x v="24"/>
    <x v="0"/>
    <n v="2"/>
    <x v="15"/>
    <x v="1"/>
    <n v="2"/>
    <x v="2"/>
    <x v="2"/>
  </r>
  <r>
    <d v="2019-11-11T00:00:00"/>
    <x v="0"/>
    <d v="1925-07-07T00:00:00"/>
    <x v="24"/>
    <x v="0"/>
    <n v="2"/>
    <x v="23"/>
    <x v="1"/>
    <n v="1"/>
    <x v="2"/>
    <x v="2"/>
  </r>
  <r>
    <d v="2019-11-11T00:00:00"/>
    <x v="0"/>
    <d v="1925-07-07T00:00:00"/>
    <x v="24"/>
    <x v="0"/>
    <n v="2"/>
    <x v="21"/>
    <x v="1"/>
    <n v="1"/>
    <x v="2"/>
    <x v="2"/>
  </r>
  <r>
    <d v="2019-11-11T00:00:00"/>
    <x v="0"/>
    <d v="1925-07-07T00:00:00"/>
    <x v="24"/>
    <x v="0"/>
    <n v="2"/>
    <x v="30"/>
    <x v="1"/>
    <n v="1"/>
    <x v="2"/>
    <x v="2"/>
  </r>
  <r>
    <d v="2019-11-11T00:00:00"/>
    <x v="0"/>
    <d v="1902-10-26T00:00:00"/>
    <x v="0"/>
    <x v="1"/>
    <n v="1"/>
    <x v="4"/>
    <x v="0"/>
    <n v="8"/>
    <x v="2"/>
    <x v="2"/>
  </r>
  <r>
    <d v="2019-11-11T00:00:00"/>
    <x v="0"/>
    <d v="1902-10-26T00:00:00"/>
    <x v="0"/>
    <x v="1"/>
    <n v="1"/>
    <x v="11"/>
    <x v="0"/>
    <n v="1"/>
    <x v="2"/>
    <x v="2"/>
  </r>
  <r>
    <d v="2019-11-11T00:00:00"/>
    <x v="0"/>
    <d v="1902-10-26T00:00:00"/>
    <x v="0"/>
    <x v="1"/>
    <n v="1"/>
    <x v="12"/>
    <x v="0"/>
    <n v="2"/>
    <x v="2"/>
    <x v="2"/>
  </r>
  <r>
    <d v="2019-11-11T00:00:00"/>
    <x v="0"/>
    <d v="1902-10-26T00:00:00"/>
    <x v="0"/>
    <x v="1"/>
    <n v="1"/>
    <x v="5"/>
    <x v="0"/>
    <n v="1"/>
    <x v="2"/>
    <x v="2"/>
  </r>
  <r>
    <d v="2019-11-11T00:00:00"/>
    <x v="0"/>
    <d v="1902-10-26T00:00:00"/>
    <x v="0"/>
    <x v="1"/>
    <n v="1"/>
    <x v="2"/>
    <x v="0"/>
    <n v="2"/>
    <x v="2"/>
    <x v="2"/>
  </r>
  <r>
    <d v="2019-11-11T00:00:00"/>
    <x v="0"/>
    <d v="1902-10-26T00:00:00"/>
    <x v="0"/>
    <x v="1"/>
    <n v="1"/>
    <x v="6"/>
    <x v="0"/>
    <n v="1"/>
    <x v="2"/>
    <x v="2"/>
  </r>
  <r>
    <d v="2019-11-11T00:00:00"/>
    <x v="0"/>
    <d v="1902-10-26T00:00:00"/>
    <x v="0"/>
    <x v="1"/>
    <n v="1"/>
    <x v="7"/>
    <x v="0"/>
    <n v="9"/>
    <x v="2"/>
    <x v="2"/>
  </r>
  <r>
    <d v="2019-11-11T00:00:00"/>
    <x v="0"/>
    <d v="1902-10-26T00:00:00"/>
    <x v="0"/>
    <x v="1"/>
    <n v="1"/>
    <x v="3"/>
    <x v="0"/>
    <n v="1"/>
    <x v="2"/>
    <x v="2"/>
  </r>
  <r>
    <d v="2019-11-11T00:00:00"/>
    <x v="0"/>
    <d v="1902-10-26T00:00:00"/>
    <x v="0"/>
    <x v="1"/>
    <n v="1"/>
    <x v="9"/>
    <x v="0"/>
    <n v="4"/>
    <x v="2"/>
    <x v="2"/>
  </r>
  <r>
    <d v="2019-11-11T00:00:00"/>
    <x v="0"/>
    <d v="1902-10-26T00:00:00"/>
    <x v="0"/>
    <x v="1"/>
    <n v="1"/>
    <x v="10"/>
    <x v="0"/>
    <n v="1"/>
    <x v="2"/>
    <x v="2"/>
  </r>
  <r>
    <d v="2019-11-11T00:00:00"/>
    <x v="0"/>
    <d v="1902-10-26T00:00:00"/>
    <x v="0"/>
    <x v="0"/>
    <n v="1"/>
    <x v="0"/>
    <x v="0"/>
    <n v="19"/>
    <x v="2"/>
    <x v="2"/>
  </r>
  <r>
    <d v="2019-11-11T00:00:00"/>
    <x v="0"/>
    <d v="1902-10-26T00:00:00"/>
    <x v="0"/>
    <x v="0"/>
    <n v="1"/>
    <x v="1"/>
    <x v="0"/>
    <n v="13"/>
    <x v="2"/>
    <x v="2"/>
  </r>
  <r>
    <d v="2019-11-11T00:00:00"/>
    <x v="0"/>
    <d v="1902-10-26T00:00:00"/>
    <x v="0"/>
    <x v="0"/>
    <n v="1"/>
    <x v="2"/>
    <x v="0"/>
    <n v="45"/>
    <x v="2"/>
    <x v="2"/>
  </r>
  <r>
    <d v="2019-11-11T00:00:00"/>
    <x v="0"/>
    <d v="1902-10-26T00:00:00"/>
    <x v="0"/>
    <x v="0"/>
    <n v="1"/>
    <x v="3"/>
    <x v="0"/>
    <n v="4"/>
    <x v="2"/>
    <x v="2"/>
  </r>
  <r>
    <d v="2019-11-11T00:00:00"/>
    <x v="0"/>
    <d v="1902-10-26T00:00:00"/>
    <x v="0"/>
    <x v="1"/>
    <n v="1"/>
    <x v="0"/>
    <x v="1"/>
    <n v="3"/>
    <x v="2"/>
    <x v="2"/>
  </r>
  <r>
    <d v="2019-11-11T00:00:00"/>
    <x v="0"/>
    <d v="1902-10-26T00:00:00"/>
    <x v="0"/>
    <x v="1"/>
    <n v="1"/>
    <x v="5"/>
    <x v="1"/>
    <n v="3"/>
    <x v="2"/>
    <x v="2"/>
  </r>
  <r>
    <d v="2019-11-11T00:00:00"/>
    <x v="0"/>
    <d v="1902-10-26T00:00:00"/>
    <x v="0"/>
    <x v="1"/>
    <n v="1"/>
    <x v="13"/>
    <x v="1"/>
    <n v="16"/>
    <x v="2"/>
    <x v="2"/>
  </r>
  <r>
    <d v="2019-11-11T00:00:00"/>
    <x v="0"/>
    <d v="1902-10-26T00:00:00"/>
    <x v="0"/>
    <x v="1"/>
    <n v="1"/>
    <x v="14"/>
    <x v="1"/>
    <n v="11"/>
    <x v="2"/>
    <x v="2"/>
  </r>
  <r>
    <d v="2019-11-11T00:00:00"/>
    <x v="0"/>
    <d v="1902-10-26T00:00:00"/>
    <x v="0"/>
    <x v="0"/>
    <n v="1"/>
    <x v="4"/>
    <x v="1"/>
    <n v="11"/>
    <x v="2"/>
    <x v="2"/>
  </r>
  <r>
    <d v="2019-11-11T00:00:00"/>
    <x v="0"/>
    <d v="1902-10-26T00:00:00"/>
    <x v="0"/>
    <x v="0"/>
    <n v="1"/>
    <x v="11"/>
    <x v="1"/>
    <n v="5"/>
    <x v="2"/>
    <x v="2"/>
  </r>
  <r>
    <d v="2019-11-11T00:00:00"/>
    <x v="0"/>
    <d v="1902-10-26T00:00:00"/>
    <x v="0"/>
    <x v="0"/>
    <n v="1"/>
    <x v="5"/>
    <x v="1"/>
    <n v="1"/>
    <x v="2"/>
    <x v="2"/>
  </r>
  <r>
    <d v="2019-11-11T00:00:00"/>
    <x v="0"/>
    <d v="1902-10-26T00:00:00"/>
    <x v="0"/>
    <x v="0"/>
    <n v="1"/>
    <x v="21"/>
    <x v="1"/>
    <n v="3"/>
    <x v="2"/>
    <x v="2"/>
  </r>
  <r>
    <d v="2019-11-11T00:00:00"/>
    <x v="0"/>
    <d v="1902-10-26T00:00:00"/>
    <x v="0"/>
    <x v="0"/>
    <n v="1"/>
    <x v="13"/>
    <x v="1"/>
    <n v="3"/>
    <x v="2"/>
    <x v="2"/>
  </r>
  <r>
    <d v="2019-11-11T00:00:00"/>
    <x v="0"/>
    <d v="1902-10-26T00:00:00"/>
    <x v="0"/>
    <x v="0"/>
    <n v="1"/>
    <x v="3"/>
    <x v="1"/>
    <n v="12"/>
    <x v="2"/>
    <x v="2"/>
  </r>
  <r>
    <d v="2019-11-11T00:00:00"/>
    <x v="0"/>
    <d v="1902-10-26T00:00:00"/>
    <x v="0"/>
    <x v="0"/>
    <n v="1"/>
    <x v="9"/>
    <x v="1"/>
    <n v="18"/>
    <x v="2"/>
    <x v="2"/>
  </r>
  <r>
    <d v="2019-11-11T00:00:00"/>
    <x v="0"/>
    <d v="1902-10-26T00:00:00"/>
    <x v="0"/>
    <x v="0"/>
    <n v="1"/>
    <x v="10"/>
    <x v="1"/>
    <n v="2"/>
    <x v="2"/>
    <x v="2"/>
  </r>
  <r>
    <d v="2019-11-11T00:00:00"/>
    <x v="0"/>
    <d v="1902-10-26T00:00:00"/>
    <x v="0"/>
    <x v="0"/>
    <n v="2"/>
    <x v="4"/>
    <x v="1"/>
    <n v="2"/>
    <x v="2"/>
    <x v="2"/>
  </r>
  <r>
    <d v="2019-11-11T00:00:00"/>
    <x v="0"/>
    <d v="1902-10-26T00:00:00"/>
    <x v="0"/>
    <x v="0"/>
    <n v="2"/>
    <x v="6"/>
    <x v="1"/>
    <n v="6"/>
    <x v="2"/>
    <x v="2"/>
  </r>
  <r>
    <d v="2019-11-11T00:00:00"/>
    <x v="0"/>
    <d v="1902-10-26T00:00:00"/>
    <x v="0"/>
    <x v="0"/>
    <n v="2"/>
    <x v="21"/>
    <x v="1"/>
    <n v="3"/>
    <x v="2"/>
    <x v="2"/>
  </r>
  <r>
    <d v="2019-11-11T00:00:00"/>
    <x v="0"/>
    <d v="1902-10-26T00:00:00"/>
    <x v="0"/>
    <x v="0"/>
    <n v="2"/>
    <x v="9"/>
    <x v="1"/>
    <n v="2"/>
    <x v="2"/>
    <x v="2"/>
  </r>
  <r>
    <d v="2019-11-11T00:00:00"/>
    <x v="0"/>
    <d v="1902-10-26T00:00:00"/>
    <x v="0"/>
    <x v="0"/>
    <n v="2"/>
    <x v="10"/>
    <x v="1"/>
    <n v="3"/>
    <x v="2"/>
    <x v="2"/>
  </r>
  <r>
    <d v="2019-11-11T00:00:00"/>
    <x v="0"/>
    <d v="1906-05-29T00:00:00"/>
    <x v="1"/>
    <x v="1"/>
    <n v="1"/>
    <x v="4"/>
    <x v="0"/>
    <n v="11"/>
    <x v="2"/>
    <x v="2"/>
  </r>
  <r>
    <d v="2019-11-11T00:00:00"/>
    <x v="0"/>
    <d v="1906-05-29T00:00:00"/>
    <x v="1"/>
    <x v="1"/>
    <n v="1"/>
    <x v="0"/>
    <x v="0"/>
    <n v="1"/>
    <x v="2"/>
    <x v="2"/>
  </r>
  <r>
    <d v="2019-11-11T00:00:00"/>
    <x v="0"/>
    <d v="1906-05-29T00:00:00"/>
    <x v="1"/>
    <x v="1"/>
    <n v="1"/>
    <x v="11"/>
    <x v="0"/>
    <n v="15"/>
    <x v="2"/>
    <x v="2"/>
  </r>
  <r>
    <d v="2019-11-11T00:00:00"/>
    <x v="0"/>
    <d v="1906-05-29T00:00:00"/>
    <x v="1"/>
    <x v="1"/>
    <n v="1"/>
    <x v="13"/>
    <x v="0"/>
    <n v="5"/>
    <x v="2"/>
    <x v="2"/>
  </r>
  <r>
    <d v="2019-11-11T00:00:00"/>
    <x v="0"/>
    <d v="1906-05-29T00:00:00"/>
    <x v="1"/>
    <x v="1"/>
    <n v="1"/>
    <x v="9"/>
    <x v="0"/>
    <n v="9"/>
    <x v="2"/>
    <x v="2"/>
  </r>
  <r>
    <d v="2019-11-11T00:00:00"/>
    <x v="0"/>
    <d v="1906-05-29T00:00:00"/>
    <x v="1"/>
    <x v="1"/>
    <n v="1"/>
    <x v="13"/>
    <x v="0"/>
    <n v="4"/>
    <x v="2"/>
    <x v="2"/>
  </r>
  <r>
    <d v="2019-11-11T00:00:00"/>
    <x v="0"/>
    <d v="1906-05-29T00:00:00"/>
    <x v="1"/>
    <x v="1"/>
    <n v="1"/>
    <x v="16"/>
    <x v="0"/>
    <n v="1"/>
    <x v="2"/>
    <x v="2"/>
  </r>
  <r>
    <d v="2019-11-11T00:00:00"/>
    <x v="0"/>
    <d v="1906-05-29T00:00:00"/>
    <x v="1"/>
    <x v="1"/>
    <n v="1"/>
    <x v="17"/>
    <x v="0"/>
    <n v="35"/>
    <x v="2"/>
    <x v="2"/>
  </r>
  <r>
    <d v="2019-11-11T00:00:00"/>
    <x v="0"/>
    <d v="1906-06-18T00:00:00"/>
    <x v="3"/>
    <x v="1"/>
    <n v="1"/>
    <x v="12"/>
    <x v="0"/>
    <n v="13"/>
    <x v="2"/>
    <x v="2"/>
  </r>
  <r>
    <d v="2019-11-11T00:00:00"/>
    <x v="0"/>
    <d v="1906-06-18T00:00:00"/>
    <x v="3"/>
    <x v="1"/>
    <n v="1"/>
    <x v="2"/>
    <x v="0"/>
    <n v="27"/>
    <x v="2"/>
    <x v="2"/>
  </r>
  <r>
    <d v="2019-11-11T00:00:00"/>
    <x v="0"/>
    <d v="1906-06-18T00:00:00"/>
    <x v="3"/>
    <x v="1"/>
    <n v="1"/>
    <x v="13"/>
    <x v="0"/>
    <n v="3"/>
    <x v="2"/>
    <x v="2"/>
  </r>
  <r>
    <d v="2019-11-11T00:00:00"/>
    <x v="0"/>
    <d v="1906-06-18T00:00:00"/>
    <x v="3"/>
    <x v="1"/>
    <n v="1"/>
    <x v="14"/>
    <x v="0"/>
    <n v="14"/>
    <x v="2"/>
    <x v="2"/>
  </r>
  <r>
    <d v="2019-11-11T00:00:00"/>
    <x v="0"/>
    <d v="1906-06-18T00:00:00"/>
    <x v="3"/>
    <x v="0"/>
    <n v="1"/>
    <x v="4"/>
    <x v="0"/>
    <n v="19"/>
    <x v="2"/>
    <x v="2"/>
  </r>
  <r>
    <d v="2019-11-11T00:00:00"/>
    <x v="0"/>
    <d v="1906-06-18T00:00:00"/>
    <x v="3"/>
    <x v="0"/>
    <n v="1"/>
    <x v="11"/>
    <x v="0"/>
    <n v="5"/>
    <x v="2"/>
    <x v="2"/>
  </r>
  <r>
    <d v="2019-11-11T00:00:00"/>
    <x v="0"/>
    <d v="1906-06-18T00:00:00"/>
    <x v="3"/>
    <x v="0"/>
    <n v="1"/>
    <x v="20"/>
    <x v="0"/>
    <n v="2"/>
    <x v="2"/>
    <x v="2"/>
  </r>
  <r>
    <d v="2019-11-11T00:00:00"/>
    <x v="0"/>
    <d v="1906-06-18T00:00:00"/>
    <x v="3"/>
    <x v="0"/>
    <n v="1"/>
    <x v="15"/>
    <x v="0"/>
    <n v="3"/>
    <x v="2"/>
    <x v="2"/>
  </r>
  <r>
    <d v="2019-11-11T00:00:00"/>
    <x v="0"/>
    <d v="1906-06-18T00:00:00"/>
    <x v="3"/>
    <x v="0"/>
    <n v="1"/>
    <x v="2"/>
    <x v="0"/>
    <n v="2"/>
    <x v="2"/>
    <x v="2"/>
  </r>
  <r>
    <d v="2019-11-11T00:00:00"/>
    <x v="0"/>
    <d v="1906-06-18T00:00:00"/>
    <x v="3"/>
    <x v="0"/>
    <n v="1"/>
    <x v="7"/>
    <x v="0"/>
    <n v="20"/>
    <x v="2"/>
    <x v="2"/>
  </r>
  <r>
    <d v="2019-11-11T00:00:00"/>
    <x v="0"/>
    <d v="1906-06-18T00:00:00"/>
    <x v="3"/>
    <x v="0"/>
    <n v="1"/>
    <x v="13"/>
    <x v="0"/>
    <n v="6"/>
    <x v="2"/>
    <x v="2"/>
  </r>
  <r>
    <d v="2019-11-11T00:00:00"/>
    <x v="0"/>
    <d v="1906-06-18T00:00:00"/>
    <x v="3"/>
    <x v="0"/>
    <n v="1"/>
    <x v="9"/>
    <x v="0"/>
    <n v="2"/>
    <x v="2"/>
    <x v="2"/>
  </r>
  <r>
    <d v="2019-11-11T00:00:00"/>
    <x v="0"/>
    <d v="1906-06-18T00:00:00"/>
    <x v="3"/>
    <x v="0"/>
    <n v="1"/>
    <x v="19"/>
    <x v="0"/>
    <n v="1"/>
    <x v="2"/>
    <x v="2"/>
  </r>
  <r>
    <d v="2019-11-11T00:00:00"/>
    <x v="0"/>
    <d v="1906-06-18T00:00:00"/>
    <x v="3"/>
    <x v="0"/>
    <n v="1"/>
    <x v="10"/>
    <x v="0"/>
    <n v="2"/>
    <x v="2"/>
    <x v="2"/>
  </r>
  <r>
    <d v="2019-11-11T00:00:00"/>
    <x v="0"/>
    <d v="1906-06-18T00:00:00"/>
    <x v="3"/>
    <x v="1"/>
    <n v="1"/>
    <x v="4"/>
    <x v="1"/>
    <n v="3"/>
    <x v="2"/>
    <x v="2"/>
  </r>
  <r>
    <d v="2019-11-11T00:00:00"/>
    <x v="0"/>
    <d v="1906-06-18T00:00:00"/>
    <x v="3"/>
    <x v="1"/>
    <n v="1"/>
    <x v="0"/>
    <x v="1"/>
    <n v="8"/>
    <x v="2"/>
    <x v="2"/>
  </r>
  <r>
    <d v="2019-11-11T00:00:00"/>
    <x v="0"/>
    <d v="1906-06-18T00:00:00"/>
    <x v="3"/>
    <x v="1"/>
    <n v="1"/>
    <x v="11"/>
    <x v="1"/>
    <n v="8"/>
    <x v="2"/>
    <x v="2"/>
  </r>
  <r>
    <d v="2019-11-11T00:00:00"/>
    <x v="0"/>
    <d v="1906-06-18T00:00:00"/>
    <x v="3"/>
    <x v="1"/>
    <n v="1"/>
    <x v="5"/>
    <x v="1"/>
    <n v="8"/>
    <x v="2"/>
    <x v="2"/>
  </r>
  <r>
    <d v="2019-11-11T00:00:00"/>
    <x v="0"/>
    <d v="1906-06-18T00:00:00"/>
    <x v="3"/>
    <x v="1"/>
    <n v="1"/>
    <x v="1"/>
    <x v="1"/>
    <n v="1"/>
    <x v="2"/>
    <x v="2"/>
  </r>
  <r>
    <d v="2019-11-11T00:00:00"/>
    <x v="0"/>
    <d v="1906-06-18T00:00:00"/>
    <x v="3"/>
    <x v="1"/>
    <n v="1"/>
    <x v="2"/>
    <x v="1"/>
    <n v="3"/>
    <x v="2"/>
    <x v="2"/>
  </r>
  <r>
    <d v="2019-11-11T00:00:00"/>
    <x v="0"/>
    <d v="1906-06-18T00:00:00"/>
    <x v="3"/>
    <x v="1"/>
    <n v="1"/>
    <x v="6"/>
    <x v="1"/>
    <n v="1"/>
    <x v="2"/>
    <x v="2"/>
  </r>
  <r>
    <d v="2019-11-11T00:00:00"/>
    <x v="0"/>
    <d v="1906-06-18T00:00:00"/>
    <x v="3"/>
    <x v="1"/>
    <n v="1"/>
    <x v="7"/>
    <x v="1"/>
    <n v="4"/>
    <x v="2"/>
    <x v="2"/>
  </r>
  <r>
    <d v="2019-11-11T00:00:00"/>
    <x v="0"/>
    <d v="1906-06-18T00:00:00"/>
    <x v="3"/>
    <x v="1"/>
    <n v="1"/>
    <x v="13"/>
    <x v="1"/>
    <n v="5"/>
    <x v="2"/>
    <x v="2"/>
  </r>
  <r>
    <d v="2019-11-11T00:00:00"/>
    <x v="0"/>
    <d v="1906-06-18T00:00:00"/>
    <x v="3"/>
    <x v="1"/>
    <n v="1"/>
    <x v="3"/>
    <x v="1"/>
    <n v="8"/>
    <x v="2"/>
    <x v="2"/>
  </r>
  <r>
    <d v="2019-11-11T00:00:00"/>
    <x v="0"/>
    <d v="1906-06-18T00:00:00"/>
    <x v="3"/>
    <x v="1"/>
    <n v="1"/>
    <x v="9"/>
    <x v="1"/>
    <n v="7"/>
    <x v="2"/>
    <x v="2"/>
  </r>
  <r>
    <d v="2019-11-11T00:00:00"/>
    <x v="0"/>
    <d v="1906-06-18T00:00:00"/>
    <x v="3"/>
    <x v="1"/>
    <n v="1"/>
    <x v="10"/>
    <x v="1"/>
    <n v="1"/>
    <x v="2"/>
    <x v="2"/>
  </r>
  <r>
    <d v="2019-11-11T00:00:00"/>
    <x v="0"/>
    <d v="1906-06-18T00:00:00"/>
    <x v="3"/>
    <x v="0"/>
    <n v="1"/>
    <x v="18"/>
    <x v="1"/>
    <n v="7"/>
    <x v="2"/>
    <x v="2"/>
  </r>
  <r>
    <d v="2019-11-11T00:00:00"/>
    <x v="0"/>
    <d v="1906-06-18T00:00:00"/>
    <x v="3"/>
    <x v="0"/>
    <n v="1"/>
    <x v="11"/>
    <x v="1"/>
    <n v="12"/>
    <x v="2"/>
    <x v="2"/>
  </r>
  <r>
    <d v="2019-11-11T00:00:00"/>
    <x v="0"/>
    <d v="1906-06-18T00:00:00"/>
    <x v="3"/>
    <x v="0"/>
    <n v="1"/>
    <x v="20"/>
    <x v="1"/>
    <n v="3"/>
    <x v="2"/>
    <x v="2"/>
  </r>
  <r>
    <d v="2019-11-11T00:00:00"/>
    <x v="0"/>
    <d v="1906-06-18T00:00:00"/>
    <x v="3"/>
    <x v="0"/>
    <n v="1"/>
    <x v="2"/>
    <x v="1"/>
    <n v="4"/>
    <x v="2"/>
    <x v="2"/>
  </r>
  <r>
    <d v="2019-11-11T00:00:00"/>
    <x v="0"/>
    <d v="1906-06-18T00:00:00"/>
    <x v="3"/>
    <x v="0"/>
    <n v="1"/>
    <x v="8"/>
    <x v="1"/>
    <n v="5"/>
    <x v="2"/>
    <x v="2"/>
  </r>
  <r>
    <d v="2019-11-11T00:00:00"/>
    <x v="0"/>
    <d v="1906-06-18T00:00:00"/>
    <x v="3"/>
    <x v="0"/>
    <n v="1"/>
    <x v="13"/>
    <x v="1"/>
    <n v="18"/>
    <x v="2"/>
    <x v="2"/>
  </r>
  <r>
    <d v="2019-11-11T00:00:00"/>
    <x v="0"/>
    <d v="1906-06-18T00:00:00"/>
    <x v="3"/>
    <x v="0"/>
    <n v="1"/>
    <x v="3"/>
    <x v="1"/>
    <n v="13"/>
    <x v="2"/>
    <x v="2"/>
  </r>
  <r>
    <d v="2019-11-11T00:00:00"/>
    <x v="0"/>
    <d v="1912-04-27T00:00:00"/>
    <x v="4"/>
    <x v="1"/>
    <n v="1"/>
    <x v="4"/>
    <x v="0"/>
    <n v="4"/>
    <x v="2"/>
    <x v="2"/>
  </r>
  <r>
    <d v="2019-11-11T00:00:00"/>
    <x v="0"/>
    <d v="1912-04-27T00:00:00"/>
    <x v="4"/>
    <x v="1"/>
    <n v="1"/>
    <x v="0"/>
    <x v="0"/>
    <n v="4"/>
    <x v="2"/>
    <x v="2"/>
  </r>
  <r>
    <d v="2019-11-11T00:00:00"/>
    <x v="0"/>
    <d v="1912-04-27T00:00:00"/>
    <x v="4"/>
    <x v="1"/>
    <n v="1"/>
    <x v="11"/>
    <x v="0"/>
    <n v="6"/>
    <x v="2"/>
    <x v="2"/>
  </r>
  <r>
    <d v="2019-11-11T00:00:00"/>
    <x v="0"/>
    <d v="1912-04-27T00:00:00"/>
    <x v="4"/>
    <x v="1"/>
    <n v="1"/>
    <x v="7"/>
    <x v="0"/>
    <n v="1"/>
    <x v="2"/>
    <x v="2"/>
  </r>
  <r>
    <d v="2019-11-11T00:00:00"/>
    <x v="0"/>
    <d v="1912-04-27T00:00:00"/>
    <x v="4"/>
    <x v="1"/>
    <n v="1"/>
    <x v="3"/>
    <x v="0"/>
    <n v="1"/>
    <x v="2"/>
    <x v="2"/>
  </r>
  <r>
    <d v="2019-11-11T00:00:00"/>
    <x v="0"/>
    <d v="1912-04-27T00:00:00"/>
    <x v="4"/>
    <x v="0"/>
    <n v="1"/>
    <x v="19"/>
    <x v="0"/>
    <n v="29"/>
    <x v="2"/>
    <x v="2"/>
  </r>
  <r>
    <d v="2019-11-11T00:00:00"/>
    <x v="0"/>
    <d v="1912-04-27T00:00:00"/>
    <x v="4"/>
    <x v="0"/>
    <n v="1"/>
    <x v="4"/>
    <x v="1"/>
    <n v="1"/>
    <x v="2"/>
    <x v="2"/>
  </r>
  <r>
    <d v="2019-11-11T00:00:00"/>
    <x v="0"/>
    <d v="1912-04-27T00:00:00"/>
    <x v="4"/>
    <x v="0"/>
    <n v="1"/>
    <x v="0"/>
    <x v="1"/>
    <n v="2"/>
    <x v="2"/>
    <x v="2"/>
  </r>
  <r>
    <d v="2019-11-11T00:00:00"/>
    <x v="0"/>
    <d v="1912-04-27T00:00:00"/>
    <x v="4"/>
    <x v="0"/>
    <n v="1"/>
    <x v="11"/>
    <x v="1"/>
    <n v="1"/>
    <x v="2"/>
    <x v="2"/>
  </r>
  <r>
    <d v="2019-11-11T00:00:00"/>
    <x v="0"/>
    <d v="1912-04-27T00:00:00"/>
    <x v="4"/>
    <x v="0"/>
    <n v="1"/>
    <x v="2"/>
    <x v="1"/>
    <n v="5"/>
    <x v="2"/>
    <x v="2"/>
  </r>
  <r>
    <d v="2019-11-11T00:00:00"/>
    <x v="0"/>
    <d v="1912-04-27T00:00:00"/>
    <x v="4"/>
    <x v="0"/>
    <n v="1"/>
    <x v="7"/>
    <x v="1"/>
    <n v="3"/>
    <x v="2"/>
    <x v="2"/>
  </r>
  <r>
    <d v="2019-11-11T00:00:00"/>
    <x v="0"/>
    <d v="1912-04-27T00:00:00"/>
    <x v="4"/>
    <x v="0"/>
    <n v="1"/>
    <x v="3"/>
    <x v="1"/>
    <n v="7"/>
    <x v="2"/>
    <x v="2"/>
  </r>
  <r>
    <d v="2019-11-11T00:00:00"/>
    <x v="0"/>
    <d v="1912-04-27T00:00:00"/>
    <x v="4"/>
    <x v="0"/>
    <n v="1"/>
    <x v="9"/>
    <x v="1"/>
    <n v="7"/>
    <x v="2"/>
    <x v="2"/>
  </r>
  <r>
    <d v="2019-11-11T00:00:00"/>
    <x v="0"/>
    <d v="1912-04-27T00:00:00"/>
    <x v="4"/>
    <x v="0"/>
    <n v="1"/>
    <x v="10"/>
    <x v="1"/>
    <n v="3"/>
    <x v="2"/>
    <x v="2"/>
  </r>
  <r>
    <d v="2019-11-11T00:00:00"/>
    <x v="0"/>
    <d v="1912-04-28T00:00:00"/>
    <x v="5"/>
    <x v="1"/>
    <n v="1"/>
    <x v="4"/>
    <x v="0"/>
    <n v="10"/>
    <x v="2"/>
    <x v="2"/>
  </r>
  <r>
    <d v="2019-11-11T00:00:00"/>
    <x v="0"/>
    <d v="1912-04-28T00:00:00"/>
    <x v="5"/>
    <x v="1"/>
    <n v="1"/>
    <x v="0"/>
    <x v="0"/>
    <n v="1"/>
    <x v="2"/>
    <x v="2"/>
  </r>
  <r>
    <d v="2019-11-11T00:00:00"/>
    <x v="0"/>
    <d v="1912-04-28T00:00:00"/>
    <x v="5"/>
    <x v="1"/>
    <n v="1"/>
    <x v="11"/>
    <x v="0"/>
    <n v="1"/>
    <x v="2"/>
    <x v="2"/>
  </r>
  <r>
    <d v="2019-11-11T00:00:00"/>
    <x v="0"/>
    <d v="1912-04-28T00:00:00"/>
    <x v="5"/>
    <x v="1"/>
    <n v="1"/>
    <x v="7"/>
    <x v="0"/>
    <n v="3"/>
    <x v="2"/>
    <x v="2"/>
  </r>
  <r>
    <d v="2019-11-11T00:00:00"/>
    <x v="0"/>
    <d v="1912-04-28T00:00:00"/>
    <x v="5"/>
    <x v="1"/>
    <n v="1"/>
    <x v="3"/>
    <x v="0"/>
    <n v="4"/>
    <x v="2"/>
    <x v="2"/>
  </r>
  <r>
    <d v="2019-11-11T00:00:00"/>
    <x v="0"/>
    <d v="1912-04-28T00:00:00"/>
    <x v="5"/>
    <x v="1"/>
    <n v="1"/>
    <x v="9"/>
    <x v="0"/>
    <n v="7"/>
    <x v="2"/>
    <x v="2"/>
  </r>
  <r>
    <d v="2019-11-11T00:00:00"/>
    <x v="0"/>
    <d v="1912-04-28T00:00:00"/>
    <x v="5"/>
    <x v="0"/>
    <n v="1"/>
    <x v="12"/>
    <x v="0"/>
    <n v="24"/>
    <x v="2"/>
    <x v="2"/>
  </r>
  <r>
    <d v="2019-11-11T00:00:00"/>
    <x v="0"/>
    <d v="1912-04-28T00:00:00"/>
    <x v="5"/>
    <x v="0"/>
    <n v="1"/>
    <x v="2"/>
    <x v="0"/>
    <n v="8"/>
    <x v="2"/>
    <x v="2"/>
  </r>
  <r>
    <d v="2019-11-11T00:00:00"/>
    <x v="0"/>
    <d v="1912-04-28T00:00:00"/>
    <x v="5"/>
    <x v="0"/>
    <n v="1"/>
    <x v="21"/>
    <x v="0"/>
    <n v="37"/>
    <x v="2"/>
    <x v="2"/>
  </r>
  <r>
    <d v="2019-11-11T00:00:00"/>
    <x v="0"/>
    <d v="1912-04-28T00:00:00"/>
    <x v="5"/>
    <x v="0"/>
    <n v="1"/>
    <x v="3"/>
    <x v="0"/>
    <n v="5"/>
    <x v="2"/>
    <x v="2"/>
  </r>
  <r>
    <d v="2019-11-11T00:00:00"/>
    <x v="0"/>
    <d v="1912-04-28T00:00:00"/>
    <x v="5"/>
    <x v="0"/>
    <n v="1"/>
    <x v="17"/>
    <x v="0"/>
    <n v="4"/>
    <x v="2"/>
    <x v="2"/>
  </r>
  <r>
    <d v="2019-11-11T00:00:00"/>
    <x v="0"/>
    <d v="1917-12-08T00:00:00"/>
    <x v="7"/>
    <x v="1"/>
    <n v="1"/>
    <x v="24"/>
    <x v="0"/>
    <n v="2"/>
    <x v="2"/>
    <x v="2"/>
  </r>
  <r>
    <d v="2019-11-11T00:00:00"/>
    <x v="0"/>
    <d v="1917-12-08T00:00:00"/>
    <x v="7"/>
    <x v="1"/>
    <n v="1"/>
    <x v="1"/>
    <x v="0"/>
    <n v="11"/>
    <x v="2"/>
    <x v="2"/>
  </r>
  <r>
    <d v="2019-11-11T00:00:00"/>
    <x v="0"/>
    <d v="1917-12-08T00:00:00"/>
    <x v="7"/>
    <x v="1"/>
    <n v="1"/>
    <x v="6"/>
    <x v="0"/>
    <n v="5"/>
    <x v="2"/>
    <x v="2"/>
  </r>
  <r>
    <d v="2019-11-11T00:00:00"/>
    <x v="0"/>
    <d v="1917-12-08T00:00:00"/>
    <x v="7"/>
    <x v="1"/>
    <n v="1"/>
    <x v="7"/>
    <x v="0"/>
    <n v="15"/>
    <x v="2"/>
    <x v="2"/>
  </r>
  <r>
    <d v="2019-11-11T00:00:00"/>
    <x v="0"/>
    <d v="1917-12-08T00:00:00"/>
    <x v="7"/>
    <x v="1"/>
    <n v="1"/>
    <x v="21"/>
    <x v="0"/>
    <n v="8"/>
    <x v="2"/>
    <x v="2"/>
  </r>
  <r>
    <d v="2019-11-11T00:00:00"/>
    <x v="0"/>
    <d v="1917-12-08T00:00:00"/>
    <x v="7"/>
    <x v="1"/>
    <n v="1"/>
    <x v="9"/>
    <x v="0"/>
    <n v="8"/>
    <x v="2"/>
    <x v="2"/>
  </r>
  <r>
    <d v="2019-11-11T00:00:00"/>
    <x v="0"/>
    <d v="1917-12-08T00:00:00"/>
    <x v="7"/>
    <x v="1"/>
    <n v="1"/>
    <x v="10"/>
    <x v="0"/>
    <n v="4"/>
    <x v="2"/>
    <x v="2"/>
  </r>
  <r>
    <d v="2019-11-11T00:00:00"/>
    <x v="0"/>
    <d v="1917-12-08T00:00:00"/>
    <x v="7"/>
    <x v="0"/>
    <n v="1"/>
    <x v="0"/>
    <x v="0"/>
    <n v="15"/>
    <x v="2"/>
    <x v="2"/>
  </r>
  <r>
    <d v="2019-11-11T00:00:00"/>
    <x v="0"/>
    <d v="1917-12-08T00:00:00"/>
    <x v="7"/>
    <x v="0"/>
    <n v="1"/>
    <x v="1"/>
    <x v="0"/>
    <n v="12"/>
    <x v="2"/>
    <x v="2"/>
  </r>
  <r>
    <d v="2019-11-11T00:00:00"/>
    <x v="0"/>
    <d v="1917-12-08T00:00:00"/>
    <x v="7"/>
    <x v="0"/>
    <n v="1"/>
    <x v="21"/>
    <x v="0"/>
    <n v="39"/>
    <x v="2"/>
    <x v="2"/>
  </r>
  <r>
    <d v="2019-11-11T00:00:00"/>
    <x v="0"/>
    <d v="1917-12-08T00:00:00"/>
    <x v="7"/>
    <x v="0"/>
    <n v="1"/>
    <x v="17"/>
    <x v="0"/>
    <n v="7"/>
    <x v="2"/>
    <x v="2"/>
  </r>
  <r>
    <d v="2019-11-11T00:00:00"/>
    <x v="0"/>
    <d v="1917-12-08T00:00:00"/>
    <x v="16"/>
    <x v="1"/>
    <n v="1"/>
    <x v="0"/>
    <x v="1"/>
    <n v="1"/>
    <x v="2"/>
    <x v="2"/>
  </r>
  <r>
    <d v="2019-11-11T00:00:00"/>
    <x v="0"/>
    <d v="1917-12-08T00:00:00"/>
    <x v="16"/>
    <x v="1"/>
    <n v="1"/>
    <x v="20"/>
    <x v="1"/>
    <n v="11"/>
    <x v="2"/>
    <x v="2"/>
  </r>
  <r>
    <d v="2019-11-11T00:00:00"/>
    <x v="0"/>
    <d v="1917-12-08T00:00:00"/>
    <x v="16"/>
    <x v="1"/>
    <n v="1"/>
    <x v="24"/>
    <x v="1"/>
    <n v="4"/>
    <x v="2"/>
    <x v="2"/>
  </r>
  <r>
    <d v="2019-11-11T00:00:00"/>
    <x v="0"/>
    <d v="1917-12-08T00:00:00"/>
    <x v="16"/>
    <x v="1"/>
    <n v="1"/>
    <x v="23"/>
    <x v="1"/>
    <n v="1"/>
    <x v="2"/>
    <x v="2"/>
  </r>
  <r>
    <d v="2019-11-11T00:00:00"/>
    <x v="0"/>
    <d v="1917-12-08T00:00:00"/>
    <x v="16"/>
    <x v="1"/>
    <n v="1"/>
    <x v="21"/>
    <x v="1"/>
    <n v="16"/>
    <x v="2"/>
    <x v="2"/>
  </r>
  <r>
    <d v="2019-11-11T00:00:00"/>
    <x v="0"/>
    <d v="1917-12-08T00:00:00"/>
    <x v="16"/>
    <x v="1"/>
    <n v="1"/>
    <x v="16"/>
    <x v="1"/>
    <n v="4"/>
    <x v="2"/>
    <x v="2"/>
  </r>
  <r>
    <d v="2019-11-11T00:00:00"/>
    <x v="0"/>
    <d v="1917-12-08T00:00:00"/>
    <x v="16"/>
    <x v="1"/>
    <n v="1"/>
    <x v="17"/>
    <x v="1"/>
    <n v="16"/>
    <x v="2"/>
    <x v="2"/>
  </r>
  <r>
    <d v="2019-11-11T00:00:00"/>
    <x v="0"/>
    <d v="1917-12-08T00:00:00"/>
    <x v="16"/>
    <x v="0"/>
    <n v="1"/>
    <x v="4"/>
    <x v="1"/>
    <n v="4"/>
    <x v="2"/>
    <x v="2"/>
  </r>
  <r>
    <d v="2019-11-11T00:00:00"/>
    <x v="0"/>
    <d v="1917-12-08T00:00:00"/>
    <x v="16"/>
    <x v="0"/>
    <n v="1"/>
    <x v="11"/>
    <x v="1"/>
    <n v="4"/>
    <x v="2"/>
    <x v="2"/>
  </r>
  <r>
    <d v="2019-11-11T00:00:00"/>
    <x v="0"/>
    <d v="1917-12-08T00:00:00"/>
    <x v="16"/>
    <x v="0"/>
    <n v="1"/>
    <x v="5"/>
    <x v="1"/>
    <n v="2"/>
    <x v="2"/>
    <x v="2"/>
  </r>
  <r>
    <d v="2019-11-11T00:00:00"/>
    <x v="0"/>
    <d v="1917-12-08T00:00:00"/>
    <x v="16"/>
    <x v="0"/>
    <n v="1"/>
    <x v="1"/>
    <x v="1"/>
    <n v="2"/>
    <x v="2"/>
    <x v="2"/>
  </r>
  <r>
    <d v="2019-11-11T00:00:00"/>
    <x v="0"/>
    <d v="1917-12-08T00:00:00"/>
    <x v="16"/>
    <x v="0"/>
    <n v="1"/>
    <x v="6"/>
    <x v="1"/>
    <n v="2"/>
    <x v="2"/>
    <x v="2"/>
  </r>
  <r>
    <d v="2019-11-11T00:00:00"/>
    <x v="0"/>
    <d v="1917-12-08T00:00:00"/>
    <x v="16"/>
    <x v="0"/>
    <n v="1"/>
    <x v="7"/>
    <x v="1"/>
    <n v="6"/>
    <x v="2"/>
    <x v="2"/>
  </r>
  <r>
    <d v="2019-11-11T00:00:00"/>
    <x v="0"/>
    <d v="1917-12-08T00:00:00"/>
    <x v="16"/>
    <x v="0"/>
    <n v="1"/>
    <x v="13"/>
    <x v="1"/>
    <n v="3"/>
    <x v="2"/>
    <x v="2"/>
  </r>
  <r>
    <d v="2019-11-11T00:00:00"/>
    <x v="0"/>
    <d v="1917-12-08T00:00:00"/>
    <x v="16"/>
    <x v="0"/>
    <n v="1"/>
    <x v="9"/>
    <x v="1"/>
    <n v="28"/>
    <x v="2"/>
    <x v="2"/>
  </r>
  <r>
    <d v="2019-11-11T00:00:00"/>
    <x v="0"/>
    <d v="1917-12-08T00:00:00"/>
    <x v="16"/>
    <x v="0"/>
    <n v="2"/>
    <x v="4"/>
    <x v="1"/>
    <n v="1"/>
    <x v="2"/>
    <x v="2"/>
  </r>
  <r>
    <d v="2019-11-11T00:00:00"/>
    <x v="0"/>
    <d v="1917-12-08T00:00:00"/>
    <x v="16"/>
    <x v="0"/>
    <n v="2"/>
    <x v="11"/>
    <x v="1"/>
    <n v="4"/>
    <x v="2"/>
    <x v="2"/>
  </r>
  <r>
    <d v="2019-11-11T00:00:00"/>
    <x v="0"/>
    <d v="1917-12-08T00:00:00"/>
    <x v="16"/>
    <x v="0"/>
    <n v="2"/>
    <x v="5"/>
    <x v="1"/>
    <n v="3"/>
    <x v="2"/>
    <x v="2"/>
  </r>
  <r>
    <d v="2019-11-11T00:00:00"/>
    <x v="0"/>
    <d v="1917-12-08T00:00:00"/>
    <x v="16"/>
    <x v="0"/>
    <n v="2"/>
    <x v="1"/>
    <x v="1"/>
    <n v="2"/>
    <x v="2"/>
    <x v="2"/>
  </r>
  <r>
    <d v="2019-11-11T00:00:00"/>
    <x v="0"/>
    <d v="1917-12-08T00:00:00"/>
    <x v="16"/>
    <x v="0"/>
    <n v="2"/>
    <x v="7"/>
    <x v="1"/>
    <n v="5"/>
    <x v="2"/>
    <x v="2"/>
  </r>
  <r>
    <d v="2019-11-11T00:00:00"/>
    <x v="0"/>
    <d v="1917-12-08T00:00:00"/>
    <x v="16"/>
    <x v="0"/>
    <n v="2"/>
    <x v="3"/>
    <x v="1"/>
    <n v="4"/>
    <x v="2"/>
    <x v="2"/>
  </r>
  <r>
    <d v="2019-11-11T00:00:00"/>
    <x v="0"/>
    <d v="1917-12-08T00:00:00"/>
    <x v="16"/>
    <x v="0"/>
    <n v="2"/>
    <x v="9"/>
    <x v="1"/>
    <n v="3"/>
    <x v="2"/>
    <x v="2"/>
  </r>
  <r>
    <d v="2019-11-11T00:00:00"/>
    <x v="0"/>
    <d v="1922-10-03T00:00:00"/>
    <x v="9"/>
    <x v="0"/>
    <n v="1"/>
    <x v="15"/>
    <x v="0"/>
    <n v="2"/>
    <x v="2"/>
    <x v="2"/>
  </r>
  <r>
    <d v="2019-11-11T00:00:00"/>
    <x v="0"/>
    <d v="1922-10-03T00:00:00"/>
    <x v="9"/>
    <x v="0"/>
    <n v="1"/>
    <x v="16"/>
    <x v="0"/>
    <n v="16"/>
    <x v="2"/>
    <x v="2"/>
  </r>
  <r>
    <d v="2019-11-11T00:00:00"/>
    <x v="0"/>
    <d v="1922-10-03T00:00:00"/>
    <x v="9"/>
    <x v="0"/>
    <n v="1"/>
    <x v="14"/>
    <x v="0"/>
    <n v="13"/>
    <x v="2"/>
    <x v="2"/>
  </r>
  <r>
    <d v="2019-11-11T00:00:00"/>
    <x v="0"/>
    <d v="1922-10-03T00:00:00"/>
    <x v="9"/>
    <x v="0"/>
    <n v="2"/>
    <x v="17"/>
    <x v="0"/>
    <n v="27"/>
    <x v="2"/>
    <x v="2"/>
  </r>
  <r>
    <d v="2019-11-11T00:00:00"/>
    <x v="0"/>
    <d v="1920-01-12T00:00:00"/>
    <x v="1"/>
    <x v="1"/>
    <n v="1"/>
    <x v="0"/>
    <x v="1"/>
    <n v="2"/>
    <x v="2"/>
    <x v="2"/>
  </r>
  <r>
    <d v="2019-11-11T00:00:00"/>
    <x v="0"/>
    <d v="1920-01-12T00:00:00"/>
    <x v="1"/>
    <x v="1"/>
    <n v="1"/>
    <x v="20"/>
    <x v="1"/>
    <n v="29"/>
    <x v="2"/>
    <x v="2"/>
  </r>
  <r>
    <d v="2019-11-11T00:00:00"/>
    <x v="0"/>
    <d v="1920-01-12T00:00:00"/>
    <x v="1"/>
    <x v="1"/>
    <n v="1"/>
    <x v="15"/>
    <x v="1"/>
    <n v="10"/>
    <x v="2"/>
    <x v="2"/>
  </r>
  <r>
    <d v="2019-11-11T00:00:00"/>
    <x v="0"/>
    <d v="1920-01-12T00:00:00"/>
    <x v="1"/>
    <x v="1"/>
    <n v="1"/>
    <x v="23"/>
    <x v="1"/>
    <n v="1"/>
    <x v="2"/>
    <x v="2"/>
  </r>
  <r>
    <d v="2019-11-11T00:00:00"/>
    <x v="0"/>
    <d v="1920-01-12T00:00:00"/>
    <x v="1"/>
    <x v="1"/>
    <n v="1"/>
    <x v="3"/>
    <x v="1"/>
    <n v="1"/>
    <x v="2"/>
    <x v="2"/>
  </r>
  <r>
    <d v="2019-11-11T00:00:00"/>
    <x v="0"/>
    <d v="1920-01-12T00:00:00"/>
    <x v="1"/>
    <x v="0"/>
    <n v="1"/>
    <x v="4"/>
    <x v="1"/>
    <n v="8"/>
    <x v="2"/>
    <x v="2"/>
  </r>
  <r>
    <d v="2019-11-11T00:00:00"/>
    <x v="0"/>
    <d v="1920-01-12T00:00:00"/>
    <x v="1"/>
    <x v="0"/>
    <n v="1"/>
    <x v="11"/>
    <x v="1"/>
    <n v="6"/>
    <x v="2"/>
    <x v="2"/>
  </r>
  <r>
    <d v="2019-11-11T00:00:00"/>
    <x v="0"/>
    <d v="1920-01-12T00:00:00"/>
    <x v="1"/>
    <x v="0"/>
    <n v="1"/>
    <x v="20"/>
    <x v="1"/>
    <n v="1"/>
    <x v="2"/>
    <x v="2"/>
  </r>
  <r>
    <d v="2019-11-11T00:00:00"/>
    <x v="0"/>
    <d v="1920-01-12T00:00:00"/>
    <x v="1"/>
    <x v="0"/>
    <n v="1"/>
    <x v="5"/>
    <x v="1"/>
    <n v="4"/>
    <x v="2"/>
    <x v="2"/>
  </r>
  <r>
    <d v="2019-11-11T00:00:00"/>
    <x v="0"/>
    <d v="1920-01-12T00:00:00"/>
    <x v="1"/>
    <x v="0"/>
    <n v="1"/>
    <x v="7"/>
    <x v="1"/>
    <n v="2"/>
    <x v="2"/>
    <x v="2"/>
  </r>
  <r>
    <d v="2019-11-11T00:00:00"/>
    <x v="0"/>
    <d v="1920-01-12T00:00:00"/>
    <x v="1"/>
    <x v="0"/>
    <n v="1"/>
    <x v="13"/>
    <x v="1"/>
    <n v="8"/>
    <x v="2"/>
    <x v="2"/>
  </r>
  <r>
    <d v="2019-11-11T00:00:00"/>
    <x v="0"/>
    <d v="1920-01-12T00:00:00"/>
    <x v="1"/>
    <x v="0"/>
    <n v="1"/>
    <x v="3"/>
    <x v="1"/>
    <n v="9"/>
    <x v="2"/>
    <x v="2"/>
  </r>
  <r>
    <d v="2019-11-11T00:00:00"/>
    <x v="0"/>
    <d v="1920-01-12T00:00:00"/>
    <x v="1"/>
    <x v="0"/>
    <n v="1"/>
    <x v="9"/>
    <x v="1"/>
    <n v="4"/>
    <x v="2"/>
    <x v="2"/>
  </r>
  <r>
    <d v="2019-11-11T00:00:00"/>
    <x v="0"/>
    <d v="1920-01-12T00:00:00"/>
    <x v="1"/>
    <x v="0"/>
    <n v="1"/>
    <x v="10"/>
    <x v="1"/>
    <n v="1"/>
    <x v="2"/>
    <x v="2"/>
  </r>
  <r>
    <d v="2019-11-11T00:00:00"/>
    <x v="0"/>
    <d v="1922-10-03T00:00:00"/>
    <x v="9"/>
    <x v="1"/>
    <n v="1"/>
    <x v="4"/>
    <x v="0"/>
    <n v="6"/>
    <x v="2"/>
    <x v="2"/>
  </r>
  <r>
    <d v="2019-11-11T00:00:00"/>
    <x v="0"/>
    <d v="1922-10-03T00:00:00"/>
    <x v="9"/>
    <x v="1"/>
    <n v="1"/>
    <x v="11"/>
    <x v="0"/>
    <n v="10"/>
    <x v="2"/>
    <x v="2"/>
  </r>
  <r>
    <d v="2019-11-11T00:00:00"/>
    <x v="0"/>
    <d v="1922-10-03T00:00:00"/>
    <x v="9"/>
    <x v="1"/>
    <n v="1"/>
    <x v="1"/>
    <x v="0"/>
    <n v="1"/>
    <x v="2"/>
    <x v="2"/>
  </r>
  <r>
    <d v="2019-11-11T00:00:00"/>
    <x v="0"/>
    <d v="1922-10-03T00:00:00"/>
    <x v="9"/>
    <x v="1"/>
    <n v="1"/>
    <x v="6"/>
    <x v="0"/>
    <n v="2"/>
    <x v="2"/>
    <x v="2"/>
  </r>
  <r>
    <d v="2019-11-11T00:00:00"/>
    <x v="0"/>
    <d v="1922-10-03T00:00:00"/>
    <x v="9"/>
    <x v="1"/>
    <n v="1"/>
    <x v="13"/>
    <x v="0"/>
    <n v="1"/>
    <x v="2"/>
    <x v="2"/>
  </r>
  <r>
    <d v="2019-11-11T00:00:00"/>
    <x v="0"/>
    <d v="1922-10-03T00:00:00"/>
    <x v="9"/>
    <x v="1"/>
    <n v="1"/>
    <x v="3"/>
    <x v="0"/>
    <n v="3"/>
    <x v="2"/>
    <x v="2"/>
  </r>
  <r>
    <d v="2019-11-11T00:00:00"/>
    <x v="0"/>
    <d v="1922-10-03T00:00:00"/>
    <x v="9"/>
    <x v="1"/>
    <n v="1"/>
    <x v="10"/>
    <x v="0"/>
    <n v="1"/>
    <x v="2"/>
    <x v="2"/>
  </r>
  <r>
    <d v="2019-11-11T00:00:00"/>
    <x v="0"/>
    <d v="1922-10-03T00:00:00"/>
    <x v="9"/>
    <x v="1"/>
    <n v="2"/>
    <x v="2"/>
    <x v="0"/>
    <n v="1"/>
    <x v="2"/>
    <x v="2"/>
  </r>
  <r>
    <d v="2019-11-11T00:00:00"/>
    <x v="0"/>
    <d v="1922-10-03T00:00:00"/>
    <x v="9"/>
    <x v="1"/>
    <n v="2"/>
    <x v="3"/>
    <x v="0"/>
    <n v="1"/>
    <x v="2"/>
    <x v="2"/>
  </r>
  <r>
    <d v="2019-11-11T00:00:00"/>
    <x v="0"/>
    <d v="1920-01-02T00:00:00"/>
    <x v="25"/>
    <x v="1"/>
    <n v="1"/>
    <x v="11"/>
    <x v="0"/>
    <n v="2"/>
    <x v="2"/>
    <x v="2"/>
  </r>
  <r>
    <d v="2019-11-11T00:00:00"/>
    <x v="0"/>
    <d v="1920-01-02T00:00:00"/>
    <x v="25"/>
    <x v="1"/>
    <n v="1"/>
    <x v="5"/>
    <x v="0"/>
    <n v="4"/>
    <x v="2"/>
    <x v="2"/>
  </r>
  <r>
    <d v="2019-11-11T00:00:00"/>
    <x v="0"/>
    <d v="1920-01-02T00:00:00"/>
    <x v="25"/>
    <x v="1"/>
    <n v="1"/>
    <x v="2"/>
    <x v="0"/>
    <n v="27"/>
    <x v="2"/>
    <x v="2"/>
  </r>
  <r>
    <d v="2019-11-11T00:00:00"/>
    <x v="0"/>
    <d v="1920-01-02T00:00:00"/>
    <x v="25"/>
    <x v="1"/>
    <n v="1"/>
    <x v="13"/>
    <x v="0"/>
    <n v="13"/>
    <x v="2"/>
    <x v="2"/>
  </r>
  <r>
    <d v="2019-11-11T00:00:00"/>
    <x v="0"/>
    <d v="1920-01-02T00:00:00"/>
    <x v="25"/>
    <x v="1"/>
    <n v="1"/>
    <x v="19"/>
    <x v="0"/>
    <n v="13"/>
    <x v="2"/>
    <x v="2"/>
  </r>
  <r>
    <d v="2019-11-11T00:00:00"/>
    <x v="0"/>
    <d v="1920-01-02T00:00:00"/>
    <x v="25"/>
    <x v="1"/>
    <n v="1"/>
    <x v="17"/>
    <x v="0"/>
    <n v="5"/>
    <x v="2"/>
    <x v="2"/>
  </r>
  <r>
    <d v="2019-11-11T00:00:00"/>
    <x v="0"/>
    <d v="1920-01-02T00:00:00"/>
    <x v="25"/>
    <x v="0"/>
    <n v="1"/>
    <x v="4"/>
    <x v="0"/>
    <n v="1"/>
    <x v="2"/>
    <x v="2"/>
  </r>
  <r>
    <d v="2019-11-11T00:00:00"/>
    <x v="0"/>
    <d v="1920-01-02T00:00:00"/>
    <x v="25"/>
    <x v="0"/>
    <n v="1"/>
    <x v="0"/>
    <x v="0"/>
    <n v="1"/>
    <x v="2"/>
    <x v="2"/>
  </r>
  <r>
    <d v="2019-11-11T00:00:00"/>
    <x v="0"/>
    <d v="1920-01-02T00:00:00"/>
    <x v="25"/>
    <x v="0"/>
    <n v="1"/>
    <x v="11"/>
    <x v="0"/>
    <n v="5"/>
    <x v="2"/>
    <x v="2"/>
  </r>
  <r>
    <d v="2019-11-11T00:00:00"/>
    <x v="0"/>
    <d v="1920-01-02T00:00:00"/>
    <x v="25"/>
    <x v="0"/>
    <n v="1"/>
    <x v="20"/>
    <x v="0"/>
    <n v="2"/>
    <x v="2"/>
    <x v="2"/>
  </r>
  <r>
    <d v="2019-11-11T00:00:00"/>
    <x v="0"/>
    <d v="1920-01-02T00:00:00"/>
    <x v="25"/>
    <x v="0"/>
    <n v="1"/>
    <x v="15"/>
    <x v="0"/>
    <n v="3"/>
    <x v="2"/>
    <x v="2"/>
  </r>
  <r>
    <d v="2019-11-11T00:00:00"/>
    <x v="0"/>
    <d v="1920-01-02T00:00:00"/>
    <x v="25"/>
    <x v="0"/>
    <n v="1"/>
    <x v="5"/>
    <x v="0"/>
    <n v="5"/>
    <x v="2"/>
    <x v="2"/>
  </r>
  <r>
    <d v="2019-11-11T00:00:00"/>
    <x v="0"/>
    <d v="1920-01-02T00:00:00"/>
    <x v="25"/>
    <x v="0"/>
    <n v="1"/>
    <x v="2"/>
    <x v="0"/>
    <n v="3"/>
    <x v="2"/>
    <x v="2"/>
  </r>
  <r>
    <d v="2019-11-11T00:00:00"/>
    <x v="0"/>
    <d v="1920-01-02T00:00:00"/>
    <x v="25"/>
    <x v="0"/>
    <n v="1"/>
    <x v="6"/>
    <x v="0"/>
    <n v="7"/>
    <x v="2"/>
    <x v="2"/>
  </r>
  <r>
    <d v="2019-11-11T00:00:00"/>
    <x v="0"/>
    <d v="1920-01-02T00:00:00"/>
    <x v="25"/>
    <x v="0"/>
    <n v="1"/>
    <x v="34"/>
    <x v="0"/>
    <n v="2"/>
    <x v="2"/>
    <x v="2"/>
  </r>
  <r>
    <d v="2019-11-11T00:00:00"/>
    <x v="0"/>
    <d v="1920-01-02T00:00:00"/>
    <x v="25"/>
    <x v="0"/>
    <n v="1"/>
    <x v="23"/>
    <x v="0"/>
    <n v="4"/>
    <x v="2"/>
    <x v="2"/>
  </r>
  <r>
    <d v="2019-11-11T00:00:00"/>
    <x v="0"/>
    <d v="1920-01-02T00:00:00"/>
    <x v="25"/>
    <x v="0"/>
    <n v="1"/>
    <x v="7"/>
    <x v="0"/>
    <n v="13"/>
    <x v="2"/>
    <x v="2"/>
  </r>
  <r>
    <d v="2019-11-11T00:00:00"/>
    <x v="0"/>
    <d v="1920-01-02T00:00:00"/>
    <x v="25"/>
    <x v="0"/>
    <n v="1"/>
    <x v="13"/>
    <x v="0"/>
    <n v="8"/>
    <x v="2"/>
    <x v="2"/>
  </r>
  <r>
    <d v="2019-11-11T00:00:00"/>
    <x v="0"/>
    <d v="1920-01-02T00:00:00"/>
    <x v="25"/>
    <x v="0"/>
    <n v="1"/>
    <x v="3"/>
    <x v="0"/>
    <n v="7"/>
    <x v="2"/>
    <x v="2"/>
  </r>
  <r>
    <d v="2019-11-11T00:00:00"/>
    <x v="0"/>
    <d v="1920-01-02T00:00:00"/>
    <x v="25"/>
    <x v="0"/>
    <n v="1"/>
    <x v="9"/>
    <x v="0"/>
    <n v="11"/>
    <x v="2"/>
    <x v="2"/>
  </r>
  <r>
    <d v="2019-11-11T00:00:00"/>
    <x v="0"/>
    <d v="1920-01-02T00:00:00"/>
    <x v="25"/>
    <x v="0"/>
    <n v="1"/>
    <x v="10"/>
    <x v="0"/>
    <n v="1"/>
    <x v="2"/>
    <x v="2"/>
  </r>
  <r>
    <d v="2019-11-11T00:00:00"/>
    <x v="0"/>
    <d v="1920-01-02T00:00:00"/>
    <x v="25"/>
    <x v="0"/>
    <n v="2"/>
    <x v="11"/>
    <x v="0"/>
    <n v="1"/>
    <x v="2"/>
    <x v="2"/>
  </r>
  <r>
    <d v="2019-11-11T00:00:00"/>
    <x v="0"/>
    <d v="1920-01-02T00:00:00"/>
    <x v="25"/>
    <x v="1"/>
    <n v="1"/>
    <x v="4"/>
    <x v="1"/>
    <n v="10"/>
    <x v="2"/>
    <x v="2"/>
  </r>
  <r>
    <d v="2019-11-11T00:00:00"/>
    <x v="0"/>
    <d v="1920-01-02T00:00:00"/>
    <x v="25"/>
    <x v="1"/>
    <n v="1"/>
    <x v="11"/>
    <x v="1"/>
    <n v="17"/>
    <x v="2"/>
    <x v="2"/>
  </r>
  <r>
    <d v="2019-11-11T00:00:00"/>
    <x v="0"/>
    <d v="1920-01-02T00:00:00"/>
    <x v="25"/>
    <x v="1"/>
    <n v="1"/>
    <x v="5"/>
    <x v="1"/>
    <n v="2"/>
    <x v="2"/>
    <x v="2"/>
  </r>
  <r>
    <d v="2019-11-11T00:00:00"/>
    <x v="0"/>
    <d v="1920-01-02T00:00:00"/>
    <x v="25"/>
    <x v="1"/>
    <n v="1"/>
    <x v="2"/>
    <x v="1"/>
    <n v="4"/>
    <x v="2"/>
    <x v="2"/>
  </r>
  <r>
    <d v="2019-11-11T00:00:00"/>
    <x v="0"/>
    <d v="1920-01-02T00:00:00"/>
    <x v="25"/>
    <x v="1"/>
    <n v="1"/>
    <x v="6"/>
    <x v="1"/>
    <n v="1"/>
    <x v="2"/>
    <x v="2"/>
  </r>
  <r>
    <d v="2019-11-11T00:00:00"/>
    <x v="0"/>
    <d v="1920-01-02T00:00:00"/>
    <x v="25"/>
    <x v="1"/>
    <n v="1"/>
    <x v="23"/>
    <x v="1"/>
    <n v="2"/>
    <x v="2"/>
    <x v="2"/>
  </r>
  <r>
    <d v="2019-11-11T00:00:00"/>
    <x v="0"/>
    <d v="1920-01-02T00:00:00"/>
    <x v="25"/>
    <x v="1"/>
    <n v="1"/>
    <x v="7"/>
    <x v="1"/>
    <n v="11"/>
    <x v="2"/>
    <x v="2"/>
  </r>
  <r>
    <d v="2019-11-11T00:00:00"/>
    <x v="0"/>
    <d v="1920-01-02T00:00:00"/>
    <x v="25"/>
    <x v="1"/>
    <n v="1"/>
    <x v="13"/>
    <x v="1"/>
    <n v="5"/>
    <x v="2"/>
    <x v="2"/>
  </r>
  <r>
    <d v="2019-11-11T00:00:00"/>
    <x v="0"/>
    <d v="1920-01-02T00:00:00"/>
    <x v="25"/>
    <x v="1"/>
    <n v="1"/>
    <x v="16"/>
    <x v="1"/>
    <n v="5"/>
    <x v="2"/>
    <x v="2"/>
  </r>
  <r>
    <d v="2019-11-11T00:00:00"/>
    <x v="0"/>
    <d v="1920-01-02T00:00:00"/>
    <x v="25"/>
    <x v="1"/>
    <n v="1"/>
    <x v="10"/>
    <x v="1"/>
    <n v="7"/>
    <x v="2"/>
    <x v="2"/>
  </r>
  <r>
    <d v="2019-11-11T00:00:00"/>
    <x v="0"/>
    <d v="1920-01-02T00:00:00"/>
    <x v="25"/>
    <x v="0"/>
    <n v="1"/>
    <x v="36"/>
    <x v="1"/>
    <n v="15"/>
    <x v="2"/>
    <x v="2"/>
  </r>
  <r>
    <d v="2019-11-11T00:00:00"/>
    <x v="0"/>
    <d v="1920-01-02T00:00:00"/>
    <x v="25"/>
    <x v="0"/>
    <n v="1"/>
    <x v="2"/>
    <x v="1"/>
    <n v="20"/>
    <x v="2"/>
    <x v="2"/>
  </r>
  <r>
    <d v="2019-11-11T00:00:00"/>
    <x v="0"/>
    <d v="1920-01-02T00:00:00"/>
    <x v="25"/>
    <x v="0"/>
    <n v="1"/>
    <x v="23"/>
    <x v="1"/>
    <n v="9"/>
    <x v="2"/>
    <x v="2"/>
  </r>
  <r>
    <d v="2019-11-11T00:00:00"/>
    <x v="0"/>
    <d v="1920-01-02T00:00:00"/>
    <x v="25"/>
    <x v="0"/>
    <n v="1"/>
    <x v="21"/>
    <x v="1"/>
    <n v="22"/>
    <x v="2"/>
    <x v="2"/>
  </r>
  <r>
    <d v="2019-11-11T00:00:00"/>
    <x v="0"/>
    <d v="1920-01-02T00:00:00"/>
    <x v="25"/>
    <x v="0"/>
    <n v="1"/>
    <x v="8"/>
    <x v="1"/>
    <n v="14"/>
    <x v="2"/>
    <x v="2"/>
  </r>
  <r>
    <d v="2019-11-11T00:00:00"/>
    <x v="0"/>
    <d v="1920-01-02T00:00:00"/>
    <x v="25"/>
    <x v="0"/>
    <n v="1"/>
    <x v="3"/>
    <x v="1"/>
    <n v="5"/>
    <x v="2"/>
    <x v="2"/>
  </r>
  <r>
    <d v="2019-11-11T00:00:00"/>
    <x v="0"/>
    <d v="1922-10-03T00:00:00"/>
    <x v="9"/>
    <x v="1"/>
    <n v="1"/>
    <x v="18"/>
    <x v="1"/>
    <n v="3"/>
    <x v="2"/>
    <x v="2"/>
  </r>
  <r>
    <d v="2019-11-11T00:00:00"/>
    <x v="0"/>
    <d v="1922-10-03T00:00:00"/>
    <x v="9"/>
    <x v="1"/>
    <n v="1"/>
    <x v="1"/>
    <x v="1"/>
    <n v="14"/>
    <x v="2"/>
    <x v="2"/>
  </r>
  <r>
    <d v="2019-11-11T00:00:00"/>
    <x v="0"/>
    <d v="1922-10-03T00:00:00"/>
    <x v="9"/>
    <x v="1"/>
    <n v="1"/>
    <x v="7"/>
    <x v="1"/>
    <n v="3"/>
    <x v="2"/>
    <x v="2"/>
  </r>
  <r>
    <d v="2019-11-11T00:00:00"/>
    <x v="0"/>
    <d v="1922-10-03T00:00:00"/>
    <x v="9"/>
    <x v="1"/>
    <n v="1"/>
    <x v="13"/>
    <x v="1"/>
    <n v="8"/>
    <x v="2"/>
    <x v="2"/>
  </r>
  <r>
    <d v="2019-11-11T00:00:00"/>
    <x v="0"/>
    <d v="1922-10-03T00:00:00"/>
    <x v="9"/>
    <x v="1"/>
    <n v="2"/>
    <x v="0"/>
    <x v="1"/>
    <n v="9"/>
    <x v="2"/>
    <x v="2"/>
  </r>
  <r>
    <d v="2019-11-11T00:00:00"/>
    <x v="0"/>
    <d v="1922-10-03T00:00:00"/>
    <x v="9"/>
    <x v="0"/>
    <n v="1"/>
    <x v="4"/>
    <x v="1"/>
    <n v="2"/>
    <x v="2"/>
    <x v="2"/>
  </r>
  <r>
    <d v="2019-11-11T00:00:00"/>
    <x v="0"/>
    <d v="1922-10-03T00:00:00"/>
    <x v="9"/>
    <x v="0"/>
    <n v="1"/>
    <x v="0"/>
    <x v="1"/>
    <n v="7"/>
    <x v="2"/>
    <x v="2"/>
  </r>
  <r>
    <d v="2019-11-11T00:00:00"/>
    <x v="0"/>
    <d v="1922-10-03T00:00:00"/>
    <x v="9"/>
    <x v="0"/>
    <n v="1"/>
    <x v="11"/>
    <x v="1"/>
    <n v="7"/>
    <x v="2"/>
    <x v="2"/>
  </r>
  <r>
    <d v="2019-11-11T00:00:00"/>
    <x v="0"/>
    <d v="1922-10-03T00:00:00"/>
    <x v="9"/>
    <x v="0"/>
    <n v="1"/>
    <x v="5"/>
    <x v="1"/>
    <n v="2"/>
    <x v="2"/>
    <x v="2"/>
  </r>
  <r>
    <d v="2019-11-11T00:00:00"/>
    <x v="0"/>
    <d v="1922-10-03T00:00:00"/>
    <x v="9"/>
    <x v="0"/>
    <n v="1"/>
    <x v="2"/>
    <x v="1"/>
    <n v="2"/>
    <x v="2"/>
    <x v="2"/>
  </r>
  <r>
    <d v="2019-11-11T00:00:00"/>
    <x v="0"/>
    <d v="1922-10-03T00:00:00"/>
    <x v="9"/>
    <x v="0"/>
    <n v="1"/>
    <x v="6"/>
    <x v="1"/>
    <n v="13"/>
    <x v="2"/>
    <x v="2"/>
  </r>
  <r>
    <d v="2019-11-11T00:00:00"/>
    <x v="0"/>
    <d v="1922-10-03T00:00:00"/>
    <x v="9"/>
    <x v="0"/>
    <n v="1"/>
    <x v="7"/>
    <x v="1"/>
    <n v="4"/>
    <x v="2"/>
    <x v="2"/>
  </r>
  <r>
    <d v="2019-11-11T00:00:00"/>
    <x v="0"/>
    <d v="1922-10-03T00:00:00"/>
    <x v="9"/>
    <x v="0"/>
    <n v="1"/>
    <x v="13"/>
    <x v="1"/>
    <n v="5"/>
    <x v="2"/>
    <x v="2"/>
  </r>
  <r>
    <d v="2019-11-11T00:00:00"/>
    <x v="0"/>
    <d v="1922-10-03T00:00:00"/>
    <x v="9"/>
    <x v="0"/>
    <n v="1"/>
    <x v="3"/>
    <x v="1"/>
    <n v="4"/>
    <x v="2"/>
    <x v="2"/>
  </r>
  <r>
    <d v="2019-11-11T00:00:00"/>
    <x v="0"/>
    <d v="1922-10-03T00:00:00"/>
    <x v="9"/>
    <x v="0"/>
    <n v="1"/>
    <x v="9"/>
    <x v="1"/>
    <n v="8"/>
    <x v="2"/>
    <x v="2"/>
  </r>
  <r>
    <d v="2019-11-11T00:00:00"/>
    <x v="0"/>
    <d v="1922-10-03T00:00:00"/>
    <x v="9"/>
    <x v="0"/>
    <n v="1"/>
    <x v="16"/>
    <x v="1"/>
    <n v="3"/>
    <x v="2"/>
    <x v="2"/>
  </r>
  <r>
    <d v="2019-11-11T00:00:00"/>
    <x v="0"/>
    <d v="1922-10-05T00:00:00"/>
    <x v="8"/>
    <x v="1"/>
    <n v="1"/>
    <x v="4"/>
    <x v="0"/>
    <n v="19"/>
    <x v="2"/>
    <x v="2"/>
  </r>
  <r>
    <d v="2019-11-11T00:00:00"/>
    <x v="0"/>
    <d v="1922-10-05T00:00:00"/>
    <x v="8"/>
    <x v="1"/>
    <n v="1"/>
    <x v="11"/>
    <x v="0"/>
    <n v="1"/>
    <x v="2"/>
    <x v="2"/>
  </r>
  <r>
    <d v="2019-11-11T00:00:00"/>
    <x v="0"/>
    <d v="1922-10-05T00:00:00"/>
    <x v="8"/>
    <x v="1"/>
    <n v="1"/>
    <x v="1"/>
    <x v="0"/>
    <n v="2"/>
    <x v="2"/>
    <x v="2"/>
  </r>
  <r>
    <d v="2019-11-11T00:00:00"/>
    <x v="0"/>
    <d v="1922-10-05T00:00:00"/>
    <x v="8"/>
    <x v="1"/>
    <n v="1"/>
    <x v="6"/>
    <x v="0"/>
    <n v="6"/>
    <x v="2"/>
    <x v="2"/>
  </r>
  <r>
    <d v="2019-11-11T00:00:00"/>
    <x v="0"/>
    <d v="1922-10-05T00:00:00"/>
    <x v="8"/>
    <x v="1"/>
    <n v="1"/>
    <x v="26"/>
    <x v="0"/>
    <n v="3"/>
    <x v="2"/>
    <x v="2"/>
  </r>
  <r>
    <d v="2019-11-11T00:00:00"/>
    <x v="0"/>
    <d v="1922-10-05T00:00:00"/>
    <x v="8"/>
    <x v="1"/>
    <n v="1"/>
    <x v="7"/>
    <x v="0"/>
    <n v="11"/>
    <x v="2"/>
    <x v="2"/>
  </r>
  <r>
    <d v="2019-11-11T00:00:00"/>
    <x v="0"/>
    <d v="1922-10-05T00:00:00"/>
    <x v="8"/>
    <x v="1"/>
    <n v="1"/>
    <x v="9"/>
    <x v="0"/>
    <n v="1"/>
    <x v="2"/>
    <x v="2"/>
  </r>
  <r>
    <d v="2019-11-11T00:00:00"/>
    <x v="0"/>
    <d v="1922-10-05T00:00:00"/>
    <x v="8"/>
    <x v="1"/>
    <n v="2"/>
    <x v="6"/>
    <x v="0"/>
    <n v="5"/>
    <x v="2"/>
    <x v="2"/>
  </r>
  <r>
    <d v="2019-11-11T00:00:00"/>
    <x v="0"/>
    <d v="1922-10-05T00:00:00"/>
    <x v="8"/>
    <x v="0"/>
    <n v="1"/>
    <x v="0"/>
    <x v="0"/>
    <n v="10"/>
    <x v="2"/>
    <x v="2"/>
  </r>
  <r>
    <d v="2019-11-11T00:00:00"/>
    <x v="0"/>
    <d v="1922-10-05T00:00:00"/>
    <x v="8"/>
    <x v="0"/>
    <n v="1"/>
    <x v="12"/>
    <x v="0"/>
    <n v="5"/>
    <x v="2"/>
    <x v="2"/>
  </r>
  <r>
    <d v="2019-11-11T00:00:00"/>
    <x v="0"/>
    <d v="1922-10-05T00:00:00"/>
    <x v="8"/>
    <x v="0"/>
    <n v="1"/>
    <x v="20"/>
    <x v="0"/>
    <n v="13"/>
    <x v="2"/>
    <x v="2"/>
  </r>
  <r>
    <d v="2019-11-11T00:00:00"/>
    <x v="0"/>
    <d v="1922-10-05T00:00:00"/>
    <x v="8"/>
    <x v="0"/>
    <n v="1"/>
    <x v="2"/>
    <x v="0"/>
    <n v="36"/>
    <x v="2"/>
    <x v="2"/>
  </r>
  <r>
    <d v="2019-11-11T00:00:00"/>
    <x v="0"/>
    <d v="1922-10-05T00:00:00"/>
    <x v="8"/>
    <x v="0"/>
    <n v="1"/>
    <x v="26"/>
    <x v="0"/>
    <n v="24"/>
    <x v="2"/>
    <x v="2"/>
  </r>
  <r>
    <d v="2019-11-11T00:00:00"/>
    <x v="0"/>
    <d v="1922-10-05T00:00:00"/>
    <x v="8"/>
    <x v="0"/>
    <n v="1"/>
    <x v="7"/>
    <x v="0"/>
    <n v="12"/>
    <x v="2"/>
    <x v="2"/>
  </r>
  <r>
    <d v="2019-11-11T00:00:00"/>
    <x v="0"/>
    <d v="1922-10-05T00:00:00"/>
    <x v="8"/>
    <x v="0"/>
    <n v="1"/>
    <x v="13"/>
    <x v="0"/>
    <n v="19"/>
    <x v="2"/>
    <x v="2"/>
  </r>
  <r>
    <d v="2019-11-11T00:00:00"/>
    <x v="0"/>
    <d v="1922-10-05T00:00:00"/>
    <x v="8"/>
    <x v="0"/>
    <n v="1"/>
    <x v="3"/>
    <x v="0"/>
    <n v="9"/>
    <x v="2"/>
    <x v="2"/>
  </r>
  <r>
    <d v="2019-11-11T00:00:00"/>
    <x v="0"/>
    <d v="1922-10-05T00:00:00"/>
    <x v="8"/>
    <x v="0"/>
    <n v="2"/>
    <x v="0"/>
    <x v="0"/>
    <n v="8"/>
    <x v="2"/>
    <x v="2"/>
  </r>
  <r>
    <d v="2019-11-11T00:00:00"/>
    <x v="0"/>
    <d v="1922-10-05T00:00:00"/>
    <x v="8"/>
    <x v="0"/>
    <n v="2"/>
    <x v="3"/>
    <x v="0"/>
    <n v="2"/>
    <x v="2"/>
    <x v="2"/>
  </r>
  <r>
    <d v="2019-11-11T00:00:00"/>
    <x v="0"/>
    <d v="1922-10-05T00:00:00"/>
    <x v="8"/>
    <x v="1"/>
    <n v="1"/>
    <x v="20"/>
    <x v="1"/>
    <n v="32"/>
    <x v="2"/>
    <x v="2"/>
  </r>
  <r>
    <d v="2019-11-11T00:00:00"/>
    <x v="0"/>
    <d v="1922-10-05T00:00:00"/>
    <x v="8"/>
    <x v="1"/>
    <n v="1"/>
    <x v="2"/>
    <x v="1"/>
    <n v="6"/>
    <x v="2"/>
    <x v="2"/>
  </r>
  <r>
    <d v="2019-11-11T00:00:00"/>
    <x v="0"/>
    <d v="1922-10-05T00:00:00"/>
    <x v="8"/>
    <x v="1"/>
    <n v="1"/>
    <x v="3"/>
    <x v="1"/>
    <n v="2"/>
    <x v="2"/>
    <x v="2"/>
  </r>
  <r>
    <d v="2019-11-11T00:00:00"/>
    <x v="0"/>
    <d v="1922-10-05T00:00:00"/>
    <x v="8"/>
    <x v="1"/>
    <n v="2"/>
    <x v="20"/>
    <x v="1"/>
    <n v="7"/>
    <x v="2"/>
    <x v="2"/>
  </r>
  <r>
    <d v="2019-11-11T00:00:00"/>
    <x v="0"/>
    <d v="1922-10-05T00:00:00"/>
    <x v="8"/>
    <x v="1"/>
    <n v="2"/>
    <x v="1"/>
    <x v="1"/>
    <n v="1"/>
    <x v="2"/>
    <x v="2"/>
  </r>
  <r>
    <d v="2019-11-11T00:00:00"/>
    <x v="0"/>
    <d v="1922-10-05T00:00:00"/>
    <x v="8"/>
    <x v="0"/>
    <n v="1"/>
    <x v="4"/>
    <x v="1"/>
    <n v="27"/>
    <x v="2"/>
    <x v="2"/>
  </r>
  <r>
    <d v="2019-11-11T00:00:00"/>
    <x v="0"/>
    <d v="1922-10-05T00:00:00"/>
    <x v="8"/>
    <x v="0"/>
    <n v="1"/>
    <x v="0"/>
    <x v="1"/>
    <n v="1"/>
    <x v="2"/>
    <x v="2"/>
  </r>
  <r>
    <d v="2019-11-11T00:00:00"/>
    <x v="0"/>
    <d v="1922-10-05T00:00:00"/>
    <x v="8"/>
    <x v="0"/>
    <n v="1"/>
    <x v="11"/>
    <x v="1"/>
    <n v="7"/>
    <x v="2"/>
    <x v="2"/>
  </r>
  <r>
    <d v="2019-11-11T00:00:00"/>
    <x v="0"/>
    <d v="1922-10-05T00:00:00"/>
    <x v="8"/>
    <x v="0"/>
    <n v="1"/>
    <x v="12"/>
    <x v="1"/>
    <n v="9"/>
    <x v="2"/>
    <x v="2"/>
  </r>
  <r>
    <d v="2019-11-11T00:00:00"/>
    <x v="0"/>
    <d v="1922-10-05T00:00:00"/>
    <x v="8"/>
    <x v="0"/>
    <n v="1"/>
    <x v="6"/>
    <x v="1"/>
    <n v="9"/>
    <x v="2"/>
    <x v="2"/>
  </r>
  <r>
    <d v="2019-11-11T00:00:00"/>
    <x v="0"/>
    <d v="1922-10-05T00:00:00"/>
    <x v="8"/>
    <x v="0"/>
    <n v="1"/>
    <x v="26"/>
    <x v="1"/>
    <n v="6"/>
    <x v="2"/>
    <x v="2"/>
  </r>
  <r>
    <d v="2019-11-11T00:00:00"/>
    <x v="0"/>
    <d v="1922-10-05T00:00:00"/>
    <x v="8"/>
    <x v="0"/>
    <n v="1"/>
    <x v="7"/>
    <x v="1"/>
    <n v="21"/>
    <x v="2"/>
    <x v="2"/>
  </r>
  <r>
    <d v="2019-11-11T00:00:00"/>
    <x v="0"/>
    <d v="1922-10-05T00:00:00"/>
    <x v="8"/>
    <x v="0"/>
    <n v="1"/>
    <x v="13"/>
    <x v="1"/>
    <n v="2"/>
    <x v="2"/>
    <x v="2"/>
  </r>
  <r>
    <d v="2019-11-11T00:00:00"/>
    <x v="0"/>
    <d v="1922-10-05T00:00:00"/>
    <x v="8"/>
    <x v="0"/>
    <n v="1"/>
    <x v="3"/>
    <x v="1"/>
    <n v="4"/>
    <x v="2"/>
    <x v="2"/>
  </r>
  <r>
    <d v="2019-11-11T00:00:00"/>
    <x v="0"/>
    <d v="1922-10-05T00:00:00"/>
    <x v="8"/>
    <x v="0"/>
    <n v="1"/>
    <x v="9"/>
    <x v="1"/>
    <n v="8"/>
    <x v="2"/>
    <x v="2"/>
  </r>
  <r>
    <d v="2019-11-11T00:00:00"/>
    <x v="0"/>
    <d v="1922-10-05T00:00:00"/>
    <x v="8"/>
    <x v="0"/>
    <n v="2"/>
    <x v="0"/>
    <x v="1"/>
    <n v="7"/>
    <x v="2"/>
    <x v="2"/>
  </r>
  <r>
    <d v="2019-11-11T00:00:00"/>
    <x v="0"/>
    <d v="1922-10-05T00:00:00"/>
    <x v="8"/>
    <x v="0"/>
    <n v="2"/>
    <x v="11"/>
    <x v="1"/>
    <n v="19"/>
    <x v="2"/>
    <x v="2"/>
  </r>
  <r>
    <d v="2019-11-11T00:00:00"/>
    <x v="0"/>
    <d v="1922-10-05T00:00:00"/>
    <x v="8"/>
    <x v="0"/>
    <n v="2"/>
    <x v="5"/>
    <x v="1"/>
    <n v="7"/>
    <x v="2"/>
    <x v="2"/>
  </r>
  <r>
    <d v="2019-11-11T00:00:00"/>
    <x v="0"/>
    <d v="1922-10-05T00:00:00"/>
    <x v="8"/>
    <x v="0"/>
    <n v="2"/>
    <x v="13"/>
    <x v="1"/>
    <n v="3"/>
    <x v="2"/>
    <x v="2"/>
  </r>
  <r>
    <d v="2019-11-11T00:00:00"/>
    <x v="0"/>
    <d v="1922-10-05T00:00:00"/>
    <x v="8"/>
    <x v="0"/>
    <n v="2"/>
    <x v="3"/>
    <x v="1"/>
    <n v="8"/>
    <x v="2"/>
    <x v="2"/>
  </r>
  <r>
    <d v="2019-11-11T00:00:00"/>
    <x v="0"/>
    <d v="1925-06-28T00:00:00"/>
    <x v="11"/>
    <x v="1"/>
    <n v="1"/>
    <x v="11"/>
    <x v="0"/>
    <n v="10"/>
    <x v="2"/>
    <x v="2"/>
  </r>
  <r>
    <d v="2019-11-11T00:00:00"/>
    <x v="0"/>
    <d v="1925-06-28T00:00:00"/>
    <x v="11"/>
    <x v="1"/>
    <n v="1"/>
    <x v="5"/>
    <x v="0"/>
    <n v="3"/>
    <x v="2"/>
    <x v="2"/>
  </r>
  <r>
    <d v="2019-11-11T00:00:00"/>
    <x v="0"/>
    <d v="1925-06-28T00:00:00"/>
    <x v="11"/>
    <x v="1"/>
    <n v="1"/>
    <x v="13"/>
    <x v="0"/>
    <n v="9"/>
    <x v="2"/>
    <x v="2"/>
  </r>
  <r>
    <d v="2019-11-11T00:00:00"/>
    <x v="0"/>
    <d v="1925-06-28T00:00:00"/>
    <x v="11"/>
    <x v="1"/>
    <n v="1"/>
    <x v="3"/>
    <x v="0"/>
    <n v="1"/>
    <x v="2"/>
    <x v="2"/>
  </r>
  <r>
    <d v="2019-11-11T00:00:00"/>
    <x v="0"/>
    <d v="1925-06-28T00:00:00"/>
    <x v="11"/>
    <x v="1"/>
    <n v="1"/>
    <x v="9"/>
    <x v="0"/>
    <n v="2"/>
    <x v="2"/>
    <x v="2"/>
  </r>
  <r>
    <d v="2019-11-11T00:00:00"/>
    <x v="0"/>
    <d v="1925-06-28T00:00:00"/>
    <x v="11"/>
    <x v="0"/>
    <n v="1"/>
    <x v="5"/>
    <x v="0"/>
    <n v="6"/>
    <x v="2"/>
    <x v="2"/>
  </r>
  <r>
    <d v="2019-11-11T00:00:00"/>
    <x v="0"/>
    <d v="1925-06-28T00:00:00"/>
    <x v="11"/>
    <x v="0"/>
    <n v="1"/>
    <x v="24"/>
    <x v="0"/>
    <n v="3"/>
    <x v="2"/>
    <x v="2"/>
  </r>
  <r>
    <d v="2019-11-11T00:00:00"/>
    <x v="0"/>
    <d v="1925-06-28T00:00:00"/>
    <x v="11"/>
    <x v="0"/>
    <n v="1"/>
    <x v="21"/>
    <x v="0"/>
    <n v="43"/>
    <x v="2"/>
    <x v="2"/>
  </r>
  <r>
    <d v="2019-11-11T00:00:00"/>
    <x v="0"/>
    <d v="1925-06-28T00:00:00"/>
    <x v="11"/>
    <x v="0"/>
    <n v="2"/>
    <x v="18"/>
    <x v="0"/>
    <n v="3"/>
    <x v="2"/>
    <x v="2"/>
  </r>
  <r>
    <d v="2019-11-11T00:00:00"/>
    <x v="0"/>
    <d v="1925-06-28T00:00:00"/>
    <x v="11"/>
    <x v="0"/>
    <n v="2"/>
    <x v="3"/>
    <x v="0"/>
    <n v="6"/>
    <x v="2"/>
    <x v="2"/>
  </r>
  <r>
    <d v="2019-11-11T00:00:00"/>
    <x v="0"/>
    <d v="1925-06-28T00:00:00"/>
    <x v="11"/>
    <x v="1"/>
    <n v="1"/>
    <x v="12"/>
    <x v="1"/>
    <n v="21"/>
    <x v="2"/>
    <x v="2"/>
  </r>
  <r>
    <d v="2019-11-11T00:00:00"/>
    <x v="0"/>
    <d v="1925-06-28T00:00:00"/>
    <x v="11"/>
    <x v="1"/>
    <n v="1"/>
    <x v="2"/>
    <x v="1"/>
    <n v="2"/>
    <x v="2"/>
    <x v="2"/>
  </r>
  <r>
    <d v="2019-11-11T00:00:00"/>
    <x v="0"/>
    <d v="1925-06-28T00:00:00"/>
    <x v="11"/>
    <x v="1"/>
    <n v="1"/>
    <x v="7"/>
    <x v="1"/>
    <n v="2"/>
    <x v="2"/>
    <x v="2"/>
  </r>
  <r>
    <d v="2019-11-11T00:00:00"/>
    <x v="0"/>
    <d v="1925-06-28T00:00:00"/>
    <x v="11"/>
    <x v="0"/>
    <n v="1"/>
    <x v="0"/>
    <x v="1"/>
    <n v="9"/>
    <x v="2"/>
    <x v="2"/>
  </r>
  <r>
    <d v="2019-11-11T00:00:00"/>
    <x v="0"/>
    <d v="1925-06-28T00:00:00"/>
    <x v="11"/>
    <x v="0"/>
    <n v="1"/>
    <x v="5"/>
    <x v="1"/>
    <n v="19"/>
    <x v="2"/>
    <x v="2"/>
  </r>
  <r>
    <d v="2019-11-11T00:00:00"/>
    <x v="0"/>
    <d v="1925-06-28T00:00:00"/>
    <x v="11"/>
    <x v="0"/>
    <n v="1"/>
    <x v="2"/>
    <x v="1"/>
    <n v="1"/>
    <x v="2"/>
    <x v="2"/>
  </r>
  <r>
    <d v="2019-11-11T00:00:00"/>
    <x v="0"/>
    <d v="1925-06-28T00:00:00"/>
    <x v="11"/>
    <x v="0"/>
    <n v="1"/>
    <x v="6"/>
    <x v="1"/>
    <n v="5"/>
    <x v="2"/>
    <x v="2"/>
  </r>
  <r>
    <d v="2019-11-11T00:00:00"/>
    <x v="0"/>
    <d v="1925-06-28T00:00:00"/>
    <x v="11"/>
    <x v="0"/>
    <n v="1"/>
    <x v="7"/>
    <x v="1"/>
    <n v="6"/>
    <x v="2"/>
    <x v="2"/>
  </r>
  <r>
    <d v="2019-11-11T00:00:00"/>
    <x v="0"/>
    <d v="1925-06-28T00:00:00"/>
    <x v="11"/>
    <x v="0"/>
    <n v="1"/>
    <x v="13"/>
    <x v="1"/>
    <n v="2"/>
    <x v="2"/>
    <x v="2"/>
  </r>
  <r>
    <d v="2019-11-11T00:00:00"/>
    <x v="0"/>
    <d v="1925-06-28T00:00:00"/>
    <x v="11"/>
    <x v="0"/>
    <n v="1"/>
    <x v="3"/>
    <x v="1"/>
    <n v="6"/>
    <x v="2"/>
    <x v="2"/>
  </r>
  <r>
    <d v="2019-11-11T00:00:00"/>
    <x v="0"/>
    <d v="1925-06-28T00:00:00"/>
    <x v="11"/>
    <x v="0"/>
    <n v="1"/>
    <x v="9"/>
    <x v="1"/>
    <n v="1"/>
    <x v="2"/>
    <x v="2"/>
  </r>
  <r>
    <d v="2019-11-11T00:00:00"/>
    <x v="0"/>
    <d v="1925-06-28T00:00:00"/>
    <x v="11"/>
    <x v="0"/>
    <n v="1"/>
    <x v="10"/>
    <x v="1"/>
    <n v="2"/>
    <x v="2"/>
    <x v="2"/>
  </r>
  <r>
    <d v="2019-11-11T00:00:00"/>
    <x v="0"/>
    <d v="1925-06-28T00:00:00"/>
    <x v="11"/>
    <x v="0"/>
    <n v="2"/>
    <x v="4"/>
    <x v="1"/>
    <n v="2"/>
    <x v="2"/>
    <x v="2"/>
  </r>
  <r>
    <d v="2019-11-11T00:00:00"/>
    <x v="0"/>
    <d v="1925-06-28T00:00:00"/>
    <x v="11"/>
    <x v="0"/>
    <n v="2"/>
    <x v="0"/>
    <x v="1"/>
    <n v="2"/>
    <x v="2"/>
    <x v="2"/>
  </r>
  <r>
    <d v="2019-11-11T00:00:00"/>
    <x v="0"/>
    <d v="1925-06-28T00:00:00"/>
    <x v="11"/>
    <x v="0"/>
    <n v="2"/>
    <x v="7"/>
    <x v="1"/>
    <n v="3"/>
    <x v="2"/>
    <x v="2"/>
  </r>
  <r>
    <d v="2019-11-11T00:00:00"/>
    <x v="0"/>
    <d v="1925-06-28T00:00:00"/>
    <x v="11"/>
    <x v="0"/>
    <n v="2"/>
    <x v="13"/>
    <x v="1"/>
    <n v="1"/>
    <x v="2"/>
    <x v="2"/>
  </r>
  <r>
    <d v="2019-11-11T00:00:00"/>
    <x v="0"/>
    <d v="1925-06-28T00:00:00"/>
    <x v="11"/>
    <x v="0"/>
    <n v="2"/>
    <x v="3"/>
    <x v="1"/>
    <n v="1"/>
    <x v="2"/>
    <x v="2"/>
  </r>
  <r>
    <d v="2019-11-11T00:00:00"/>
    <x v="0"/>
    <d v="1925-06-28T00:00:00"/>
    <x v="11"/>
    <x v="0"/>
    <n v="2"/>
    <x v="9"/>
    <x v="1"/>
    <n v="1"/>
    <x v="2"/>
    <x v="2"/>
  </r>
  <r>
    <d v="2019-11-11T00:00:00"/>
    <x v="0"/>
    <d v="1925-06-30T00:00:00"/>
    <x v="12"/>
    <x v="0"/>
    <n v="1"/>
    <x v="4"/>
    <x v="1"/>
    <n v="4"/>
    <x v="2"/>
    <x v="2"/>
  </r>
  <r>
    <d v="2019-11-11T00:00:00"/>
    <x v="0"/>
    <d v="1925-06-30T00:00:00"/>
    <x v="12"/>
    <x v="0"/>
    <n v="1"/>
    <x v="0"/>
    <x v="1"/>
    <n v="3"/>
    <x v="2"/>
    <x v="2"/>
  </r>
  <r>
    <d v="2019-11-11T00:00:00"/>
    <x v="0"/>
    <d v="1925-06-30T00:00:00"/>
    <x v="12"/>
    <x v="0"/>
    <n v="1"/>
    <x v="11"/>
    <x v="1"/>
    <n v="2"/>
    <x v="2"/>
    <x v="2"/>
  </r>
  <r>
    <d v="2019-11-11T00:00:00"/>
    <x v="0"/>
    <d v="1925-06-30T00:00:00"/>
    <x v="12"/>
    <x v="0"/>
    <n v="1"/>
    <x v="5"/>
    <x v="1"/>
    <n v="4"/>
    <x v="2"/>
    <x v="2"/>
  </r>
  <r>
    <d v="2019-11-11T00:00:00"/>
    <x v="0"/>
    <d v="1925-06-30T00:00:00"/>
    <x v="12"/>
    <x v="0"/>
    <n v="1"/>
    <x v="6"/>
    <x v="1"/>
    <n v="12"/>
    <x v="2"/>
    <x v="2"/>
  </r>
  <r>
    <d v="2019-11-11T00:00:00"/>
    <x v="0"/>
    <d v="1925-06-30T00:00:00"/>
    <x v="12"/>
    <x v="0"/>
    <n v="1"/>
    <x v="7"/>
    <x v="1"/>
    <n v="3"/>
    <x v="2"/>
    <x v="2"/>
  </r>
  <r>
    <d v="2019-11-11T00:00:00"/>
    <x v="0"/>
    <d v="1925-06-30T00:00:00"/>
    <x v="12"/>
    <x v="0"/>
    <n v="1"/>
    <x v="3"/>
    <x v="1"/>
    <n v="20"/>
    <x v="2"/>
    <x v="2"/>
  </r>
  <r>
    <d v="2019-11-11T00:00:00"/>
    <x v="0"/>
    <d v="1925-06-30T00:00:00"/>
    <x v="12"/>
    <x v="0"/>
    <n v="1"/>
    <x v="9"/>
    <x v="1"/>
    <n v="4"/>
    <x v="2"/>
    <x v="2"/>
  </r>
  <r>
    <d v="2019-11-11T00:00:00"/>
    <x v="0"/>
    <d v="1925-06-30T00:00:00"/>
    <x v="12"/>
    <x v="0"/>
    <n v="1"/>
    <x v="10"/>
    <x v="1"/>
    <n v="10"/>
    <x v="2"/>
    <x v="2"/>
  </r>
  <r>
    <d v="2019-11-11T00:00:00"/>
    <x v="0"/>
    <d v="1925-07-05T00:00:00"/>
    <x v="10"/>
    <x v="1"/>
    <n v="1"/>
    <x v="4"/>
    <x v="0"/>
    <n v="2"/>
    <x v="2"/>
    <x v="2"/>
  </r>
  <r>
    <d v="2019-11-11T00:00:00"/>
    <x v="0"/>
    <d v="1925-07-05T00:00:00"/>
    <x v="10"/>
    <x v="1"/>
    <n v="1"/>
    <x v="23"/>
    <x v="0"/>
    <n v="2"/>
    <x v="2"/>
    <x v="2"/>
  </r>
  <r>
    <d v="2019-11-11T00:00:00"/>
    <x v="0"/>
    <d v="1925-07-05T00:00:00"/>
    <x v="10"/>
    <x v="1"/>
    <n v="1"/>
    <x v="7"/>
    <x v="0"/>
    <n v="3"/>
    <x v="2"/>
    <x v="2"/>
  </r>
  <r>
    <d v="2019-11-11T00:00:00"/>
    <x v="0"/>
    <d v="1925-07-05T00:00:00"/>
    <x v="10"/>
    <x v="1"/>
    <n v="1"/>
    <x v="13"/>
    <x v="0"/>
    <n v="3"/>
    <x v="2"/>
    <x v="2"/>
  </r>
  <r>
    <d v="2019-11-11T00:00:00"/>
    <x v="0"/>
    <d v="1925-07-05T00:00:00"/>
    <x v="10"/>
    <x v="1"/>
    <n v="1"/>
    <x v="3"/>
    <x v="0"/>
    <n v="2"/>
    <x v="2"/>
    <x v="2"/>
  </r>
  <r>
    <d v="2019-11-11T00:00:00"/>
    <x v="0"/>
    <d v="1925-07-05T00:00:00"/>
    <x v="10"/>
    <x v="1"/>
    <n v="1"/>
    <x v="9"/>
    <x v="0"/>
    <n v="6"/>
    <x v="2"/>
    <x v="2"/>
  </r>
  <r>
    <d v="2019-11-11T00:00:00"/>
    <x v="0"/>
    <d v="1925-07-05T00:00:00"/>
    <x v="10"/>
    <x v="0"/>
    <n v="1"/>
    <x v="8"/>
    <x v="0"/>
    <n v="9"/>
    <x v="2"/>
    <x v="2"/>
  </r>
  <r>
    <d v="2019-11-11T00:00:00"/>
    <x v="0"/>
    <d v="1925-07-05T00:00:00"/>
    <x v="10"/>
    <x v="1"/>
    <n v="1"/>
    <x v="11"/>
    <x v="1"/>
    <n v="2"/>
    <x v="2"/>
    <x v="2"/>
  </r>
  <r>
    <d v="2019-11-11T00:00:00"/>
    <x v="0"/>
    <d v="1925-07-05T00:00:00"/>
    <x v="10"/>
    <x v="1"/>
    <n v="1"/>
    <x v="15"/>
    <x v="1"/>
    <n v="9"/>
    <x v="2"/>
    <x v="2"/>
  </r>
  <r>
    <d v="2019-11-11T00:00:00"/>
    <x v="0"/>
    <d v="1925-07-05T00:00:00"/>
    <x v="10"/>
    <x v="1"/>
    <n v="1"/>
    <x v="23"/>
    <x v="1"/>
    <n v="2"/>
    <x v="2"/>
    <x v="2"/>
  </r>
  <r>
    <d v="2019-11-11T00:00:00"/>
    <x v="0"/>
    <d v="1925-07-05T00:00:00"/>
    <x v="10"/>
    <x v="1"/>
    <n v="1"/>
    <x v="3"/>
    <x v="1"/>
    <n v="4"/>
    <x v="2"/>
    <x v="2"/>
  </r>
  <r>
    <d v="2019-11-11T00:00:00"/>
    <x v="0"/>
    <d v="1925-07-05T00:00:00"/>
    <x v="10"/>
    <x v="1"/>
    <n v="1"/>
    <x v="19"/>
    <x v="1"/>
    <n v="2"/>
    <x v="2"/>
    <x v="2"/>
  </r>
  <r>
    <d v="2019-11-11T00:00:00"/>
    <x v="0"/>
    <d v="1925-07-05T00:00:00"/>
    <x v="10"/>
    <x v="0"/>
    <n v="1"/>
    <x v="4"/>
    <x v="1"/>
    <n v="3"/>
    <x v="2"/>
    <x v="2"/>
  </r>
  <r>
    <d v="2019-11-11T00:00:00"/>
    <x v="0"/>
    <d v="1925-07-05T00:00:00"/>
    <x v="10"/>
    <x v="0"/>
    <n v="1"/>
    <x v="0"/>
    <x v="1"/>
    <n v="1"/>
    <x v="2"/>
    <x v="2"/>
  </r>
  <r>
    <d v="2019-11-11T00:00:00"/>
    <x v="0"/>
    <d v="1925-07-05T00:00:00"/>
    <x v="10"/>
    <x v="0"/>
    <n v="1"/>
    <x v="1"/>
    <x v="1"/>
    <n v="3"/>
    <x v="2"/>
    <x v="2"/>
  </r>
  <r>
    <d v="2019-11-11T00:00:00"/>
    <x v="0"/>
    <d v="1925-07-05T00:00:00"/>
    <x v="10"/>
    <x v="0"/>
    <n v="1"/>
    <x v="6"/>
    <x v="1"/>
    <n v="1"/>
    <x v="2"/>
    <x v="2"/>
  </r>
  <r>
    <d v="2019-11-11T00:00:00"/>
    <x v="0"/>
    <d v="1925-07-05T00:00:00"/>
    <x v="10"/>
    <x v="0"/>
    <n v="1"/>
    <x v="13"/>
    <x v="1"/>
    <n v="1"/>
    <x v="2"/>
    <x v="2"/>
  </r>
  <r>
    <d v="2019-11-11T00:00:00"/>
    <x v="0"/>
    <d v="1912-04-29T00:00:00"/>
    <x v="6"/>
    <x v="0"/>
    <n v="1"/>
    <x v="11"/>
    <x v="0"/>
    <n v="6"/>
    <x v="2"/>
    <x v="2"/>
  </r>
  <r>
    <d v="2019-11-11T00:00:00"/>
    <x v="0"/>
    <d v="1912-04-29T00:00:00"/>
    <x v="6"/>
    <x v="0"/>
    <n v="1"/>
    <x v="13"/>
    <x v="0"/>
    <n v="16"/>
    <x v="2"/>
    <x v="2"/>
  </r>
  <r>
    <d v="2019-11-11T00:00:00"/>
    <x v="0"/>
    <d v="1912-04-29T00:00:00"/>
    <x v="6"/>
    <x v="0"/>
    <n v="1"/>
    <x v="3"/>
    <x v="0"/>
    <n v="11"/>
    <x v="2"/>
    <x v="2"/>
  </r>
  <r>
    <d v="2019-11-11T00:00:00"/>
    <x v="0"/>
    <d v="1912-04-29T00:00:00"/>
    <x v="6"/>
    <x v="0"/>
    <n v="1"/>
    <x v="17"/>
    <x v="0"/>
    <n v="19"/>
    <x v="2"/>
    <x v="2"/>
  </r>
  <r>
    <d v="2019-11-11T00:00:00"/>
    <x v="0"/>
    <d v="1912-04-29T00:00:00"/>
    <x v="6"/>
    <x v="0"/>
    <n v="1"/>
    <x v="14"/>
    <x v="0"/>
    <n v="29"/>
    <x v="2"/>
    <x v="2"/>
  </r>
  <r>
    <d v="2019-11-11T00:00:00"/>
    <x v="0"/>
    <d v="1925-06-30T00:00:00"/>
    <x v="12"/>
    <x v="1"/>
    <n v="1"/>
    <x v="27"/>
    <x v="0"/>
    <n v="1"/>
    <x v="2"/>
    <x v="2"/>
  </r>
  <r>
    <d v="2019-11-11T00:00:00"/>
    <x v="0"/>
    <d v="1925-06-30T00:00:00"/>
    <x v="12"/>
    <x v="1"/>
    <n v="1"/>
    <x v="11"/>
    <x v="0"/>
    <n v="1"/>
    <x v="2"/>
    <x v="2"/>
  </r>
  <r>
    <d v="2019-11-11T00:00:00"/>
    <x v="0"/>
    <d v="1925-06-30T00:00:00"/>
    <x v="12"/>
    <x v="1"/>
    <n v="1"/>
    <x v="33"/>
    <x v="0"/>
    <n v="2"/>
    <x v="2"/>
    <x v="2"/>
  </r>
  <r>
    <d v="2019-11-11T00:00:00"/>
    <x v="0"/>
    <d v="1925-06-30T00:00:00"/>
    <x v="12"/>
    <x v="1"/>
    <n v="1"/>
    <x v="28"/>
    <x v="0"/>
    <n v="8"/>
    <x v="2"/>
    <x v="2"/>
  </r>
  <r>
    <d v="2019-11-11T00:00:00"/>
    <x v="0"/>
    <d v="1925-06-30T00:00:00"/>
    <x v="12"/>
    <x v="1"/>
    <n v="1"/>
    <x v="5"/>
    <x v="0"/>
    <n v="1"/>
    <x v="2"/>
    <x v="2"/>
  </r>
  <r>
    <d v="2019-11-11T00:00:00"/>
    <x v="0"/>
    <d v="1925-06-30T00:00:00"/>
    <x v="12"/>
    <x v="1"/>
    <n v="1"/>
    <x v="29"/>
    <x v="0"/>
    <n v="4"/>
    <x v="2"/>
    <x v="2"/>
  </r>
  <r>
    <d v="2019-11-11T00:00:00"/>
    <x v="0"/>
    <d v="1925-06-30T00:00:00"/>
    <x v="12"/>
    <x v="1"/>
    <n v="1"/>
    <x v="13"/>
    <x v="0"/>
    <n v="1"/>
    <x v="2"/>
    <x v="2"/>
  </r>
  <r>
    <d v="2019-11-11T00:00:00"/>
    <x v="0"/>
    <d v="1925-06-30T00:00:00"/>
    <x v="12"/>
    <x v="1"/>
    <n v="1"/>
    <x v="3"/>
    <x v="0"/>
    <n v="1"/>
    <x v="2"/>
    <x v="2"/>
  </r>
  <r>
    <d v="2019-11-11T00:00:00"/>
    <x v="0"/>
    <d v="1925-06-30T00:00:00"/>
    <x v="12"/>
    <x v="1"/>
    <n v="1"/>
    <x v="16"/>
    <x v="0"/>
    <n v="6"/>
    <x v="2"/>
    <x v="2"/>
  </r>
  <r>
    <d v="2019-11-11T00:00:00"/>
    <x v="0"/>
    <d v="1925-06-30T00:00:00"/>
    <x v="12"/>
    <x v="1"/>
    <n v="1"/>
    <x v="30"/>
    <x v="0"/>
    <n v="2"/>
    <x v="2"/>
    <x v="2"/>
  </r>
  <r>
    <d v="2019-11-11T00:00:00"/>
    <x v="0"/>
    <d v="1925-06-30T00:00:00"/>
    <x v="12"/>
    <x v="0"/>
    <n v="1"/>
    <x v="20"/>
    <x v="0"/>
    <n v="63"/>
    <x v="2"/>
    <x v="2"/>
  </r>
  <r>
    <d v="2019-11-11T00:00:00"/>
    <x v="0"/>
    <d v="1925-06-30T00:00:00"/>
    <x v="12"/>
    <x v="0"/>
    <n v="1"/>
    <x v="3"/>
    <x v="0"/>
    <n v="2"/>
    <x v="2"/>
    <x v="2"/>
  </r>
  <r>
    <d v="2019-12-12T00:00:00"/>
    <x v="2"/>
    <d v="1902-10-26T00:00:00"/>
    <x v="0"/>
    <x v="0"/>
    <n v="1"/>
    <x v="0"/>
    <x v="0"/>
    <n v="18"/>
    <x v="3"/>
    <x v="3"/>
  </r>
  <r>
    <d v="2019-12-12T00:00:00"/>
    <x v="2"/>
    <d v="1902-10-26T00:00:00"/>
    <x v="0"/>
    <x v="0"/>
    <n v="1"/>
    <x v="1"/>
    <x v="0"/>
    <n v="15"/>
    <x v="3"/>
    <x v="3"/>
  </r>
  <r>
    <d v="2019-12-12T00:00:00"/>
    <x v="2"/>
    <d v="1902-10-26T00:00:00"/>
    <x v="0"/>
    <x v="0"/>
    <n v="1"/>
    <x v="2"/>
    <x v="0"/>
    <n v="40"/>
    <x v="3"/>
    <x v="3"/>
  </r>
  <r>
    <d v="2019-12-12T00:00:00"/>
    <x v="2"/>
    <d v="1902-10-26T00:00:00"/>
    <x v="0"/>
    <x v="0"/>
    <n v="1"/>
    <x v="3"/>
    <x v="0"/>
    <n v="5"/>
    <x v="3"/>
    <x v="3"/>
  </r>
  <r>
    <d v="2019-12-12T00:00:00"/>
    <x v="2"/>
    <d v="1902-11-22T00:00:00"/>
    <x v="11"/>
    <x v="1"/>
    <n v="1"/>
    <x v="18"/>
    <x v="1"/>
    <n v="1"/>
    <x v="3"/>
    <x v="3"/>
  </r>
  <r>
    <d v="2019-12-12T00:00:00"/>
    <x v="2"/>
    <d v="1902-11-22T00:00:00"/>
    <x v="11"/>
    <x v="1"/>
    <n v="1"/>
    <x v="20"/>
    <x v="1"/>
    <n v="25"/>
    <x v="3"/>
    <x v="3"/>
  </r>
  <r>
    <d v="2019-12-12T00:00:00"/>
    <x v="2"/>
    <d v="1902-11-22T00:00:00"/>
    <x v="11"/>
    <x v="1"/>
    <n v="1"/>
    <x v="1"/>
    <x v="1"/>
    <n v="4"/>
    <x v="3"/>
    <x v="3"/>
  </r>
  <r>
    <d v="2019-12-12T00:00:00"/>
    <x v="2"/>
    <d v="1902-11-22T00:00:00"/>
    <x v="11"/>
    <x v="1"/>
    <n v="1"/>
    <x v="2"/>
    <x v="1"/>
    <n v="1"/>
    <x v="3"/>
    <x v="3"/>
  </r>
  <r>
    <d v="2019-12-12T00:00:00"/>
    <x v="2"/>
    <d v="1902-11-22T00:00:00"/>
    <x v="11"/>
    <x v="1"/>
    <n v="1"/>
    <x v="7"/>
    <x v="1"/>
    <n v="2"/>
    <x v="3"/>
    <x v="3"/>
  </r>
  <r>
    <d v="2019-12-12T00:00:00"/>
    <x v="2"/>
    <d v="1902-11-22T00:00:00"/>
    <x v="11"/>
    <x v="1"/>
    <n v="1"/>
    <x v="9"/>
    <x v="1"/>
    <n v="1"/>
    <x v="3"/>
    <x v="3"/>
  </r>
  <r>
    <d v="2019-12-12T00:00:00"/>
    <x v="2"/>
    <d v="1902-11-22T00:00:00"/>
    <x v="11"/>
    <x v="0"/>
    <n v="1"/>
    <x v="4"/>
    <x v="1"/>
    <n v="1"/>
    <x v="3"/>
    <x v="3"/>
  </r>
  <r>
    <d v="2019-12-12T00:00:00"/>
    <x v="2"/>
    <d v="1902-11-22T00:00:00"/>
    <x v="11"/>
    <x v="0"/>
    <n v="1"/>
    <x v="0"/>
    <x v="1"/>
    <n v="11"/>
    <x v="3"/>
    <x v="3"/>
  </r>
  <r>
    <d v="2019-12-12T00:00:00"/>
    <x v="2"/>
    <d v="1902-11-22T00:00:00"/>
    <x v="11"/>
    <x v="0"/>
    <n v="1"/>
    <x v="5"/>
    <x v="1"/>
    <n v="12"/>
    <x v="3"/>
    <x v="3"/>
  </r>
  <r>
    <d v="2019-12-12T00:00:00"/>
    <x v="2"/>
    <d v="1902-11-22T00:00:00"/>
    <x v="11"/>
    <x v="0"/>
    <n v="1"/>
    <x v="2"/>
    <x v="1"/>
    <n v="1"/>
    <x v="3"/>
    <x v="3"/>
  </r>
  <r>
    <d v="2019-12-12T00:00:00"/>
    <x v="2"/>
    <d v="1902-11-22T00:00:00"/>
    <x v="11"/>
    <x v="0"/>
    <n v="1"/>
    <x v="6"/>
    <x v="1"/>
    <n v="1"/>
    <x v="3"/>
    <x v="3"/>
  </r>
  <r>
    <d v="2019-12-12T00:00:00"/>
    <x v="2"/>
    <d v="1902-11-22T00:00:00"/>
    <x v="11"/>
    <x v="0"/>
    <n v="1"/>
    <x v="7"/>
    <x v="1"/>
    <n v="8"/>
    <x v="3"/>
    <x v="3"/>
  </r>
  <r>
    <d v="2019-12-12T00:00:00"/>
    <x v="2"/>
    <d v="1902-11-22T00:00:00"/>
    <x v="11"/>
    <x v="0"/>
    <n v="1"/>
    <x v="13"/>
    <x v="1"/>
    <n v="1"/>
    <x v="3"/>
    <x v="3"/>
  </r>
  <r>
    <d v="2019-12-12T00:00:00"/>
    <x v="2"/>
    <d v="1902-11-22T00:00:00"/>
    <x v="11"/>
    <x v="0"/>
    <n v="1"/>
    <x v="3"/>
    <x v="1"/>
    <n v="1"/>
    <x v="3"/>
    <x v="3"/>
  </r>
  <r>
    <d v="2019-12-12T00:00:00"/>
    <x v="2"/>
    <d v="1902-11-22T00:00:00"/>
    <x v="11"/>
    <x v="0"/>
    <n v="1"/>
    <x v="9"/>
    <x v="1"/>
    <n v="1"/>
    <x v="3"/>
    <x v="3"/>
  </r>
  <r>
    <d v="2019-12-12T00:00:00"/>
    <x v="2"/>
    <d v="1902-11-22T00:00:00"/>
    <x v="11"/>
    <x v="1"/>
    <n v="1"/>
    <x v="11"/>
    <x v="0"/>
    <n v="11"/>
    <x v="3"/>
    <x v="3"/>
  </r>
  <r>
    <d v="2019-12-12T00:00:00"/>
    <x v="2"/>
    <d v="1902-11-22T00:00:00"/>
    <x v="11"/>
    <x v="1"/>
    <n v="1"/>
    <x v="5"/>
    <x v="0"/>
    <n v="5"/>
    <x v="3"/>
    <x v="3"/>
  </r>
  <r>
    <d v="2019-12-12T00:00:00"/>
    <x v="2"/>
    <d v="1902-11-22T00:00:00"/>
    <x v="11"/>
    <x v="1"/>
    <n v="1"/>
    <x v="13"/>
    <x v="0"/>
    <n v="3"/>
    <x v="3"/>
    <x v="3"/>
  </r>
  <r>
    <d v="2019-12-12T00:00:00"/>
    <x v="2"/>
    <d v="1902-11-22T00:00:00"/>
    <x v="11"/>
    <x v="1"/>
    <n v="1"/>
    <x v="3"/>
    <x v="0"/>
    <n v="8"/>
    <x v="3"/>
    <x v="3"/>
  </r>
  <r>
    <d v="2019-12-12T00:00:00"/>
    <x v="2"/>
    <d v="1902-11-22T00:00:00"/>
    <x v="11"/>
    <x v="1"/>
    <n v="1"/>
    <x v="9"/>
    <x v="0"/>
    <n v="7"/>
    <x v="3"/>
    <x v="3"/>
  </r>
  <r>
    <d v="2019-12-12T00:00:00"/>
    <x v="2"/>
    <d v="1902-11-22T00:00:00"/>
    <x v="11"/>
    <x v="0"/>
    <n v="1"/>
    <x v="5"/>
    <x v="0"/>
    <n v="12"/>
    <x v="3"/>
    <x v="3"/>
  </r>
  <r>
    <d v="2019-12-12T00:00:00"/>
    <x v="2"/>
    <d v="1902-11-22T00:00:00"/>
    <x v="11"/>
    <x v="0"/>
    <n v="1"/>
    <x v="24"/>
    <x v="0"/>
    <n v="5"/>
    <x v="3"/>
    <x v="3"/>
  </r>
  <r>
    <d v="2019-12-12T00:00:00"/>
    <x v="2"/>
    <d v="1902-11-22T00:00:00"/>
    <x v="11"/>
    <x v="0"/>
    <n v="1"/>
    <x v="21"/>
    <x v="0"/>
    <n v="25"/>
    <x v="3"/>
    <x v="3"/>
  </r>
  <r>
    <d v="2019-12-12T00:00:00"/>
    <x v="2"/>
    <d v="1902-11-22T00:00:00"/>
    <x v="11"/>
    <x v="0"/>
    <n v="2"/>
    <x v="18"/>
    <x v="0"/>
    <n v="7"/>
    <x v="3"/>
    <x v="3"/>
  </r>
  <r>
    <d v="2019-12-12T00:00:00"/>
    <x v="2"/>
    <d v="1902-11-22T00:00:00"/>
    <x v="11"/>
    <x v="0"/>
    <n v="2"/>
    <x v="5"/>
    <x v="0"/>
    <n v="17"/>
    <x v="3"/>
    <x v="3"/>
  </r>
  <r>
    <d v="2019-12-12T00:00:00"/>
    <x v="2"/>
    <d v="1904-10-05T00:00:00"/>
    <x v="3"/>
    <x v="0"/>
    <n v="1"/>
    <x v="18"/>
    <x v="0"/>
    <n v="13"/>
    <x v="3"/>
    <x v="3"/>
  </r>
  <r>
    <d v="2019-12-12T00:00:00"/>
    <x v="2"/>
    <d v="1904-10-05T00:00:00"/>
    <x v="3"/>
    <x v="0"/>
    <n v="1"/>
    <x v="11"/>
    <x v="0"/>
    <n v="11"/>
    <x v="3"/>
    <x v="3"/>
  </r>
  <r>
    <d v="2019-12-12T00:00:00"/>
    <x v="2"/>
    <d v="1904-10-05T00:00:00"/>
    <x v="3"/>
    <x v="0"/>
    <n v="1"/>
    <x v="20"/>
    <x v="0"/>
    <n v="6"/>
    <x v="3"/>
    <x v="3"/>
  </r>
  <r>
    <d v="2019-12-12T00:00:00"/>
    <x v="2"/>
    <d v="1904-10-05T00:00:00"/>
    <x v="3"/>
    <x v="0"/>
    <n v="1"/>
    <x v="8"/>
    <x v="0"/>
    <n v="4"/>
    <x v="3"/>
    <x v="3"/>
  </r>
  <r>
    <d v="2019-12-12T00:00:00"/>
    <x v="2"/>
    <d v="1904-10-05T00:00:00"/>
    <x v="3"/>
    <x v="0"/>
    <n v="1"/>
    <x v="13"/>
    <x v="0"/>
    <n v="15"/>
    <x v="3"/>
    <x v="3"/>
  </r>
  <r>
    <d v="2019-12-12T00:00:00"/>
    <x v="2"/>
    <d v="1904-10-05T00:00:00"/>
    <x v="3"/>
    <x v="0"/>
    <n v="1"/>
    <x v="3"/>
    <x v="0"/>
    <n v="10"/>
    <x v="3"/>
    <x v="3"/>
  </r>
  <r>
    <d v="2019-12-12T00:00:00"/>
    <x v="2"/>
    <d v="1904-10-05T00:00:00"/>
    <x v="3"/>
    <x v="0"/>
    <n v="1"/>
    <x v="19"/>
    <x v="0"/>
    <n v="2"/>
    <x v="3"/>
    <x v="3"/>
  </r>
  <r>
    <d v="2019-12-12T00:00:00"/>
    <x v="2"/>
    <d v="1906-05-29T00:00:00"/>
    <x v="1"/>
    <x v="1"/>
    <n v="1"/>
    <x v="4"/>
    <x v="0"/>
    <n v="11"/>
    <x v="3"/>
    <x v="3"/>
  </r>
  <r>
    <d v="2019-12-12T00:00:00"/>
    <x v="2"/>
    <d v="1906-05-29T00:00:00"/>
    <x v="1"/>
    <x v="1"/>
    <n v="1"/>
    <x v="11"/>
    <x v="0"/>
    <n v="11"/>
    <x v="3"/>
    <x v="3"/>
  </r>
  <r>
    <d v="2019-12-12T00:00:00"/>
    <x v="2"/>
    <d v="1906-05-29T00:00:00"/>
    <x v="1"/>
    <x v="1"/>
    <n v="1"/>
    <x v="7"/>
    <x v="0"/>
    <n v="3"/>
    <x v="3"/>
    <x v="3"/>
  </r>
  <r>
    <d v="2019-12-12T00:00:00"/>
    <x v="2"/>
    <d v="1906-05-29T00:00:00"/>
    <x v="1"/>
    <x v="1"/>
    <n v="1"/>
    <x v="13"/>
    <x v="0"/>
    <n v="7"/>
    <x v="3"/>
    <x v="3"/>
  </r>
  <r>
    <d v="2019-12-12T00:00:00"/>
    <x v="2"/>
    <d v="1906-05-29T00:00:00"/>
    <x v="1"/>
    <x v="1"/>
    <n v="1"/>
    <x v="9"/>
    <x v="0"/>
    <n v="7"/>
    <x v="3"/>
    <x v="3"/>
  </r>
  <r>
    <d v="2019-12-12T00:00:00"/>
    <x v="2"/>
    <d v="1906-05-29T00:00:00"/>
    <x v="1"/>
    <x v="0"/>
    <n v="1"/>
    <x v="4"/>
    <x v="0"/>
    <n v="1"/>
    <x v="3"/>
    <x v="3"/>
  </r>
  <r>
    <d v="2019-12-12T00:00:00"/>
    <x v="2"/>
    <d v="1906-05-29T00:00:00"/>
    <x v="1"/>
    <x v="0"/>
    <n v="1"/>
    <x v="20"/>
    <x v="0"/>
    <n v="30"/>
    <x v="3"/>
    <x v="3"/>
  </r>
  <r>
    <d v="2019-12-12T00:00:00"/>
    <x v="2"/>
    <d v="1906-05-29T00:00:00"/>
    <x v="1"/>
    <x v="0"/>
    <n v="1"/>
    <x v="15"/>
    <x v="0"/>
    <n v="11"/>
    <x v="3"/>
    <x v="3"/>
  </r>
  <r>
    <d v="2019-12-12T00:00:00"/>
    <x v="2"/>
    <d v="1906-05-29T00:00:00"/>
    <x v="1"/>
    <x v="0"/>
    <n v="1"/>
    <x v="23"/>
    <x v="0"/>
    <n v="4"/>
    <x v="3"/>
    <x v="3"/>
  </r>
  <r>
    <d v="2019-12-12T00:00:00"/>
    <x v="2"/>
    <d v="1906-05-29T00:00:00"/>
    <x v="1"/>
    <x v="1"/>
    <n v="1"/>
    <x v="13"/>
    <x v="1"/>
    <n v="2"/>
    <x v="3"/>
    <x v="3"/>
  </r>
  <r>
    <d v="2019-12-12T00:00:00"/>
    <x v="2"/>
    <d v="1906-05-29T00:00:00"/>
    <x v="1"/>
    <x v="1"/>
    <n v="1"/>
    <x v="16"/>
    <x v="1"/>
    <n v="4"/>
    <x v="3"/>
    <x v="3"/>
  </r>
  <r>
    <d v="2019-12-12T00:00:00"/>
    <x v="2"/>
    <d v="1906-05-29T00:00:00"/>
    <x v="1"/>
    <x v="1"/>
    <n v="1"/>
    <x v="17"/>
    <x v="1"/>
    <n v="33"/>
    <x v="3"/>
    <x v="3"/>
  </r>
  <r>
    <d v="2019-12-12T00:00:00"/>
    <x v="2"/>
    <d v="1906-05-29T00:00:00"/>
    <x v="1"/>
    <x v="0"/>
    <n v="1"/>
    <x v="0"/>
    <x v="1"/>
    <n v="8"/>
    <x v="3"/>
    <x v="3"/>
  </r>
  <r>
    <d v="2019-12-12T00:00:00"/>
    <x v="2"/>
    <d v="1906-05-29T00:00:00"/>
    <x v="1"/>
    <x v="0"/>
    <n v="1"/>
    <x v="11"/>
    <x v="1"/>
    <n v="4"/>
    <x v="3"/>
    <x v="3"/>
  </r>
  <r>
    <d v="2019-12-12T00:00:00"/>
    <x v="2"/>
    <d v="1906-05-29T00:00:00"/>
    <x v="1"/>
    <x v="0"/>
    <n v="1"/>
    <x v="5"/>
    <x v="1"/>
    <n v="3"/>
    <x v="3"/>
    <x v="3"/>
  </r>
  <r>
    <d v="2019-12-12T00:00:00"/>
    <x v="2"/>
    <d v="1906-05-29T00:00:00"/>
    <x v="1"/>
    <x v="0"/>
    <n v="1"/>
    <x v="6"/>
    <x v="1"/>
    <n v="3"/>
    <x v="3"/>
    <x v="3"/>
  </r>
  <r>
    <d v="2019-12-12T00:00:00"/>
    <x v="2"/>
    <d v="1906-05-29T00:00:00"/>
    <x v="1"/>
    <x v="0"/>
    <n v="1"/>
    <x v="23"/>
    <x v="1"/>
    <n v="3"/>
    <x v="3"/>
    <x v="3"/>
  </r>
  <r>
    <d v="2019-12-12T00:00:00"/>
    <x v="2"/>
    <d v="1906-05-29T00:00:00"/>
    <x v="1"/>
    <x v="0"/>
    <n v="1"/>
    <x v="7"/>
    <x v="1"/>
    <n v="6"/>
    <x v="3"/>
    <x v="3"/>
  </r>
  <r>
    <d v="2019-12-12T00:00:00"/>
    <x v="2"/>
    <d v="1906-05-29T00:00:00"/>
    <x v="1"/>
    <x v="0"/>
    <n v="1"/>
    <x v="13"/>
    <x v="1"/>
    <n v="3"/>
    <x v="3"/>
    <x v="3"/>
  </r>
  <r>
    <d v="2019-12-12T00:00:00"/>
    <x v="2"/>
    <d v="1906-05-29T00:00:00"/>
    <x v="1"/>
    <x v="0"/>
    <n v="1"/>
    <x v="3"/>
    <x v="1"/>
    <n v="11"/>
    <x v="3"/>
    <x v="3"/>
  </r>
  <r>
    <d v="2019-12-12T00:00:00"/>
    <x v="2"/>
    <d v="1906-05-29T00:00:00"/>
    <x v="1"/>
    <x v="0"/>
    <n v="1"/>
    <x v="9"/>
    <x v="1"/>
    <n v="3"/>
    <x v="3"/>
    <x v="3"/>
  </r>
  <r>
    <d v="2019-12-12T00:00:00"/>
    <x v="2"/>
    <d v="1906-05-29T00:00:00"/>
    <x v="1"/>
    <x v="0"/>
    <n v="1"/>
    <x v="30"/>
    <x v="1"/>
    <n v="2"/>
    <x v="3"/>
    <x v="3"/>
  </r>
  <r>
    <d v="2019-12-12T00:00:00"/>
    <x v="2"/>
    <d v="1906-06-18T00:00:00"/>
    <x v="3"/>
    <x v="1"/>
    <n v="1"/>
    <x v="4"/>
    <x v="0"/>
    <n v="7"/>
    <x v="3"/>
    <x v="3"/>
  </r>
  <r>
    <d v="2019-12-12T00:00:00"/>
    <x v="2"/>
    <d v="1906-06-18T00:00:00"/>
    <x v="3"/>
    <x v="1"/>
    <n v="1"/>
    <x v="0"/>
    <x v="0"/>
    <n v="11"/>
    <x v="3"/>
    <x v="3"/>
  </r>
  <r>
    <d v="2019-12-12T00:00:00"/>
    <x v="2"/>
    <d v="1906-06-18T00:00:00"/>
    <x v="3"/>
    <x v="1"/>
    <n v="1"/>
    <x v="11"/>
    <x v="0"/>
    <n v="11"/>
    <x v="3"/>
    <x v="3"/>
  </r>
  <r>
    <d v="2019-12-12T00:00:00"/>
    <x v="2"/>
    <d v="1906-06-18T00:00:00"/>
    <x v="3"/>
    <x v="1"/>
    <n v="1"/>
    <x v="5"/>
    <x v="0"/>
    <n v="13"/>
    <x v="3"/>
    <x v="3"/>
  </r>
  <r>
    <d v="2019-12-12T00:00:00"/>
    <x v="2"/>
    <d v="1906-06-18T00:00:00"/>
    <x v="3"/>
    <x v="1"/>
    <n v="1"/>
    <x v="1"/>
    <x v="0"/>
    <n v="1"/>
    <x v="3"/>
    <x v="3"/>
  </r>
  <r>
    <d v="2019-12-12T00:00:00"/>
    <x v="2"/>
    <d v="1906-06-18T00:00:00"/>
    <x v="3"/>
    <x v="1"/>
    <n v="1"/>
    <x v="2"/>
    <x v="0"/>
    <n v="3"/>
    <x v="3"/>
    <x v="3"/>
  </r>
  <r>
    <d v="2019-12-12T00:00:00"/>
    <x v="2"/>
    <d v="1906-06-18T00:00:00"/>
    <x v="3"/>
    <x v="1"/>
    <n v="1"/>
    <x v="6"/>
    <x v="0"/>
    <n v="3"/>
    <x v="3"/>
    <x v="3"/>
  </r>
  <r>
    <d v="2019-12-12T00:00:00"/>
    <x v="2"/>
    <d v="1906-06-18T00:00:00"/>
    <x v="3"/>
    <x v="1"/>
    <n v="1"/>
    <x v="7"/>
    <x v="0"/>
    <n v="4"/>
    <x v="3"/>
    <x v="3"/>
  </r>
  <r>
    <d v="2019-12-12T00:00:00"/>
    <x v="2"/>
    <d v="1906-06-18T00:00:00"/>
    <x v="3"/>
    <x v="1"/>
    <n v="1"/>
    <x v="13"/>
    <x v="0"/>
    <n v="6"/>
    <x v="3"/>
    <x v="3"/>
  </r>
  <r>
    <d v="2019-12-12T00:00:00"/>
    <x v="2"/>
    <d v="1906-06-18T00:00:00"/>
    <x v="3"/>
    <x v="1"/>
    <n v="1"/>
    <x v="3"/>
    <x v="0"/>
    <n v="9"/>
    <x v="3"/>
    <x v="3"/>
  </r>
  <r>
    <d v="2019-12-12T00:00:00"/>
    <x v="2"/>
    <d v="1906-06-18T00:00:00"/>
    <x v="3"/>
    <x v="1"/>
    <n v="1"/>
    <x v="9"/>
    <x v="0"/>
    <n v="9"/>
    <x v="3"/>
    <x v="3"/>
  </r>
  <r>
    <d v="2019-12-12T00:00:00"/>
    <x v="2"/>
    <d v="1906-06-18T00:00:00"/>
    <x v="3"/>
    <x v="1"/>
    <n v="1"/>
    <x v="10"/>
    <x v="0"/>
    <n v="4"/>
    <x v="3"/>
    <x v="3"/>
  </r>
  <r>
    <d v="2019-12-12T00:00:00"/>
    <x v="2"/>
    <d v="1912-04-27T00:00:00"/>
    <x v="4"/>
    <x v="1"/>
    <n v="1"/>
    <x v="4"/>
    <x v="0"/>
    <n v="3"/>
    <x v="3"/>
    <x v="3"/>
  </r>
  <r>
    <d v="2019-12-12T00:00:00"/>
    <x v="2"/>
    <d v="1912-04-27T00:00:00"/>
    <x v="4"/>
    <x v="1"/>
    <n v="1"/>
    <x v="11"/>
    <x v="0"/>
    <n v="8"/>
    <x v="3"/>
    <x v="3"/>
  </r>
  <r>
    <d v="2019-12-12T00:00:00"/>
    <x v="2"/>
    <d v="1912-04-27T00:00:00"/>
    <x v="4"/>
    <x v="1"/>
    <n v="1"/>
    <x v="5"/>
    <x v="0"/>
    <n v="1"/>
    <x v="3"/>
    <x v="3"/>
  </r>
  <r>
    <d v="2019-12-12T00:00:00"/>
    <x v="2"/>
    <d v="1912-04-27T00:00:00"/>
    <x v="4"/>
    <x v="1"/>
    <n v="1"/>
    <x v="7"/>
    <x v="0"/>
    <n v="1"/>
    <x v="3"/>
    <x v="3"/>
  </r>
  <r>
    <d v="2019-12-12T00:00:00"/>
    <x v="2"/>
    <d v="1912-04-27T00:00:00"/>
    <x v="4"/>
    <x v="1"/>
    <n v="1"/>
    <x v="3"/>
    <x v="0"/>
    <n v="1"/>
    <x v="3"/>
    <x v="3"/>
  </r>
  <r>
    <d v="2019-12-12T00:00:00"/>
    <x v="2"/>
    <d v="1912-04-27T00:00:00"/>
    <x v="4"/>
    <x v="1"/>
    <n v="1"/>
    <x v="10"/>
    <x v="0"/>
    <n v="4"/>
    <x v="3"/>
    <x v="3"/>
  </r>
  <r>
    <d v="2019-12-12T00:00:00"/>
    <x v="2"/>
    <d v="1912-04-27T00:00:00"/>
    <x v="4"/>
    <x v="0"/>
    <n v="1"/>
    <x v="7"/>
    <x v="0"/>
    <n v="3"/>
    <x v="3"/>
    <x v="3"/>
  </r>
  <r>
    <d v="2019-12-12T00:00:00"/>
    <x v="2"/>
    <d v="1912-04-27T00:00:00"/>
    <x v="4"/>
    <x v="0"/>
    <n v="1"/>
    <x v="19"/>
    <x v="0"/>
    <n v="35"/>
    <x v="3"/>
    <x v="3"/>
  </r>
  <r>
    <d v="2019-12-12T00:00:00"/>
    <x v="2"/>
    <d v="1912-04-27T00:00:00"/>
    <x v="4"/>
    <x v="1"/>
    <n v="1"/>
    <x v="11"/>
    <x v="1"/>
    <n v="2"/>
    <x v="3"/>
    <x v="3"/>
  </r>
  <r>
    <d v="2019-12-12T00:00:00"/>
    <x v="2"/>
    <d v="1912-04-27T00:00:00"/>
    <x v="4"/>
    <x v="1"/>
    <n v="1"/>
    <x v="7"/>
    <x v="1"/>
    <n v="4"/>
    <x v="3"/>
    <x v="3"/>
  </r>
  <r>
    <d v="2019-12-12T00:00:00"/>
    <x v="2"/>
    <d v="1912-04-27T00:00:00"/>
    <x v="4"/>
    <x v="1"/>
    <n v="1"/>
    <x v="13"/>
    <x v="1"/>
    <n v="6"/>
    <x v="3"/>
    <x v="3"/>
  </r>
  <r>
    <d v="2019-12-12T00:00:00"/>
    <x v="2"/>
    <d v="1912-04-27T00:00:00"/>
    <x v="4"/>
    <x v="1"/>
    <n v="1"/>
    <x v="3"/>
    <x v="1"/>
    <n v="6"/>
    <x v="3"/>
    <x v="3"/>
  </r>
  <r>
    <d v="2019-12-12T00:00:00"/>
    <x v="2"/>
    <d v="1912-04-27T00:00:00"/>
    <x v="4"/>
    <x v="0"/>
    <n v="1"/>
    <x v="4"/>
    <x v="1"/>
    <n v="2"/>
    <x v="3"/>
    <x v="3"/>
  </r>
  <r>
    <d v="2019-12-12T00:00:00"/>
    <x v="2"/>
    <d v="1912-04-27T00:00:00"/>
    <x v="4"/>
    <x v="0"/>
    <n v="1"/>
    <x v="11"/>
    <x v="1"/>
    <n v="2"/>
    <x v="3"/>
    <x v="3"/>
  </r>
  <r>
    <d v="2019-12-12T00:00:00"/>
    <x v="2"/>
    <d v="1912-04-27T00:00:00"/>
    <x v="4"/>
    <x v="0"/>
    <n v="1"/>
    <x v="5"/>
    <x v="1"/>
    <n v="1"/>
    <x v="3"/>
    <x v="3"/>
  </r>
  <r>
    <d v="2019-12-12T00:00:00"/>
    <x v="2"/>
    <d v="1912-04-27T00:00:00"/>
    <x v="4"/>
    <x v="0"/>
    <n v="1"/>
    <x v="2"/>
    <x v="1"/>
    <n v="8"/>
    <x v="3"/>
    <x v="3"/>
  </r>
  <r>
    <d v="2019-12-12T00:00:00"/>
    <x v="2"/>
    <d v="1912-04-27T00:00:00"/>
    <x v="4"/>
    <x v="0"/>
    <n v="1"/>
    <x v="7"/>
    <x v="1"/>
    <n v="4"/>
    <x v="3"/>
    <x v="3"/>
  </r>
  <r>
    <d v="2019-12-12T00:00:00"/>
    <x v="2"/>
    <d v="1912-04-27T00:00:00"/>
    <x v="4"/>
    <x v="0"/>
    <n v="1"/>
    <x v="21"/>
    <x v="1"/>
    <n v="3"/>
    <x v="3"/>
    <x v="3"/>
  </r>
  <r>
    <d v="2019-12-12T00:00:00"/>
    <x v="2"/>
    <d v="1912-04-27T00:00:00"/>
    <x v="4"/>
    <x v="0"/>
    <n v="1"/>
    <x v="3"/>
    <x v="1"/>
    <n v="7"/>
    <x v="3"/>
    <x v="3"/>
  </r>
  <r>
    <d v="2019-12-12T00:00:00"/>
    <x v="2"/>
    <d v="1912-04-27T00:00:00"/>
    <x v="4"/>
    <x v="0"/>
    <n v="1"/>
    <x v="9"/>
    <x v="1"/>
    <n v="7"/>
    <x v="3"/>
    <x v="3"/>
  </r>
  <r>
    <d v="2019-12-12T00:00:00"/>
    <x v="2"/>
    <d v="1912-04-27T00:00:00"/>
    <x v="4"/>
    <x v="0"/>
    <n v="1"/>
    <x v="10"/>
    <x v="1"/>
    <n v="4"/>
    <x v="3"/>
    <x v="3"/>
  </r>
  <r>
    <d v="2019-12-12T00:00:00"/>
    <x v="2"/>
    <d v="1906-06-18T00:00:00"/>
    <x v="3"/>
    <x v="1"/>
    <n v="1"/>
    <x v="0"/>
    <x v="1"/>
    <n v="1"/>
    <x v="3"/>
    <x v="3"/>
  </r>
  <r>
    <d v="2019-12-12T00:00:00"/>
    <x v="2"/>
    <d v="1906-06-18T00:00:00"/>
    <x v="3"/>
    <x v="1"/>
    <n v="1"/>
    <x v="12"/>
    <x v="1"/>
    <n v="18"/>
    <x v="3"/>
    <x v="3"/>
  </r>
  <r>
    <d v="2019-12-12T00:00:00"/>
    <x v="2"/>
    <d v="1906-06-18T00:00:00"/>
    <x v="3"/>
    <x v="1"/>
    <n v="1"/>
    <x v="2"/>
    <x v="1"/>
    <n v="42"/>
    <x v="3"/>
    <x v="3"/>
  </r>
  <r>
    <d v="2019-12-12T00:00:00"/>
    <x v="2"/>
    <d v="1906-06-18T00:00:00"/>
    <x v="3"/>
    <x v="1"/>
    <n v="1"/>
    <x v="13"/>
    <x v="1"/>
    <n v="2"/>
    <x v="3"/>
    <x v="3"/>
  </r>
  <r>
    <d v="2019-12-12T00:00:00"/>
    <x v="2"/>
    <d v="1906-06-18T00:00:00"/>
    <x v="3"/>
    <x v="1"/>
    <n v="1"/>
    <x v="14"/>
    <x v="1"/>
    <n v="18"/>
    <x v="3"/>
    <x v="3"/>
  </r>
  <r>
    <d v="2019-12-12T00:00:00"/>
    <x v="2"/>
    <d v="1906-06-18T00:00:00"/>
    <x v="3"/>
    <x v="0"/>
    <n v="1"/>
    <x v="4"/>
    <x v="1"/>
    <n v="14"/>
    <x v="3"/>
    <x v="3"/>
  </r>
  <r>
    <d v="2019-12-12T00:00:00"/>
    <x v="2"/>
    <d v="1906-06-18T00:00:00"/>
    <x v="3"/>
    <x v="0"/>
    <n v="1"/>
    <x v="11"/>
    <x v="1"/>
    <n v="8"/>
    <x v="3"/>
    <x v="3"/>
  </r>
  <r>
    <d v="2019-12-12T00:00:00"/>
    <x v="2"/>
    <d v="1906-06-18T00:00:00"/>
    <x v="3"/>
    <x v="0"/>
    <n v="1"/>
    <x v="20"/>
    <x v="1"/>
    <n v="1"/>
    <x v="3"/>
    <x v="3"/>
  </r>
  <r>
    <d v="2019-12-12T00:00:00"/>
    <x v="2"/>
    <d v="1906-06-18T00:00:00"/>
    <x v="3"/>
    <x v="0"/>
    <n v="1"/>
    <x v="15"/>
    <x v="1"/>
    <n v="3"/>
    <x v="3"/>
    <x v="3"/>
  </r>
  <r>
    <d v="2019-12-12T00:00:00"/>
    <x v="2"/>
    <d v="1906-06-18T00:00:00"/>
    <x v="3"/>
    <x v="0"/>
    <n v="1"/>
    <x v="7"/>
    <x v="1"/>
    <n v="24"/>
    <x v="3"/>
    <x v="3"/>
  </r>
  <r>
    <d v="2019-12-12T00:00:00"/>
    <x v="2"/>
    <d v="1906-06-18T00:00:00"/>
    <x v="3"/>
    <x v="0"/>
    <n v="1"/>
    <x v="13"/>
    <x v="1"/>
    <n v="4"/>
    <x v="3"/>
    <x v="3"/>
  </r>
  <r>
    <d v="2019-12-12T00:00:00"/>
    <x v="2"/>
    <d v="1906-06-18T00:00:00"/>
    <x v="3"/>
    <x v="0"/>
    <n v="1"/>
    <x v="3"/>
    <x v="1"/>
    <n v="2"/>
    <x v="3"/>
    <x v="3"/>
  </r>
  <r>
    <d v="2019-12-12T00:00:00"/>
    <x v="2"/>
    <d v="1906-06-18T00:00:00"/>
    <x v="3"/>
    <x v="0"/>
    <n v="1"/>
    <x v="9"/>
    <x v="1"/>
    <n v="1"/>
    <x v="3"/>
    <x v="3"/>
  </r>
  <r>
    <d v="2019-12-12T00:00:00"/>
    <x v="2"/>
    <d v="1906-06-18T00:00:00"/>
    <x v="3"/>
    <x v="0"/>
    <n v="1"/>
    <x v="10"/>
    <x v="1"/>
    <n v="4"/>
    <x v="3"/>
    <x v="3"/>
  </r>
  <r>
    <d v="2019-12-12T00:00:00"/>
    <x v="2"/>
    <d v="1906-06-20T00:00:00"/>
    <x v="0"/>
    <x v="1"/>
    <n v="1"/>
    <x v="4"/>
    <x v="0"/>
    <n v="16"/>
    <x v="3"/>
    <x v="3"/>
  </r>
  <r>
    <d v="2019-12-12T00:00:00"/>
    <x v="2"/>
    <d v="1906-06-20T00:00:00"/>
    <x v="0"/>
    <x v="1"/>
    <n v="1"/>
    <x v="5"/>
    <x v="0"/>
    <n v="3"/>
    <x v="3"/>
    <x v="3"/>
  </r>
  <r>
    <d v="2019-12-12T00:00:00"/>
    <x v="2"/>
    <d v="1906-06-20T00:00:00"/>
    <x v="0"/>
    <x v="1"/>
    <n v="1"/>
    <x v="2"/>
    <x v="0"/>
    <n v="2"/>
    <x v="3"/>
    <x v="3"/>
  </r>
  <r>
    <d v="2019-12-12T00:00:00"/>
    <x v="2"/>
    <d v="1906-06-20T00:00:00"/>
    <x v="0"/>
    <x v="1"/>
    <n v="1"/>
    <x v="6"/>
    <x v="0"/>
    <n v="4"/>
    <x v="3"/>
    <x v="3"/>
  </r>
  <r>
    <d v="2019-12-12T00:00:00"/>
    <x v="2"/>
    <d v="1906-06-20T00:00:00"/>
    <x v="0"/>
    <x v="1"/>
    <n v="1"/>
    <x v="7"/>
    <x v="0"/>
    <n v="13"/>
    <x v="3"/>
    <x v="3"/>
  </r>
  <r>
    <d v="2019-12-12T00:00:00"/>
    <x v="2"/>
    <d v="1906-06-20T00:00:00"/>
    <x v="0"/>
    <x v="1"/>
    <n v="1"/>
    <x v="3"/>
    <x v="0"/>
    <n v="1"/>
    <x v="3"/>
    <x v="3"/>
  </r>
  <r>
    <d v="2019-12-12T00:00:00"/>
    <x v="2"/>
    <d v="1906-06-20T00:00:00"/>
    <x v="0"/>
    <x v="1"/>
    <n v="1"/>
    <x v="9"/>
    <x v="0"/>
    <n v="5"/>
    <x v="3"/>
    <x v="3"/>
  </r>
  <r>
    <d v="2019-12-12T00:00:00"/>
    <x v="2"/>
    <d v="1906-06-20T00:00:00"/>
    <x v="0"/>
    <x v="1"/>
    <n v="1"/>
    <x v="10"/>
    <x v="0"/>
    <n v="4"/>
    <x v="3"/>
    <x v="3"/>
  </r>
  <r>
    <d v="2019-12-12T00:00:00"/>
    <x v="2"/>
    <d v="1906-06-20T00:00:00"/>
    <x v="0"/>
    <x v="1"/>
    <n v="2"/>
    <x v="4"/>
    <x v="0"/>
    <n v="1"/>
    <x v="3"/>
    <x v="3"/>
  </r>
  <r>
    <d v="2019-12-12T00:00:00"/>
    <x v="2"/>
    <d v="1906-06-20T00:00:00"/>
    <x v="0"/>
    <x v="1"/>
    <n v="2"/>
    <x v="11"/>
    <x v="0"/>
    <n v="2"/>
    <x v="3"/>
    <x v="3"/>
  </r>
  <r>
    <d v="2019-12-12T00:00:00"/>
    <x v="2"/>
    <d v="1906-06-20T00:00:00"/>
    <x v="0"/>
    <x v="1"/>
    <n v="2"/>
    <x v="12"/>
    <x v="0"/>
    <n v="4"/>
    <x v="3"/>
    <x v="3"/>
  </r>
  <r>
    <d v="2019-12-12T00:00:00"/>
    <x v="2"/>
    <d v="1906-06-20T00:00:00"/>
    <x v="0"/>
    <x v="1"/>
    <n v="2"/>
    <x v="5"/>
    <x v="0"/>
    <n v="1"/>
    <x v="3"/>
    <x v="3"/>
  </r>
  <r>
    <d v="2019-12-12T00:00:00"/>
    <x v="2"/>
    <d v="1906-06-20T00:00:00"/>
    <x v="0"/>
    <x v="1"/>
    <n v="2"/>
    <x v="13"/>
    <x v="0"/>
    <n v="4"/>
    <x v="3"/>
    <x v="3"/>
  </r>
  <r>
    <d v="2019-12-12T00:00:00"/>
    <x v="2"/>
    <d v="1906-06-20T00:00:00"/>
    <x v="0"/>
    <x v="1"/>
    <n v="1"/>
    <x v="13"/>
    <x v="0"/>
    <n v="1"/>
    <x v="3"/>
    <x v="3"/>
  </r>
  <r>
    <d v="2019-12-12T00:00:00"/>
    <x v="2"/>
    <d v="1906-06-20T00:00:00"/>
    <x v="0"/>
    <x v="1"/>
    <n v="1"/>
    <x v="14"/>
    <x v="0"/>
    <n v="13"/>
    <x v="3"/>
    <x v="3"/>
  </r>
  <r>
    <d v="2019-12-12T00:00:00"/>
    <x v="2"/>
    <d v="1906-06-20T00:00:00"/>
    <x v="0"/>
    <x v="1"/>
    <n v="2"/>
    <x v="0"/>
    <x v="0"/>
    <n v="11"/>
    <x v="3"/>
    <x v="3"/>
  </r>
  <r>
    <d v="2019-12-12T00:00:00"/>
    <x v="2"/>
    <d v="1906-06-20T00:00:00"/>
    <x v="0"/>
    <x v="1"/>
    <n v="2"/>
    <x v="12"/>
    <x v="0"/>
    <n v="4"/>
    <x v="3"/>
    <x v="3"/>
  </r>
  <r>
    <d v="2019-12-12T00:00:00"/>
    <x v="2"/>
    <d v="1906-06-20T00:00:00"/>
    <x v="0"/>
    <x v="1"/>
    <n v="2"/>
    <x v="5"/>
    <x v="0"/>
    <n v="3"/>
    <x v="3"/>
    <x v="3"/>
  </r>
  <r>
    <d v="2019-12-12T00:00:00"/>
    <x v="2"/>
    <d v="1906-06-20T00:00:00"/>
    <x v="0"/>
    <x v="1"/>
    <n v="2"/>
    <x v="13"/>
    <x v="0"/>
    <n v="28"/>
    <x v="3"/>
    <x v="3"/>
  </r>
  <r>
    <d v="2019-12-12T00:00:00"/>
    <x v="2"/>
    <d v="1906-06-20T00:00:00"/>
    <x v="0"/>
    <x v="0"/>
    <n v="1"/>
    <x v="4"/>
    <x v="0"/>
    <n v="17"/>
    <x v="3"/>
    <x v="3"/>
  </r>
  <r>
    <d v="2019-12-12T00:00:00"/>
    <x v="2"/>
    <d v="1906-06-20T00:00:00"/>
    <x v="0"/>
    <x v="0"/>
    <n v="1"/>
    <x v="11"/>
    <x v="0"/>
    <n v="11"/>
    <x v="3"/>
    <x v="3"/>
  </r>
  <r>
    <d v="2019-12-12T00:00:00"/>
    <x v="2"/>
    <d v="1906-06-20T00:00:00"/>
    <x v="0"/>
    <x v="0"/>
    <n v="1"/>
    <x v="6"/>
    <x v="0"/>
    <n v="6"/>
    <x v="3"/>
    <x v="3"/>
  </r>
  <r>
    <d v="2019-12-12T00:00:00"/>
    <x v="2"/>
    <d v="1906-06-20T00:00:00"/>
    <x v="0"/>
    <x v="0"/>
    <n v="1"/>
    <x v="7"/>
    <x v="0"/>
    <n v="11"/>
    <x v="3"/>
    <x v="3"/>
  </r>
  <r>
    <d v="2019-12-12T00:00:00"/>
    <x v="2"/>
    <d v="1906-06-20T00:00:00"/>
    <x v="0"/>
    <x v="0"/>
    <n v="1"/>
    <x v="3"/>
    <x v="0"/>
    <n v="14"/>
    <x v="3"/>
    <x v="3"/>
  </r>
  <r>
    <d v="2019-12-12T00:00:00"/>
    <x v="2"/>
    <d v="1906-06-20T00:00:00"/>
    <x v="0"/>
    <x v="0"/>
    <n v="1"/>
    <x v="9"/>
    <x v="0"/>
    <n v="1"/>
    <x v="3"/>
    <x v="3"/>
  </r>
  <r>
    <d v="2019-12-12T00:00:00"/>
    <x v="2"/>
    <d v="1906-06-20T00:00:00"/>
    <x v="0"/>
    <x v="0"/>
    <n v="1"/>
    <x v="14"/>
    <x v="0"/>
    <n v="2"/>
    <x v="3"/>
    <x v="3"/>
  </r>
  <r>
    <d v="2019-12-12T00:00:00"/>
    <x v="2"/>
    <d v="1906-06-20T00:00:00"/>
    <x v="0"/>
    <x v="0"/>
    <n v="2"/>
    <x v="2"/>
    <x v="0"/>
    <n v="6"/>
    <x v="3"/>
    <x v="3"/>
  </r>
  <r>
    <d v="2019-12-12T00:00:00"/>
    <x v="2"/>
    <d v="1906-06-20T00:00:00"/>
    <x v="0"/>
    <x v="0"/>
    <n v="2"/>
    <x v="6"/>
    <x v="0"/>
    <n v="3"/>
    <x v="3"/>
    <x v="3"/>
  </r>
  <r>
    <d v="2019-12-12T00:00:00"/>
    <x v="2"/>
    <d v="1906-06-20T00:00:00"/>
    <x v="0"/>
    <x v="0"/>
    <n v="2"/>
    <x v="7"/>
    <x v="0"/>
    <n v="3"/>
    <x v="3"/>
    <x v="3"/>
  </r>
  <r>
    <d v="2019-12-12T00:00:00"/>
    <x v="2"/>
    <d v="1906-06-20T00:00:00"/>
    <x v="0"/>
    <x v="0"/>
    <n v="2"/>
    <x v="13"/>
    <x v="0"/>
    <n v="4"/>
    <x v="3"/>
    <x v="3"/>
  </r>
  <r>
    <d v="2019-12-12T00:00:00"/>
    <x v="2"/>
    <d v="1912-04-28T00:00:00"/>
    <x v="5"/>
    <x v="1"/>
    <n v="1"/>
    <x v="4"/>
    <x v="0"/>
    <n v="10"/>
    <x v="3"/>
    <x v="3"/>
  </r>
  <r>
    <d v="2019-12-12T00:00:00"/>
    <x v="2"/>
    <d v="1912-04-28T00:00:00"/>
    <x v="5"/>
    <x v="1"/>
    <n v="1"/>
    <x v="0"/>
    <x v="0"/>
    <n v="3"/>
    <x v="3"/>
    <x v="3"/>
  </r>
  <r>
    <d v="2019-12-12T00:00:00"/>
    <x v="2"/>
    <d v="1912-04-28T00:00:00"/>
    <x v="5"/>
    <x v="1"/>
    <n v="1"/>
    <x v="1"/>
    <x v="0"/>
    <n v="8"/>
    <x v="3"/>
    <x v="3"/>
  </r>
  <r>
    <d v="2019-12-12T00:00:00"/>
    <x v="2"/>
    <d v="1912-04-28T00:00:00"/>
    <x v="5"/>
    <x v="1"/>
    <n v="1"/>
    <x v="6"/>
    <x v="0"/>
    <n v="2"/>
    <x v="3"/>
    <x v="3"/>
  </r>
  <r>
    <d v="2019-12-12T00:00:00"/>
    <x v="2"/>
    <d v="1912-04-28T00:00:00"/>
    <x v="5"/>
    <x v="1"/>
    <n v="1"/>
    <x v="7"/>
    <x v="0"/>
    <n v="3"/>
    <x v="3"/>
    <x v="3"/>
  </r>
  <r>
    <d v="2019-12-12T00:00:00"/>
    <x v="2"/>
    <d v="1912-04-28T00:00:00"/>
    <x v="5"/>
    <x v="1"/>
    <n v="1"/>
    <x v="3"/>
    <x v="0"/>
    <n v="7"/>
    <x v="3"/>
    <x v="3"/>
  </r>
  <r>
    <d v="2019-12-12T00:00:00"/>
    <x v="2"/>
    <d v="1912-04-28T00:00:00"/>
    <x v="5"/>
    <x v="1"/>
    <n v="1"/>
    <x v="9"/>
    <x v="0"/>
    <n v="5"/>
    <x v="3"/>
    <x v="3"/>
  </r>
  <r>
    <d v="2019-12-12T00:00:00"/>
    <x v="2"/>
    <d v="1912-04-28T00:00:00"/>
    <x v="5"/>
    <x v="1"/>
    <n v="2"/>
    <x v="3"/>
    <x v="0"/>
    <n v="7"/>
    <x v="3"/>
    <x v="3"/>
  </r>
  <r>
    <d v="2019-12-12T00:00:00"/>
    <x v="2"/>
    <d v="1912-04-28T00:00:00"/>
    <x v="5"/>
    <x v="1"/>
    <n v="2"/>
    <x v="9"/>
    <x v="0"/>
    <n v="2"/>
    <x v="3"/>
    <x v="3"/>
  </r>
  <r>
    <d v="2019-12-12T00:00:00"/>
    <x v="2"/>
    <d v="1912-04-28T00:00:00"/>
    <x v="5"/>
    <x v="0"/>
    <n v="1"/>
    <x v="2"/>
    <x v="0"/>
    <n v="7"/>
    <x v="3"/>
    <x v="3"/>
  </r>
  <r>
    <d v="2019-12-12T00:00:00"/>
    <x v="2"/>
    <d v="1912-04-28T00:00:00"/>
    <x v="5"/>
    <x v="0"/>
    <n v="1"/>
    <x v="21"/>
    <x v="0"/>
    <n v="34"/>
    <x v="3"/>
    <x v="3"/>
  </r>
  <r>
    <d v="2019-12-12T00:00:00"/>
    <x v="2"/>
    <d v="1912-04-28T00:00:00"/>
    <x v="5"/>
    <x v="0"/>
    <n v="1"/>
    <x v="3"/>
    <x v="0"/>
    <n v="2"/>
    <x v="3"/>
    <x v="3"/>
  </r>
  <r>
    <d v="2019-12-12T00:00:00"/>
    <x v="2"/>
    <d v="1912-04-28T00:00:00"/>
    <x v="5"/>
    <x v="0"/>
    <n v="1"/>
    <x v="17"/>
    <x v="0"/>
    <n v="11"/>
    <x v="3"/>
    <x v="3"/>
  </r>
  <r>
    <d v="2019-12-12T00:00:00"/>
    <x v="2"/>
    <d v="1912-04-28T00:00:00"/>
    <x v="5"/>
    <x v="1"/>
    <n v="1"/>
    <x v="4"/>
    <x v="1"/>
    <n v="10"/>
    <x v="3"/>
    <x v="3"/>
  </r>
  <r>
    <d v="2019-12-12T00:00:00"/>
    <x v="2"/>
    <d v="1912-04-28T00:00:00"/>
    <x v="5"/>
    <x v="1"/>
    <n v="1"/>
    <x v="0"/>
    <x v="1"/>
    <n v="4"/>
    <x v="3"/>
    <x v="3"/>
  </r>
  <r>
    <d v="2019-12-12T00:00:00"/>
    <x v="2"/>
    <d v="1912-04-28T00:00:00"/>
    <x v="5"/>
    <x v="1"/>
    <n v="1"/>
    <x v="1"/>
    <x v="1"/>
    <n v="6"/>
    <x v="3"/>
    <x v="3"/>
  </r>
  <r>
    <d v="2019-12-12T00:00:00"/>
    <x v="2"/>
    <d v="1912-04-28T00:00:00"/>
    <x v="5"/>
    <x v="1"/>
    <n v="1"/>
    <x v="7"/>
    <x v="1"/>
    <n v="3"/>
    <x v="3"/>
    <x v="3"/>
  </r>
  <r>
    <d v="2019-12-12T00:00:00"/>
    <x v="2"/>
    <d v="1912-04-28T00:00:00"/>
    <x v="5"/>
    <x v="1"/>
    <n v="1"/>
    <x v="3"/>
    <x v="1"/>
    <n v="6"/>
    <x v="3"/>
    <x v="3"/>
  </r>
  <r>
    <d v="2019-12-12T00:00:00"/>
    <x v="2"/>
    <d v="1912-04-28T00:00:00"/>
    <x v="5"/>
    <x v="1"/>
    <n v="1"/>
    <x v="9"/>
    <x v="1"/>
    <n v="4"/>
    <x v="3"/>
    <x v="3"/>
  </r>
  <r>
    <d v="2019-12-12T00:00:00"/>
    <x v="2"/>
    <d v="1912-04-28T00:00:00"/>
    <x v="5"/>
    <x v="1"/>
    <n v="1"/>
    <x v="10"/>
    <x v="1"/>
    <n v="2"/>
    <x v="3"/>
    <x v="3"/>
  </r>
  <r>
    <d v="2019-12-12T00:00:00"/>
    <x v="2"/>
    <d v="1912-04-28T00:00:00"/>
    <x v="5"/>
    <x v="1"/>
    <n v="2"/>
    <x v="3"/>
    <x v="1"/>
    <n v="10"/>
    <x v="3"/>
    <x v="3"/>
  </r>
  <r>
    <d v="2019-12-12T00:00:00"/>
    <x v="2"/>
    <d v="1912-04-28T00:00:00"/>
    <x v="5"/>
    <x v="1"/>
    <n v="2"/>
    <x v="9"/>
    <x v="1"/>
    <n v="2"/>
    <x v="3"/>
    <x v="3"/>
  </r>
  <r>
    <d v="2019-12-12T00:00:00"/>
    <x v="2"/>
    <d v="1912-04-28T00:00:00"/>
    <x v="5"/>
    <x v="0"/>
    <n v="1"/>
    <x v="12"/>
    <x v="1"/>
    <n v="19"/>
    <x v="3"/>
    <x v="3"/>
  </r>
  <r>
    <d v="2019-12-12T00:00:00"/>
    <x v="2"/>
    <d v="1912-04-28T00:00:00"/>
    <x v="5"/>
    <x v="0"/>
    <n v="1"/>
    <x v="2"/>
    <x v="1"/>
    <n v="2"/>
    <x v="3"/>
    <x v="3"/>
  </r>
  <r>
    <d v="2019-12-12T00:00:00"/>
    <x v="2"/>
    <d v="1912-04-28T00:00:00"/>
    <x v="5"/>
    <x v="0"/>
    <n v="1"/>
    <x v="21"/>
    <x v="1"/>
    <n v="32"/>
    <x v="3"/>
    <x v="3"/>
  </r>
  <r>
    <d v="2019-12-12T00:00:00"/>
    <x v="2"/>
    <d v="1912-04-28T00:00:00"/>
    <x v="5"/>
    <x v="0"/>
    <n v="1"/>
    <x v="3"/>
    <x v="1"/>
    <n v="2"/>
    <x v="3"/>
    <x v="3"/>
  </r>
  <r>
    <d v="2019-12-12T00:00:00"/>
    <x v="2"/>
    <d v="1912-04-29T00:00:00"/>
    <x v="6"/>
    <x v="1"/>
    <n v="1"/>
    <x v="0"/>
    <x v="0"/>
    <n v="5"/>
    <x v="3"/>
    <x v="3"/>
  </r>
  <r>
    <d v="2019-12-12T00:00:00"/>
    <x v="2"/>
    <d v="1912-04-29T00:00:00"/>
    <x v="6"/>
    <x v="1"/>
    <n v="1"/>
    <x v="11"/>
    <x v="0"/>
    <n v="13"/>
    <x v="3"/>
    <x v="3"/>
  </r>
  <r>
    <d v="2019-12-12T00:00:00"/>
    <x v="2"/>
    <d v="1912-04-29T00:00:00"/>
    <x v="6"/>
    <x v="1"/>
    <n v="1"/>
    <x v="5"/>
    <x v="0"/>
    <n v="3"/>
    <x v="3"/>
    <x v="3"/>
  </r>
  <r>
    <d v="2019-12-12T00:00:00"/>
    <x v="2"/>
    <d v="1912-04-29T00:00:00"/>
    <x v="6"/>
    <x v="1"/>
    <n v="1"/>
    <x v="24"/>
    <x v="0"/>
    <n v="1"/>
    <x v="3"/>
    <x v="3"/>
  </r>
  <r>
    <d v="2019-12-12T00:00:00"/>
    <x v="2"/>
    <d v="1912-04-29T00:00:00"/>
    <x v="6"/>
    <x v="1"/>
    <n v="1"/>
    <x v="1"/>
    <x v="0"/>
    <n v="3"/>
    <x v="3"/>
    <x v="3"/>
  </r>
  <r>
    <d v="2019-12-12T00:00:00"/>
    <x v="2"/>
    <d v="1912-04-29T00:00:00"/>
    <x v="6"/>
    <x v="1"/>
    <n v="1"/>
    <x v="6"/>
    <x v="0"/>
    <n v="1"/>
    <x v="3"/>
    <x v="3"/>
  </r>
  <r>
    <d v="2019-12-12T00:00:00"/>
    <x v="2"/>
    <d v="1912-04-29T00:00:00"/>
    <x v="6"/>
    <x v="1"/>
    <n v="1"/>
    <x v="7"/>
    <x v="0"/>
    <n v="1"/>
    <x v="3"/>
    <x v="3"/>
  </r>
  <r>
    <d v="2019-12-12T00:00:00"/>
    <x v="2"/>
    <d v="1912-04-29T00:00:00"/>
    <x v="6"/>
    <x v="1"/>
    <n v="1"/>
    <x v="13"/>
    <x v="0"/>
    <n v="10"/>
    <x v="3"/>
    <x v="3"/>
  </r>
  <r>
    <d v="2019-12-12T00:00:00"/>
    <x v="2"/>
    <d v="1912-04-29T00:00:00"/>
    <x v="6"/>
    <x v="1"/>
    <n v="1"/>
    <x v="3"/>
    <x v="0"/>
    <n v="9"/>
    <x v="3"/>
    <x v="3"/>
  </r>
  <r>
    <d v="2019-12-12T00:00:00"/>
    <x v="2"/>
    <d v="1912-04-29T00:00:00"/>
    <x v="6"/>
    <x v="1"/>
    <n v="1"/>
    <x v="9"/>
    <x v="0"/>
    <n v="2"/>
    <x v="3"/>
    <x v="3"/>
  </r>
  <r>
    <d v="2019-12-12T00:00:00"/>
    <x v="2"/>
    <d v="1912-04-29T00:00:00"/>
    <x v="6"/>
    <x v="1"/>
    <n v="1"/>
    <x v="10"/>
    <x v="0"/>
    <n v="1"/>
    <x v="3"/>
    <x v="3"/>
  </r>
  <r>
    <d v="2019-12-12T00:00:00"/>
    <x v="2"/>
    <d v="1912-04-29T00:00:00"/>
    <x v="6"/>
    <x v="1"/>
    <n v="2"/>
    <x v="4"/>
    <x v="0"/>
    <n v="11"/>
    <x v="3"/>
    <x v="3"/>
  </r>
  <r>
    <d v="2019-12-12T00:00:00"/>
    <x v="2"/>
    <d v="1912-04-29T00:00:00"/>
    <x v="6"/>
    <x v="0"/>
    <n v="1"/>
    <x v="11"/>
    <x v="0"/>
    <n v="7"/>
    <x v="3"/>
    <x v="3"/>
  </r>
  <r>
    <d v="2019-12-12T00:00:00"/>
    <x v="2"/>
    <d v="1912-04-29T00:00:00"/>
    <x v="6"/>
    <x v="0"/>
    <n v="1"/>
    <x v="13"/>
    <x v="0"/>
    <n v="18"/>
    <x v="3"/>
    <x v="3"/>
  </r>
  <r>
    <d v="2019-12-12T00:00:00"/>
    <x v="2"/>
    <d v="1912-04-29T00:00:00"/>
    <x v="6"/>
    <x v="0"/>
    <n v="1"/>
    <x v="3"/>
    <x v="0"/>
    <n v="7"/>
    <x v="3"/>
    <x v="3"/>
  </r>
  <r>
    <d v="2019-12-12T00:00:00"/>
    <x v="2"/>
    <d v="1912-04-29T00:00:00"/>
    <x v="6"/>
    <x v="0"/>
    <n v="1"/>
    <x v="17"/>
    <x v="0"/>
    <n v="24"/>
    <x v="3"/>
    <x v="3"/>
  </r>
  <r>
    <d v="2019-12-12T00:00:00"/>
    <x v="2"/>
    <d v="1912-04-29T00:00:00"/>
    <x v="6"/>
    <x v="0"/>
    <n v="1"/>
    <x v="14"/>
    <x v="0"/>
    <n v="23"/>
    <x v="3"/>
    <x v="3"/>
  </r>
  <r>
    <d v="2019-12-12T00:00:00"/>
    <x v="2"/>
    <d v="1912-04-29T00:00:00"/>
    <x v="6"/>
    <x v="0"/>
    <n v="2"/>
    <x v="3"/>
    <x v="0"/>
    <n v="2"/>
    <x v="3"/>
    <x v="3"/>
  </r>
  <r>
    <d v="2019-12-12T00:00:00"/>
    <x v="2"/>
    <d v="1912-04-29T00:00:00"/>
    <x v="6"/>
    <x v="1"/>
    <n v="1"/>
    <x v="20"/>
    <x v="0"/>
    <n v="20"/>
    <x v="3"/>
    <x v="3"/>
  </r>
  <r>
    <d v="2019-12-12T00:00:00"/>
    <x v="2"/>
    <d v="1912-04-29T00:00:00"/>
    <x v="6"/>
    <x v="1"/>
    <n v="1"/>
    <x v="24"/>
    <x v="0"/>
    <n v="1"/>
    <x v="3"/>
    <x v="3"/>
  </r>
  <r>
    <d v="2019-12-12T00:00:00"/>
    <x v="2"/>
    <d v="1912-04-29T00:00:00"/>
    <x v="6"/>
    <x v="1"/>
    <n v="1"/>
    <x v="2"/>
    <x v="0"/>
    <n v="11"/>
    <x v="3"/>
    <x v="3"/>
  </r>
  <r>
    <d v="2019-12-12T00:00:00"/>
    <x v="2"/>
    <d v="1912-04-29T00:00:00"/>
    <x v="6"/>
    <x v="1"/>
    <n v="1"/>
    <x v="8"/>
    <x v="0"/>
    <n v="1"/>
    <x v="3"/>
    <x v="3"/>
  </r>
  <r>
    <d v="2019-12-12T00:00:00"/>
    <x v="2"/>
    <d v="1912-04-29T00:00:00"/>
    <x v="6"/>
    <x v="1"/>
    <n v="1"/>
    <x v="13"/>
    <x v="0"/>
    <n v="3"/>
    <x v="3"/>
    <x v="3"/>
  </r>
  <r>
    <d v="2019-12-12T00:00:00"/>
    <x v="2"/>
    <d v="1912-04-29T00:00:00"/>
    <x v="6"/>
    <x v="1"/>
    <n v="1"/>
    <x v="3"/>
    <x v="0"/>
    <n v="19"/>
    <x v="3"/>
    <x v="3"/>
  </r>
  <r>
    <d v="2019-12-12T00:00:00"/>
    <x v="2"/>
    <d v="1912-04-29T00:00:00"/>
    <x v="6"/>
    <x v="1"/>
    <n v="1"/>
    <x v="16"/>
    <x v="0"/>
    <n v="5"/>
    <x v="3"/>
    <x v="3"/>
  </r>
  <r>
    <d v="2019-12-12T00:00:00"/>
    <x v="2"/>
    <d v="1912-04-29T00:00:00"/>
    <x v="6"/>
    <x v="0"/>
    <n v="1"/>
    <x v="4"/>
    <x v="0"/>
    <n v="10"/>
    <x v="3"/>
    <x v="3"/>
  </r>
  <r>
    <d v="2019-12-12T00:00:00"/>
    <x v="2"/>
    <d v="1912-04-29T00:00:00"/>
    <x v="6"/>
    <x v="0"/>
    <n v="1"/>
    <x v="0"/>
    <x v="0"/>
    <n v="7"/>
    <x v="3"/>
    <x v="3"/>
  </r>
  <r>
    <d v="2019-12-12T00:00:00"/>
    <x v="2"/>
    <d v="1912-04-29T00:00:00"/>
    <x v="6"/>
    <x v="0"/>
    <n v="1"/>
    <x v="11"/>
    <x v="0"/>
    <n v="11"/>
    <x v="3"/>
    <x v="3"/>
  </r>
  <r>
    <d v="2019-12-12T00:00:00"/>
    <x v="2"/>
    <d v="1912-04-29T00:00:00"/>
    <x v="6"/>
    <x v="0"/>
    <n v="1"/>
    <x v="20"/>
    <x v="0"/>
    <n v="1"/>
    <x v="3"/>
    <x v="3"/>
  </r>
  <r>
    <d v="2019-12-12T00:00:00"/>
    <x v="2"/>
    <d v="1912-04-29T00:00:00"/>
    <x v="6"/>
    <x v="0"/>
    <n v="1"/>
    <x v="15"/>
    <x v="0"/>
    <n v="10"/>
    <x v="3"/>
    <x v="3"/>
  </r>
  <r>
    <d v="2019-12-12T00:00:00"/>
    <x v="2"/>
    <d v="1912-04-29T00:00:00"/>
    <x v="6"/>
    <x v="0"/>
    <n v="1"/>
    <x v="25"/>
    <x v="0"/>
    <n v="4"/>
    <x v="3"/>
    <x v="3"/>
  </r>
  <r>
    <d v="2019-12-12T00:00:00"/>
    <x v="2"/>
    <d v="1912-04-29T00:00:00"/>
    <x v="6"/>
    <x v="0"/>
    <n v="1"/>
    <x v="23"/>
    <x v="0"/>
    <n v="7"/>
    <x v="3"/>
    <x v="3"/>
  </r>
  <r>
    <d v="2019-12-12T00:00:00"/>
    <x v="2"/>
    <d v="1912-04-29T00:00:00"/>
    <x v="6"/>
    <x v="0"/>
    <n v="1"/>
    <x v="7"/>
    <x v="0"/>
    <n v="5"/>
    <x v="3"/>
    <x v="3"/>
  </r>
  <r>
    <d v="2019-12-12T00:00:00"/>
    <x v="2"/>
    <d v="1912-04-29T00:00:00"/>
    <x v="6"/>
    <x v="0"/>
    <n v="1"/>
    <x v="13"/>
    <x v="0"/>
    <n v="8"/>
    <x v="3"/>
    <x v="3"/>
  </r>
  <r>
    <d v="2019-12-12T00:00:00"/>
    <x v="2"/>
    <d v="1912-04-29T00:00:00"/>
    <x v="6"/>
    <x v="0"/>
    <n v="1"/>
    <x v="3"/>
    <x v="0"/>
    <n v="10"/>
    <x v="3"/>
    <x v="3"/>
  </r>
  <r>
    <d v="2019-12-12T00:00:00"/>
    <x v="2"/>
    <d v="1912-04-29T00:00:00"/>
    <x v="6"/>
    <x v="0"/>
    <n v="1"/>
    <x v="9"/>
    <x v="0"/>
    <n v="2"/>
    <x v="3"/>
    <x v="3"/>
  </r>
  <r>
    <d v="2019-12-12T00:00:00"/>
    <x v="2"/>
    <d v="1912-04-29T00:00:00"/>
    <x v="6"/>
    <x v="0"/>
    <n v="1"/>
    <x v="16"/>
    <x v="0"/>
    <n v="6"/>
    <x v="3"/>
    <x v="3"/>
  </r>
  <r>
    <d v="2019-12-12T00:00:00"/>
    <x v="2"/>
    <d v="1912-04-29T00:00:00"/>
    <x v="6"/>
    <x v="1"/>
    <n v="1"/>
    <x v="4"/>
    <x v="0"/>
    <n v="16"/>
    <x v="3"/>
    <x v="3"/>
  </r>
  <r>
    <d v="2019-12-12T00:00:00"/>
    <x v="2"/>
    <d v="1912-04-29T00:00:00"/>
    <x v="6"/>
    <x v="1"/>
    <n v="1"/>
    <x v="0"/>
    <x v="0"/>
    <n v="4"/>
    <x v="3"/>
    <x v="3"/>
  </r>
  <r>
    <d v="2019-12-12T00:00:00"/>
    <x v="2"/>
    <d v="1912-04-29T00:00:00"/>
    <x v="6"/>
    <x v="1"/>
    <n v="1"/>
    <x v="11"/>
    <x v="0"/>
    <n v="14"/>
    <x v="3"/>
    <x v="3"/>
  </r>
  <r>
    <d v="2019-12-12T00:00:00"/>
    <x v="2"/>
    <d v="1912-04-29T00:00:00"/>
    <x v="6"/>
    <x v="1"/>
    <n v="1"/>
    <x v="5"/>
    <x v="0"/>
    <n v="3"/>
    <x v="3"/>
    <x v="3"/>
  </r>
  <r>
    <d v="2019-12-12T00:00:00"/>
    <x v="2"/>
    <d v="1912-04-29T00:00:00"/>
    <x v="6"/>
    <x v="1"/>
    <n v="1"/>
    <x v="24"/>
    <x v="0"/>
    <n v="1"/>
    <x v="3"/>
    <x v="3"/>
  </r>
  <r>
    <d v="2019-12-12T00:00:00"/>
    <x v="2"/>
    <d v="1912-04-29T00:00:00"/>
    <x v="6"/>
    <x v="1"/>
    <n v="1"/>
    <x v="1"/>
    <x v="0"/>
    <n v="2"/>
    <x v="3"/>
    <x v="3"/>
  </r>
  <r>
    <d v="2019-12-12T00:00:00"/>
    <x v="2"/>
    <d v="1912-04-29T00:00:00"/>
    <x v="6"/>
    <x v="1"/>
    <n v="1"/>
    <x v="6"/>
    <x v="0"/>
    <n v="2"/>
    <x v="3"/>
    <x v="3"/>
  </r>
  <r>
    <d v="2019-12-12T00:00:00"/>
    <x v="2"/>
    <d v="1912-04-29T00:00:00"/>
    <x v="6"/>
    <x v="1"/>
    <n v="1"/>
    <x v="7"/>
    <x v="0"/>
    <n v="2"/>
    <x v="3"/>
    <x v="3"/>
  </r>
  <r>
    <d v="2019-12-12T00:00:00"/>
    <x v="2"/>
    <d v="1912-04-29T00:00:00"/>
    <x v="6"/>
    <x v="1"/>
    <n v="1"/>
    <x v="13"/>
    <x v="0"/>
    <n v="9"/>
    <x v="3"/>
    <x v="3"/>
  </r>
  <r>
    <d v="2019-12-12T00:00:00"/>
    <x v="2"/>
    <d v="1912-04-29T00:00:00"/>
    <x v="6"/>
    <x v="1"/>
    <n v="1"/>
    <x v="3"/>
    <x v="0"/>
    <n v="10"/>
    <x v="3"/>
    <x v="3"/>
  </r>
  <r>
    <d v="2019-12-12T00:00:00"/>
    <x v="2"/>
    <d v="1912-04-29T00:00:00"/>
    <x v="6"/>
    <x v="1"/>
    <n v="1"/>
    <x v="9"/>
    <x v="0"/>
    <n v="1"/>
    <x v="3"/>
    <x v="3"/>
  </r>
  <r>
    <d v="2019-12-12T00:00:00"/>
    <x v="2"/>
    <d v="1912-04-29T00:00:00"/>
    <x v="6"/>
    <x v="1"/>
    <n v="1"/>
    <x v="10"/>
    <x v="0"/>
    <n v="1"/>
    <x v="3"/>
    <x v="3"/>
  </r>
  <r>
    <d v="2019-12-12T00:00:00"/>
    <x v="2"/>
    <d v="1912-04-29T00:00:00"/>
    <x v="6"/>
    <x v="0"/>
    <n v="1"/>
    <x v="4"/>
    <x v="0"/>
    <n v="10"/>
    <x v="3"/>
    <x v="3"/>
  </r>
  <r>
    <d v="2019-12-12T00:00:00"/>
    <x v="2"/>
    <d v="1912-04-29T00:00:00"/>
    <x v="6"/>
    <x v="0"/>
    <n v="1"/>
    <x v="11"/>
    <x v="0"/>
    <n v="8"/>
    <x v="3"/>
    <x v="3"/>
  </r>
  <r>
    <d v="2019-12-12T00:00:00"/>
    <x v="2"/>
    <d v="1912-04-29T00:00:00"/>
    <x v="6"/>
    <x v="0"/>
    <n v="1"/>
    <x v="13"/>
    <x v="0"/>
    <n v="3"/>
    <x v="3"/>
    <x v="3"/>
  </r>
  <r>
    <d v="2019-12-12T00:00:00"/>
    <x v="2"/>
    <d v="1912-04-29T00:00:00"/>
    <x v="6"/>
    <x v="0"/>
    <n v="1"/>
    <x v="17"/>
    <x v="0"/>
    <n v="22"/>
    <x v="3"/>
    <x v="3"/>
  </r>
  <r>
    <d v="2019-12-12T00:00:00"/>
    <x v="2"/>
    <d v="1912-04-29T00:00:00"/>
    <x v="6"/>
    <x v="0"/>
    <n v="1"/>
    <x v="14"/>
    <x v="0"/>
    <n v="21"/>
    <x v="3"/>
    <x v="3"/>
  </r>
  <r>
    <d v="2019-12-12T00:00:00"/>
    <x v="2"/>
    <d v="1917-12-08T00:00:00"/>
    <x v="7"/>
    <x v="1"/>
    <n v="1"/>
    <x v="0"/>
    <x v="0"/>
    <n v="1"/>
    <x v="3"/>
    <x v="3"/>
  </r>
  <r>
    <d v="2019-12-12T00:00:00"/>
    <x v="2"/>
    <d v="1917-12-08T00:00:00"/>
    <x v="7"/>
    <x v="1"/>
    <n v="1"/>
    <x v="20"/>
    <x v="0"/>
    <n v="7"/>
    <x v="3"/>
    <x v="3"/>
  </r>
  <r>
    <d v="2019-12-12T00:00:00"/>
    <x v="2"/>
    <d v="1917-12-08T00:00:00"/>
    <x v="7"/>
    <x v="1"/>
    <n v="1"/>
    <x v="24"/>
    <x v="0"/>
    <n v="3"/>
    <x v="3"/>
    <x v="3"/>
  </r>
  <r>
    <d v="2019-12-12T00:00:00"/>
    <x v="2"/>
    <d v="1917-12-08T00:00:00"/>
    <x v="7"/>
    <x v="1"/>
    <n v="1"/>
    <x v="23"/>
    <x v="0"/>
    <n v="2"/>
    <x v="3"/>
    <x v="3"/>
  </r>
  <r>
    <d v="2019-12-12T00:00:00"/>
    <x v="2"/>
    <d v="1917-12-08T00:00:00"/>
    <x v="7"/>
    <x v="1"/>
    <n v="1"/>
    <x v="21"/>
    <x v="0"/>
    <n v="14"/>
    <x v="3"/>
    <x v="3"/>
  </r>
  <r>
    <d v="2019-12-12T00:00:00"/>
    <x v="2"/>
    <d v="1917-12-08T00:00:00"/>
    <x v="7"/>
    <x v="1"/>
    <n v="1"/>
    <x v="16"/>
    <x v="0"/>
    <n v="5"/>
    <x v="3"/>
    <x v="3"/>
  </r>
  <r>
    <d v="2019-12-12T00:00:00"/>
    <x v="2"/>
    <d v="1917-12-08T00:00:00"/>
    <x v="7"/>
    <x v="1"/>
    <n v="1"/>
    <x v="17"/>
    <x v="0"/>
    <n v="14"/>
    <x v="3"/>
    <x v="3"/>
  </r>
  <r>
    <d v="2019-12-12T00:00:00"/>
    <x v="2"/>
    <d v="1917-12-08T00:00:00"/>
    <x v="7"/>
    <x v="0"/>
    <n v="1"/>
    <x v="4"/>
    <x v="0"/>
    <n v="1"/>
    <x v="3"/>
    <x v="3"/>
  </r>
  <r>
    <d v="2019-12-12T00:00:00"/>
    <x v="2"/>
    <d v="1917-12-08T00:00:00"/>
    <x v="7"/>
    <x v="0"/>
    <n v="1"/>
    <x v="0"/>
    <x v="0"/>
    <n v="3"/>
    <x v="3"/>
    <x v="3"/>
  </r>
  <r>
    <d v="2019-12-12T00:00:00"/>
    <x v="2"/>
    <d v="1917-12-08T00:00:00"/>
    <x v="7"/>
    <x v="0"/>
    <n v="1"/>
    <x v="11"/>
    <x v="0"/>
    <n v="6"/>
    <x v="3"/>
    <x v="3"/>
  </r>
  <r>
    <d v="2019-12-12T00:00:00"/>
    <x v="2"/>
    <d v="1917-12-08T00:00:00"/>
    <x v="7"/>
    <x v="0"/>
    <n v="1"/>
    <x v="5"/>
    <x v="0"/>
    <n v="2"/>
    <x v="3"/>
    <x v="3"/>
  </r>
  <r>
    <d v="2019-12-12T00:00:00"/>
    <x v="2"/>
    <d v="1917-12-08T00:00:00"/>
    <x v="7"/>
    <x v="0"/>
    <n v="1"/>
    <x v="1"/>
    <x v="0"/>
    <n v="4"/>
    <x v="3"/>
    <x v="3"/>
  </r>
  <r>
    <d v="2019-12-12T00:00:00"/>
    <x v="2"/>
    <d v="1917-12-08T00:00:00"/>
    <x v="7"/>
    <x v="0"/>
    <n v="1"/>
    <x v="7"/>
    <x v="0"/>
    <n v="7"/>
    <x v="3"/>
    <x v="3"/>
  </r>
  <r>
    <d v="2019-12-12T00:00:00"/>
    <x v="2"/>
    <d v="1917-12-08T00:00:00"/>
    <x v="7"/>
    <x v="0"/>
    <n v="1"/>
    <x v="13"/>
    <x v="0"/>
    <n v="4"/>
    <x v="3"/>
    <x v="3"/>
  </r>
  <r>
    <d v="2019-12-12T00:00:00"/>
    <x v="2"/>
    <d v="1917-12-08T00:00:00"/>
    <x v="7"/>
    <x v="0"/>
    <n v="1"/>
    <x v="3"/>
    <x v="0"/>
    <n v="1"/>
    <x v="3"/>
    <x v="3"/>
  </r>
  <r>
    <d v="2019-12-12T00:00:00"/>
    <x v="2"/>
    <d v="1917-12-08T00:00:00"/>
    <x v="7"/>
    <x v="0"/>
    <n v="1"/>
    <x v="9"/>
    <x v="0"/>
    <n v="30"/>
    <x v="3"/>
    <x v="3"/>
  </r>
  <r>
    <d v="2019-12-12T00:00:00"/>
    <x v="2"/>
    <d v="1917-12-08T00:00:00"/>
    <x v="7"/>
    <x v="0"/>
    <n v="1"/>
    <x v="10"/>
    <x v="0"/>
    <n v="2"/>
    <x v="3"/>
    <x v="3"/>
  </r>
  <r>
    <d v="2019-12-12T00:00:00"/>
    <x v="2"/>
    <d v="1917-12-08T00:00:00"/>
    <x v="7"/>
    <x v="0"/>
    <n v="2"/>
    <x v="4"/>
    <x v="0"/>
    <n v="1"/>
    <x v="3"/>
    <x v="3"/>
  </r>
  <r>
    <d v="2019-12-12T00:00:00"/>
    <x v="2"/>
    <d v="1917-12-08T00:00:00"/>
    <x v="7"/>
    <x v="0"/>
    <n v="2"/>
    <x v="11"/>
    <x v="0"/>
    <n v="5"/>
    <x v="3"/>
    <x v="3"/>
  </r>
  <r>
    <d v="2019-12-12T00:00:00"/>
    <x v="2"/>
    <d v="1917-12-08T00:00:00"/>
    <x v="7"/>
    <x v="0"/>
    <n v="2"/>
    <x v="5"/>
    <x v="0"/>
    <n v="3"/>
    <x v="3"/>
    <x v="3"/>
  </r>
  <r>
    <d v="2019-12-12T00:00:00"/>
    <x v="2"/>
    <d v="1917-12-08T00:00:00"/>
    <x v="7"/>
    <x v="0"/>
    <n v="2"/>
    <x v="1"/>
    <x v="0"/>
    <n v="1"/>
    <x v="3"/>
    <x v="3"/>
  </r>
  <r>
    <d v="2019-12-12T00:00:00"/>
    <x v="2"/>
    <d v="1917-12-08T00:00:00"/>
    <x v="7"/>
    <x v="0"/>
    <n v="2"/>
    <x v="7"/>
    <x v="0"/>
    <n v="6"/>
    <x v="3"/>
    <x v="3"/>
  </r>
  <r>
    <d v="2019-12-12T00:00:00"/>
    <x v="2"/>
    <d v="1917-12-08T00:00:00"/>
    <x v="7"/>
    <x v="1"/>
    <n v="1"/>
    <x v="24"/>
    <x v="0"/>
    <n v="2"/>
    <x v="3"/>
    <x v="3"/>
  </r>
  <r>
    <d v="2019-12-12T00:00:00"/>
    <x v="2"/>
    <d v="1917-12-08T00:00:00"/>
    <x v="7"/>
    <x v="1"/>
    <n v="1"/>
    <x v="1"/>
    <x v="0"/>
    <n v="8"/>
    <x v="3"/>
    <x v="3"/>
  </r>
  <r>
    <d v="2019-12-12T00:00:00"/>
    <x v="2"/>
    <d v="1917-12-08T00:00:00"/>
    <x v="7"/>
    <x v="1"/>
    <n v="1"/>
    <x v="6"/>
    <x v="0"/>
    <n v="5"/>
    <x v="3"/>
    <x v="3"/>
  </r>
  <r>
    <d v="2019-12-12T00:00:00"/>
    <x v="2"/>
    <d v="1917-12-08T00:00:00"/>
    <x v="7"/>
    <x v="1"/>
    <n v="1"/>
    <x v="7"/>
    <x v="0"/>
    <n v="15"/>
    <x v="3"/>
    <x v="3"/>
  </r>
  <r>
    <d v="2019-12-12T00:00:00"/>
    <x v="2"/>
    <d v="1917-12-08T00:00:00"/>
    <x v="7"/>
    <x v="1"/>
    <n v="1"/>
    <x v="21"/>
    <x v="0"/>
    <n v="5"/>
    <x v="3"/>
    <x v="3"/>
  </r>
  <r>
    <d v="2019-12-12T00:00:00"/>
    <x v="2"/>
    <d v="1917-12-08T00:00:00"/>
    <x v="7"/>
    <x v="1"/>
    <n v="1"/>
    <x v="9"/>
    <x v="0"/>
    <n v="5"/>
    <x v="3"/>
    <x v="3"/>
  </r>
  <r>
    <d v="2019-12-12T00:00:00"/>
    <x v="2"/>
    <d v="1917-12-08T00:00:00"/>
    <x v="7"/>
    <x v="1"/>
    <n v="1"/>
    <x v="10"/>
    <x v="0"/>
    <n v="6"/>
    <x v="3"/>
    <x v="3"/>
  </r>
  <r>
    <d v="2019-12-12T00:00:00"/>
    <x v="2"/>
    <d v="1917-12-08T00:00:00"/>
    <x v="7"/>
    <x v="0"/>
    <n v="1"/>
    <x v="0"/>
    <x v="0"/>
    <n v="16"/>
    <x v="3"/>
    <x v="3"/>
  </r>
  <r>
    <d v="2019-12-12T00:00:00"/>
    <x v="2"/>
    <d v="1917-12-08T00:00:00"/>
    <x v="7"/>
    <x v="0"/>
    <n v="1"/>
    <x v="1"/>
    <x v="0"/>
    <n v="7"/>
    <x v="3"/>
    <x v="3"/>
  </r>
  <r>
    <d v="2019-12-12T00:00:00"/>
    <x v="2"/>
    <d v="1917-12-08T00:00:00"/>
    <x v="7"/>
    <x v="0"/>
    <n v="1"/>
    <x v="21"/>
    <x v="0"/>
    <n v="40"/>
    <x v="3"/>
    <x v="3"/>
  </r>
  <r>
    <d v="2019-12-12T00:00:00"/>
    <x v="2"/>
    <d v="1917-12-08T00:00:00"/>
    <x v="7"/>
    <x v="0"/>
    <n v="2"/>
    <x v="17"/>
    <x v="0"/>
    <n v="9"/>
    <x v="3"/>
    <x v="3"/>
  </r>
  <r>
    <d v="2019-12-12T00:00:00"/>
    <x v="2"/>
    <d v="1920-01-02T00:00:00"/>
    <x v="25"/>
    <x v="1"/>
    <n v="1"/>
    <x v="11"/>
    <x v="0"/>
    <n v="2"/>
    <x v="3"/>
    <x v="3"/>
  </r>
  <r>
    <d v="2019-12-12T00:00:00"/>
    <x v="2"/>
    <d v="1920-01-02T00:00:00"/>
    <x v="25"/>
    <x v="1"/>
    <n v="1"/>
    <x v="5"/>
    <x v="0"/>
    <n v="4"/>
    <x v="3"/>
    <x v="3"/>
  </r>
  <r>
    <d v="2019-12-12T00:00:00"/>
    <x v="2"/>
    <d v="1920-01-02T00:00:00"/>
    <x v="25"/>
    <x v="1"/>
    <n v="1"/>
    <x v="2"/>
    <x v="0"/>
    <n v="33"/>
    <x v="3"/>
    <x v="3"/>
  </r>
  <r>
    <d v="2019-12-12T00:00:00"/>
    <x v="2"/>
    <d v="1920-01-02T00:00:00"/>
    <x v="25"/>
    <x v="1"/>
    <n v="1"/>
    <x v="13"/>
    <x v="0"/>
    <n v="11"/>
    <x v="3"/>
    <x v="3"/>
  </r>
  <r>
    <d v="2019-12-12T00:00:00"/>
    <x v="2"/>
    <d v="1920-01-02T00:00:00"/>
    <x v="25"/>
    <x v="1"/>
    <n v="1"/>
    <x v="3"/>
    <x v="0"/>
    <n v="1"/>
    <x v="3"/>
    <x v="3"/>
  </r>
  <r>
    <d v="2019-12-12T00:00:00"/>
    <x v="2"/>
    <d v="1920-01-02T00:00:00"/>
    <x v="25"/>
    <x v="1"/>
    <n v="1"/>
    <x v="19"/>
    <x v="0"/>
    <n v="14"/>
    <x v="3"/>
    <x v="3"/>
  </r>
  <r>
    <d v="2019-12-12T00:00:00"/>
    <x v="2"/>
    <d v="1920-01-02T00:00:00"/>
    <x v="25"/>
    <x v="1"/>
    <n v="1"/>
    <x v="17"/>
    <x v="0"/>
    <n v="4"/>
    <x v="3"/>
    <x v="3"/>
  </r>
  <r>
    <d v="2019-12-12T00:00:00"/>
    <x v="2"/>
    <d v="1920-01-02T00:00:00"/>
    <x v="25"/>
    <x v="0"/>
    <n v="1"/>
    <x v="4"/>
    <x v="0"/>
    <n v="3"/>
    <x v="3"/>
    <x v="3"/>
  </r>
  <r>
    <d v="2019-12-12T00:00:00"/>
    <x v="2"/>
    <d v="1920-01-02T00:00:00"/>
    <x v="25"/>
    <x v="0"/>
    <n v="1"/>
    <x v="0"/>
    <x v="0"/>
    <n v="1"/>
    <x v="3"/>
    <x v="3"/>
  </r>
  <r>
    <d v="2019-12-12T00:00:00"/>
    <x v="2"/>
    <d v="1920-01-02T00:00:00"/>
    <x v="25"/>
    <x v="0"/>
    <n v="1"/>
    <x v="11"/>
    <x v="0"/>
    <n v="7"/>
    <x v="3"/>
    <x v="3"/>
  </r>
  <r>
    <d v="2019-12-12T00:00:00"/>
    <x v="2"/>
    <d v="1920-01-02T00:00:00"/>
    <x v="25"/>
    <x v="0"/>
    <n v="1"/>
    <x v="5"/>
    <x v="0"/>
    <n v="10"/>
    <x v="3"/>
    <x v="3"/>
  </r>
  <r>
    <d v="2019-12-12T00:00:00"/>
    <x v="2"/>
    <d v="1920-01-02T00:00:00"/>
    <x v="25"/>
    <x v="0"/>
    <n v="1"/>
    <x v="2"/>
    <x v="0"/>
    <n v="3"/>
    <x v="3"/>
    <x v="3"/>
  </r>
  <r>
    <d v="2019-12-12T00:00:00"/>
    <x v="2"/>
    <d v="1920-01-02T00:00:00"/>
    <x v="25"/>
    <x v="0"/>
    <n v="1"/>
    <x v="6"/>
    <x v="0"/>
    <n v="8"/>
    <x v="3"/>
    <x v="3"/>
  </r>
  <r>
    <d v="2019-12-12T00:00:00"/>
    <x v="2"/>
    <d v="1920-01-02T00:00:00"/>
    <x v="25"/>
    <x v="0"/>
    <n v="1"/>
    <x v="23"/>
    <x v="0"/>
    <n v="3"/>
    <x v="3"/>
    <x v="3"/>
  </r>
  <r>
    <d v="2019-12-12T00:00:00"/>
    <x v="2"/>
    <d v="1920-01-02T00:00:00"/>
    <x v="25"/>
    <x v="0"/>
    <n v="1"/>
    <x v="7"/>
    <x v="0"/>
    <n v="13"/>
    <x v="3"/>
    <x v="3"/>
  </r>
  <r>
    <d v="2019-12-12T00:00:00"/>
    <x v="2"/>
    <d v="1920-01-02T00:00:00"/>
    <x v="25"/>
    <x v="0"/>
    <n v="1"/>
    <x v="13"/>
    <x v="0"/>
    <n v="3"/>
    <x v="3"/>
    <x v="3"/>
  </r>
  <r>
    <d v="2019-12-12T00:00:00"/>
    <x v="2"/>
    <d v="1920-01-02T00:00:00"/>
    <x v="25"/>
    <x v="0"/>
    <n v="1"/>
    <x v="3"/>
    <x v="0"/>
    <n v="10"/>
    <x v="3"/>
    <x v="3"/>
  </r>
  <r>
    <d v="2019-12-12T00:00:00"/>
    <x v="2"/>
    <d v="1920-01-02T00:00:00"/>
    <x v="25"/>
    <x v="0"/>
    <n v="1"/>
    <x v="9"/>
    <x v="0"/>
    <n v="7"/>
    <x v="3"/>
    <x v="3"/>
  </r>
  <r>
    <d v="2019-12-12T00:00:00"/>
    <x v="2"/>
    <d v="1920-01-02T00:00:00"/>
    <x v="25"/>
    <x v="0"/>
    <n v="1"/>
    <x v="10"/>
    <x v="0"/>
    <n v="1"/>
    <x v="3"/>
    <x v="3"/>
  </r>
  <r>
    <d v="2019-12-12T00:00:00"/>
    <x v="2"/>
    <d v="1920-01-02T00:00:00"/>
    <x v="25"/>
    <x v="0"/>
    <n v="2"/>
    <x v="4"/>
    <x v="0"/>
    <n v="8"/>
    <x v="3"/>
    <x v="3"/>
  </r>
  <r>
    <d v="2019-12-12T00:00:00"/>
    <x v="2"/>
    <d v="1920-01-02T00:00:00"/>
    <x v="25"/>
    <x v="0"/>
    <n v="2"/>
    <x v="11"/>
    <x v="0"/>
    <n v="5"/>
    <x v="3"/>
    <x v="3"/>
  </r>
  <r>
    <d v="2019-12-12T00:00:00"/>
    <x v="2"/>
    <d v="1920-01-02T00:00:00"/>
    <x v="25"/>
    <x v="0"/>
    <n v="2"/>
    <x v="7"/>
    <x v="0"/>
    <n v="3"/>
    <x v="3"/>
    <x v="3"/>
  </r>
  <r>
    <d v="2019-12-12T00:00:00"/>
    <x v="2"/>
    <d v="1920-01-02T00:00:00"/>
    <x v="25"/>
    <x v="1"/>
    <n v="1"/>
    <x v="4"/>
    <x v="0"/>
    <n v="12"/>
    <x v="3"/>
    <x v="3"/>
  </r>
  <r>
    <d v="2019-12-12T00:00:00"/>
    <x v="2"/>
    <d v="1920-01-02T00:00:00"/>
    <x v="25"/>
    <x v="1"/>
    <n v="1"/>
    <x v="0"/>
    <x v="0"/>
    <n v="3"/>
    <x v="3"/>
    <x v="3"/>
  </r>
  <r>
    <d v="2019-12-12T00:00:00"/>
    <x v="2"/>
    <d v="1920-01-02T00:00:00"/>
    <x v="25"/>
    <x v="1"/>
    <n v="1"/>
    <x v="11"/>
    <x v="0"/>
    <n v="22"/>
    <x v="3"/>
    <x v="3"/>
  </r>
  <r>
    <d v="2019-12-12T00:00:00"/>
    <x v="2"/>
    <d v="1920-01-02T00:00:00"/>
    <x v="25"/>
    <x v="1"/>
    <n v="1"/>
    <x v="5"/>
    <x v="0"/>
    <n v="2"/>
    <x v="3"/>
    <x v="3"/>
  </r>
  <r>
    <d v="2019-12-12T00:00:00"/>
    <x v="2"/>
    <d v="1920-01-02T00:00:00"/>
    <x v="25"/>
    <x v="1"/>
    <n v="1"/>
    <x v="2"/>
    <x v="0"/>
    <n v="4"/>
    <x v="3"/>
    <x v="3"/>
  </r>
  <r>
    <d v="2019-12-12T00:00:00"/>
    <x v="2"/>
    <d v="1920-01-02T00:00:00"/>
    <x v="25"/>
    <x v="1"/>
    <n v="1"/>
    <x v="7"/>
    <x v="0"/>
    <n v="11"/>
    <x v="3"/>
    <x v="3"/>
  </r>
  <r>
    <d v="2019-12-12T00:00:00"/>
    <x v="2"/>
    <d v="1920-01-02T00:00:00"/>
    <x v="25"/>
    <x v="1"/>
    <n v="1"/>
    <x v="13"/>
    <x v="0"/>
    <n v="5"/>
    <x v="3"/>
    <x v="3"/>
  </r>
  <r>
    <d v="2019-12-12T00:00:00"/>
    <x v="2"/>
    <d v="1920-01-02T00:00:00"/>
    <x v="25"/>
    <x v="1"/>
    <n v="1"/>
    <x v="3"/>
    <x v="0"/>
    <n v="2"/>
    <x v="3"/>
    <x v="3"/>
  </r>
  <r>
    <d v="2019-12-12T00:00:00"/>
    <x v="2"/>
    <d v="1920-01-02T00:00:00"/>
    <x v="25"/>
    <x v="1"/>
    <n v="1"/>
    <x v="9"/>
    <x v="0"/>
    <n v="4"/>
    <x v="3"/>
    <x v="3"/>
  </r>
  <r>
    <d v="2019-12-12T00:00:00"/>
    <x v="2"/>
    <d v="1920-01-02T00:00:00"/>
    <x v="25"/>
    <x v="1"/>
    <n v="1"/>
    <x v="10"/>
    <x v="0"/>
    <n v="4"/>
    <x v="3"/>
    <x v="3"/>
  </r>
  <r>
    <d v="2019-12-12T00:00:00"/>
    <x v="2"/>
    <d v="1920-01-02T00:00:00"/>
    <x v="25"/>
    <x v="0"/>
    <n v="1"/>
    <x v="20"/>
    <x v="0"/>
    <n v="23"/>
    <x v="3"/>
    <x v="3"/>
  </r>
  <r>
    <d v="2019-12-12T00:00:00"/>
    <x v="2"/>
    <d v="1920-01-02T00:00:00"/>
    <x v="25"/>
    <x v="0"/>
    <n v="1"/>
    <x v="2"/>
    <x v="0"/>
    <n v="22"/>
    <x v="3"/>
    <x v="3"/>
  </r>
  <r>
    <d v="2019-12-12T00:00:00"/>
    <x v="2"/>
    <d v="1920-01-02T00:00:00"/>
    <x v="25"/>
    <x v="0"/>
    <n v="1"/>
    <x v="23"/>
    <x v="0"/>
    <n v="9"/>
    <x v="3"/>
    <x v="3"/>
  </r>
  <r>
    <d v="2019-12-12T00:00:00"/>
    <x v="2"/>
    <d v="1920-01-02T00:00:00"/>
    <x v="25"/>
    <x v="0"/>
    <n v="1"/>
    <x v="7"/>
    <x v="0"/>
    <n v="16"/>
    <x v="3"/>
    <x v="3"/>
  </r>
  <r>
    <d v="2019-12-12T00:00:00"/>
    <x v="2"/>
    <d v="1920-01-02T00:00:00"/>
    <x v="25"/>
    <x v="0"/>
    <n v="1"/>
    <x v="13"/>
    <x v="0"/>
    <n v="15"/>
    <x v="3"/>
    <x v="3"/>
  </r>
  <r>
    <d v="2019-12-12T00:00:00"/>
    <x v="2"/>
    <d v="1922-10-03T00:00:00"/>
    <x v="9"/>
    <x v="0"/>
    <n v="2"/>
    <x v="20"/>
    <x v="0"/>
    <n v="3"/>
    <x v="3"/>
    <x v="3"/>
  </r>
  <r>
    <d v="2019-12-12T00:00:00"/>
    <x v="2"/>
    <d v="1922-10-03T00:00:00"/>
    <x v="9"/>
    <x v="0"/>
    <n v="2"/>
    <x v="16"/>
    <x v="0"/>
    <n v="19"/>
    <x v="3"/>
    <x v="3"/>
  </r>
  <r>
    <d v="2019-12-12T00:00:00"/>
    <x v="2"/>
    <d v="1922-10-03T00:00:00"/>
    <x v="9"/>
    <x v="0"/>
    <n v="2"/>
    <x v="17"/>
    <x v="0"/>
    <n v="28"/>
    <x v="3"/>
    <x v="3"/>
  </r>
  <r>
    <d v="2019-12-12T00:00:00"/>
    <x v="2"/>
    <d v="1922-10-03T00:00:00"/>
    <x v="9"/>
    <x v="0"/>
    <n v="2"/>
    <x v="14"/>
    <x v="0"/>
    <n v="14"/>
    <x v="3"/>
    <x v="3"/>
  </r>
  <r>
    <d v="2019-12-12T00:00:00"/>
    <x v="2"/>
    <d v="1922-10-03T00:00:00"/>
    <x v="9"/>
    <x v="1"/>
    <n v="1"/>
    <x v="4"/>
    <x v="0"/>
    <n v="12"/>
    <x v="3"/>
    <x v="3"/>
  </r>
  <r>
    <d v="2019-12-12T00:00:00"/>
    <x v="2"/>
    <d v="1922-10-03T00:00:00"/>
    <x v="9"/>
    <x v="1"/>
    <n v="1"/>
    <x v="0"/>
    <x v="0"/>
    <n v="7"/>
    <x v="3"/>
    <x v="3"/>
  </r>
  <r>
    <d v="2019-12-12T00:00:00"/>
    <x v="2"/>
    <d v="1922-10-03T00:00:00"/>
    <x v="9"/>
    <x v="1"/>
    <n v="1"/>
    <x v="11"/>
    <x v="0"/>
    <n v="14"/>
    <x v="3"/>
    <x v="3"/>
  </r>
  <r>
    <d v="2019-12-12T00:00:00"/>
    <x v="2"/>
    <d v="1922-10-03T00:00:00"/>
    <x v="9"/>
    <x v="1"/>
    <n v="1"/>
    <x v="5"/>
    <x v="0"/>
    <n v="2"/>
    <x v="3"/>
    <x v="3"/>
  </r>
  <r>
    <d v="2019-12-12T00:00:00"/>
    <x v="2"/>
    <d v="1922-10-03T00:00:00"/>
    <x v="9"/>
    <x v="1"/>
    <n v="1"/>
    <x v="2"/>
    <x v="0"/>
    <n v="1"/>
    <x v="3"/>
    <x v="3"/>
  </r>
  <r>
    <d v="2019-12-12T00:00:00"/>
    <x v="2"/>
    <d v="1922-10-03T00:00:00"/>
    <x v="9"/>
    <x v="1"/>
    <n v="1"/>
    <x v="6"/>
    <x v="0"/>
    <n v="3"/>
    <x v="3"/>
    <x v="3"/>
  </r>
  <r>
    <d v="2019-12-12T00:00:00"/>
    <x v="2"/>
    <d v="1922-10-03T00:00:00"/>
    <x v="9"/>
    <x v="1"/>
    <n v="1"/>
    <x v="3"/>
    <x v="0"/>
    <n v="3"/>
    <x v="3"/>
    <x v="3"/>
  </r>
  <r>
    <d v="2019-12-12T00:00:00"/>
    <x v="2"/>
    <d v="1922-10-03T00:00:00"/>
    <x v="9"/>
    <x v="1"/>
    <n v="2"/>
    <x v="6"/>
    <x v="0"/>
    <n v="13"/>
    <x v="3"/>
    <x v="3"/>
  </r>
  <r>
    <d v="2019-12-12T00:00:00"/>
    <x v="2"/>
    <d v="1922-10-03T00:00:00"/>
    <x v="9"/>
    <x v="1"/>
    <n v="1"/>
    <x v="18"/>
    <x v="1"/>
    <n v="12"/>
    <x v="3"/>
    <x v="3"/>
  </r>
  <r>
    <d v="2019-12-12T00:00:00"/>
    <x v="2"/>
    <d v="1922-10-03T00:00:00"/>
    <x v="9"/>
    <x v="1"/>
    <n v="1"/>
    <x v="1"/>
    <x v="1"/>
    <n v="16"/>
    <x v="3"/>
    <x v="3"/>
  </r>
  <r>
    <d v="2019-12-12T00:00:00"/>
    <x v="2"/>
    <d v="1922-10-03T00:00:00"/>
    <x v="9"/>
    <x v="1"/>
    <n v="1"/>
    <x v="7"/>
    <x v="1"/>
    <n v="2"/>
    <x v="3"/>
    <x v="3"/>
  </r>
  <r>
    <d v="2019-12-12T00:00:00"/>
    <x v="2"/>
    <d v="1922-10-03T00:00:00"/>
    <x v="9"/>
    <x v="1"/>
    <n v="1"/>
    <x v="13"/>
    <x v="1"/>
    <n v="11"/>
    <x v="3"/>
    <x v="3"/>
  </r>
  <r>
    <d v="2019-12-12T00:00:00"/>
    <x v="2"/>
    <d v="1922-10-03T00:00:00"/>
    <x v="9"/>
    <x v="1"/>
    <n v="2"/>
    <x v="0"/>
    <x v="1"/>
    <n v="14"/>
    <x v="3"/>
    <x v="3"/>
  </r>
  <r>
    <d v="2019-12-12T00:00:00"/>
    <x v="2"/>
    <d v="1922-10-03T00:00:00"/>
    <x v="9"/>
    <x v="0"/>
    <n v="1"/>
    <x v="4"/>
    <x v="1"/>
    <n v="1"/>
    <x v="3"/>
    <x v="3"/>
  </r>
  <r>
    <d v="2019-12-12T00:00:00"/>
    <x v="2"/>
    <d v="1922-10-03T00:00:00"/>
    <x v="9"/>
    <x v="0"/>
    <n v="1"/>
    <x v="0"/>
    <x v="1"/>
    <n v="5"/>
    <x v="3"/>
    <x v="3"/>
  </r>
  <r>
    <d v="2019-12-12T00:00:00"/>
    <x v="2"/>
    <d v="1922-10-03T00:00:00"/>
    <x v="9"/>
    <x v="0"/>
    <n v="1"/>
    <x v="11"/>
    <x v="1"/>
    <n v="6"/>
    <x v="3"/>
    <x v="3"/>
  </r>
  <r>
    <d v="2019-12-12T00:00:00"/>
    <x v="2"/>
    <d v="1922-10-03T00:00:00"/>
    <x v="9"/>
    <x v="0"/>
    <n v="1"/>
    <x v="5"/>
    <x v="1"/>
    <n v="5"/>
    <x v="3"/>
    <x v="3"/>
  </r>
  <r>
    <d v="2019-12-12T00:00:00"/>
    <x v="2"/>
    <d v="1922-10-03T00:00:00"/>
    <x v="9"/>
    <x v="0"/>
    <n v="1"/>
    <x v="6"/>
    <x v="1"/>
    <n v="17"/>
    <x v="3"/>
    <x v="3"/>
  </r>
  <r>
    <d v="2019-12-12T00:00:00"/>
    <x v="2"/>
    <d v="1922-10-03T00:00:00"/>
    <x v="9"/>
    <x v="0"/>
    <n v="1"/>
    <x v="7"/>
    <x v="1"/>
    <n v="11"/>
    <x v="3"/>
    <x v="3"/>
  </r>
  <r>
    <d v="2019-12-12T00:00:00"/>
    <x v="2"/>
    <d v="1922-10-03T00:00:00"/>
    <x v="9"/>
    <x v="0"/>
    <n v="1"/>
    <x v="13"/>
    <x v="1"/>
    <n v="6"/>
    <x v="3"/>
    <x v="3"/>
  </r>
  <r>
    <d v="2019-12-12T00:00:00"/>
    <x v="2"/>
    <d v="1922-10-03T00:00:00"/>
    <x v="9"/>
    <x v="0"/>
    <n v="1"/>
    <x v="3"/>
    <x v="1"/>
    <n v="4"/>
    <x v="3"/>
    <x v="3"/>
  </r>
  <r>
    <d v="2019-12-12T00:00:00"/>
    <x v="2"/>
    <d v="1922-10-03T00:00:00"/>
    <x v="9"/>
    <x v="0"/>
    <n v="1"/>
    <x v="9"/>
    <x v="1"/>
    <n v="6"/>
    <x v="3"/>
    <x v="3"/>
  </r>
  <r>
    <d v="2019-12-12T00:00:00"/>
    <x v="2"/>
    <d v="1922-10-03T00:00:00"/>
    <x v="9"/>
    <x v="0"/>
    <n v="1"/>
    <x v="16"/>
    <x v="1"/>
    <n v="3"/>
    <x v="3"/>
    <x v="3"/>
  </r>
  <r>
    <d v="2019-12-12T00:00:00"/>
    <x v="2"/>
    <d v="1925-06-25T00:00:00"/>
    <x v="8"/>
    <x v="1"/>
    <n v="1"/>
    <x v="4"/>
    <x v="0"/>
    <n v="18"/>
    <x v="3"/>
    <x v="3"/>
  </r>
  <r>
    <d v="2019-12-12T00:00:00"/>
    <x v="2"/>
    <d v="1925-06-25T00:00:00"/>
    <x v="8"/>
    <x v="1"/>
    <n v="1"/>
    <x v="0"/>
    <x v="0"/>
    <n v="1"/>
    <x v="3"/>
    <x v="3"/>
  </r>
  <r>
    <d v="2019-12-12T00:00:00"/>
    <x v="2"/>
    <d v="1925-06-25T00:00:00"/>
    <x v="8"/>
    <x v="1"/>
    <n v="1"/>
    <x v="11"/>
    <x v="0"/>
    <n v="2"/>
    <x v="3"/>
    <x v="3"/>
  </r>
  <r>
    <d v="2019-12-12T00:00:00"/>
    <x v="2"/>
    <d v="1925-06-25T00:00:00"/>
    <x v="8"/>
    <x v="1"/>
    <n v="1"/>
    <x v="1"/>
    <x v="0"/>
    <n v="4"/>
    <x v="3"/>
    <x v="3"/>
  </r>
  <r>
    <d v="2019-12-12T00:00:00"/>
    <x v="2"/>
    <d v="1925-06-25T00:00:00"/>
    <x v="8"/>
    <x v="1"/>
    <n v="1"/>
    <x v="6"/>
    <x v="0"/>
    <n v="4"/>
    <x v="3"/>
    <x v="3"/>
  </r>
  <r>
    <d v="2019-12-12T00:00:00"/>
    <x v="2"/>
    <d v="1925-06-25T00:00:00"/>
    <x v="8"/>
    <x v="1"/>
    <n v="1"/>
    <x v="7"/>
    <x v="0"/>
    <n v="13"/>
    <x v="3"/>
    <x v="3"/>
  </r>
  <r>
    <d v="2019-12-12T00:00:00"/>
    <x v="2"/>
    <d v="1925-06-25T00:00:00"/>
    <x v="8"/>
    <x v="1"/>
    <n v="1"/>
    <x v="3"/>
    <x v="0"/>
    <n v="4"/>
    <x v="3"/>
    <x v="3"/>
  </r>
  <r>
    <d v="2019-12-12T00:00:00"/>
    <x v="2"/>
    <d v="1925-06-25T00:00:00"/>
    <x v="8"/>
    <x v="1"/>
    <n v="1"/>
    <x v="9"/>
    <x v="0"/>
    <n v="5"/>
    <x v="3"/>
    <x v="3"/>
  </r>
  <r>
    <d v="2019-12-12T00:00:00"/>
    <x v="2"/>
    <d v="1925-06-25T00:00:00"/>
    <x v="8"/>
    <x v="1"/>
    <n v="2"/>
    <x v="6"/>
    <x v="0"/>
    <n v="1"/>
    <x v="3"/>
    <x v="3"/>
  </r>
  <r>
    <d v="2019-12-12T00:00:00"/>
    <x v="2"/>
    <d v="1925-06-25T00:00:00"/>
    <x v="8"/>
    <x v="1"/>
    <n v="2"/>
    <x v="26"/>
    <x v="0"/>
    <n v="1"/>
    <x v="3"/>
    <x v="3"/>
  </r>
  <r>
    <d v="2019-12-12T00:00:00"/>
    <x v="2"/>
    <d v="1925-06-25T00:00:00"/>
    <x v="8"/>
    <x v="1"/>
    <n v="2"/>
    <x v="9"/>
    <x v="0"/>
    <n v="2"/>
    <x v="3"/>
    <x v="3"/>
  </r>
  <r>
    <d v="2019-12-12T00:00:00"/>
    <x v="2"/>
    <d v="1925-06-25T00:00:00"/>
    <x v="8"/>
    <x v="1"/>
    <n v="2"/>
    <x v="10"/>
    <x v="0"/>
    <n v="8"/>
    <x v="3"/>
    <x v="3"/>
  </r>
  <r>
    <d v="2019-12-12T00:00:00"/>
    <x v="2"/>
    <d v="1925-06-25T00:00:00"/>
    <x v="8"/>
    <x v="0"/>
    <n v="1"/>
    <x v="4"/>
    <x v="0"/>
    <n v="3"/>
    <x v="3"/>
    <x v="3"/>
  </r>
  <r>
    <d v="2019-12-12T00:00:00"/>
    <x v="2"/>
    <d v="1925-06-25T00:00:00"/>
    <x v="8"/>
    <x v="0"/>
    <n v="1"/>
    <x v="0"/>
    <x v="0"/>
    <n v="20"/>
    <x v="3"/>
    <x v="3"/>
  </r>
  <r>
    <d v="2019-12-12T00:00:00"/>
    <x v="2"/>
    <d v="1925-06-25T00:00:00"/>
    <x v="8"/>
    <x v="0"/>
    <n v="1"/>
    <x v="12"/>
    <x v="0"/>
    <n v="6"/>
    <x v="3"/>
    <x v="3"/>
  </r>
  <r>
    <d v="2019-12-12T00:00:00"/>
    <x v="2"/>
    <d v="1925-06-25T00:00:00"/>
    <x v="8"/>
    <x v="0"/>
    <n v="1"/>
    <x v="20"/>
    <x v="0"/>
    <n v="10"/>
    <x v="3"/>
    <x v="3"/>
  </r>
  <r>
    <d v="2019-12-12T00:00:00"/>
    <x v="2"/>
    <d v="1925-06-25T00:00:00"/>
    <x v="8"/>
    <x v="0"/>
    <n v="1"/>
    <x v="2"/>
    <x v="0"/>
    <n v="44"/>
    <x v="3"/>
    <x v="3"/>
  </r>
  <r>
    <d v="2019-12-12T00:00:00"/>
    <x v="2"/>
    <d v="1925-06-25T00:00:00"/>
    <x v="8"/>
    <x v="0"/>
    <n v="1"/>
    <x v="7"/>
    <x v="0"/>
    <n v="5"/>
    <x v="3"/>
    <x v="3"/>
  </r>
  <r>
    <d v="2019-12-12T00:00:00"/>
    <x v="2"/>
    <d v="1925-06-25T00:00:00"/>
    <x v="8"/>
    <x v="0"/>
    <n v="1"/>
    <x v="13"/>
    <x v="0"/>
    <n v="18"/>
    <x v="3"/>
    <x v="3"/>
  </r>
  <r>
    <d v="2019-12-12T00:00:00"/>
    <x v="2"/>
    <d v="1925-06-25T00:00:00"/>
    <x v="8"/>
    <x v="0"/>
    <n v="1"/>
    <x v="3"/>
    <x v="0"/>
    <n v="25"/>
    <x v="3"/>
    <x v="3"/>
  </r>
  <r>
    <d v="2019-12-12T00:00:00"/>
    <x v="2"/>
    <d v="1925-06-25T00:00:00"/>
    <x v="8"/>
    <x v="1"/>
    <n v="1"/>
    <x v="20"/>
    <x v="1"/>
    <n v="37"/>
    <x v="3"/>
    <x v="3"/>
  </r>
  <r>
    <d v="2019-12-12T00:00:00"/>
    <x v="2"/>
    <d v="1925-06-25T00:00:00"/>
    <x v="8"/>
    <x v="1"/>
    <n v="1"/>
    <x v="5"/>
    <x v="1"/>
    <n v="1"/>
    <x v="3"/>
    <x v="3"/>
  </r>
  <r>
    <d v="2019-12-12T00:00:00"/>
    <x v="2"/>
    <d v="1925-06-25T00:00:00"/>
    <x v="8"/>
    <x v="1"/>
    <n v="1"/>
    <x v="2"/>
    <x v="1"/>
    <n v="5"/>
    <x v="3"/>
    <x v="3"/>
  </r>
  <r>
    <d v="2019-12-12T00:00:00"/>
    <x v="2"/>
    <d v="1925-06-25T00:00:00"/>
    <x v="8"/>
    <x v="1"/>
    <n v="1"/>
    <x v="3"/>
    <x v="1"/>
    <n v="1"/>
    <x v="3"/>
    <x v="3"/>
  </r>
  <r>
    <d v="2019-12-12T00:00:00"/>
    <x v="2"/>
    <d v="1925-06-25T00:00:00"/>
    <x v="8"/>
    <x v="1"/>
    <n v="2"/>
    <x v="20"/>
    <x v="1"/>
    <n v="15"/>
    <x v="3"/>
    <x v="3"/>
  </r>
  <r>
    <d v="2019-12-12T00:00:00"/>
    <x v="2"/>
    <d v="1925-06-25T00:00:00"/>
    <x v="8"/>
    <x v="1"/>
    <n v="2"/>
    <x v="29"/>
    <x v="1"/>
    <n v="4"/>
    <x v="3"/>
    <x v="3"/>
  </r>
  <r>
    <d v="2019-12-12T00:00:00"/>
    <x v="2"/>
    <d v="1925-06-25T00:00:00"/>
    <x v="8"/>
    <x v="0"/>
    <n v="1"/>
    <x v="4"/>
    <x v="1"/>
    <n v="22"/>
    <x v="3"/>
    <x v="3"/>
  </r>
  <r>
    <d v="2019-12-12T00:00:00"/>
    <x v="2"/>
    <d v="1925-06-25T00:00:00"/>
    <x v="8"/>
    <x v="0"/>
    <n v="1"/>
    <x v="0"/>
    <x v="1"/>
    <n v="3"/>
    <x v="3"/>
    <x v="3"/>
  </r>
  <r>
    <d v="2019-12-12T00:00:00"/>
    <x v="2"/>
    <d v="1925-06-25T00:00:00"/>
    <x v="8"/>
    <x v="0"/>
    <n v="1"/>
    <x v="11"/>
    <x v="1"/>
    <n v="7"/>
    <x v="3"/>
    <x v="3"/>
  </r>
  <r>
    <d v="2019-12-12T00:00:00"/>
    <x v="2"/>
    <d v="1925-06-25T00:00:00"/>
    <x v="8"/>
    <x v="0"/>
    <n v="1"/>
    <x v="12"/>
    <x v="1"/>
    <n v="8"/>
    <x v="3"/>
    <x v="3"/>
  </r>
  <r>
    <d v="2019-12-12T00:00:00"/>
    <x v="2"/>
    <d v="1925-06-25T00:00:00"/>
    <x v="8"/>
    <x v="0"/>
    <n v="1"/>
    <x v="5"/>
    <x v="1"/>
    <n v="3"/>
    <x v="3"/>
    <x v="3"/>
  </r>
  <r>
    <d v="2019-12-12T00:00:00"/>
    <x v="2"/>
    <d v="1925-06-25T00:00:00"/>
    <x v="8"/>
    <x v="0"/>
    <n v="1"/>
    <x v="6"/>
    <x v="1"/>
    <n v="11"/>
    <x v="3"/>
    <x v="3"/>
  </r>
  <r>
    <d v="2019-12-12T00:00:00"/>
    <x v="2"/>
    <d v="1925-06-25T00:00:00"/>
    <x v="8"/>
    <x v="0"/>
    <n v="1"/>
    <x v="26"/>
    <x v="1"/>
    <n v="3"/>
    <x v="3"/>
    <x v="3"/>
  </r>
  <r>
    <d v="2019-12-12T00:00:00"/>
    <x v="2"/>
    <d v="1925-06-25T00:00:00"/>
    <x v="8"/>
    <x v="0"/>
    <n v="1"/>
    <x v="7"/>
    <x v="1"/>
    <n v="26"/>
    <x v="3"/>
    <x v="3"/>
  </r>
  <r>
    <d v="2019-12-12T00:00:00"/>
    <x v="2"/>
    <d v="1925-06-25T00:00:00"/>
    <x v="8"/>
    <x v="0"/>
    <n v="1"/>
    <x v="13"/>
    <x v="1"/>
    <n v="10"/>
    <x v="3"/>
    <x v="3"/>
  </r>
  <r>
    <d v="2019-12-12T00:00:00"/>
    <x v="2"/>
    <d v="1925-06-25T00:00:00"/>
    <x v="8"/>
    <x v="0"/>
    <n v="1"/>
    <x v="3"/>
    <x v="1"/>
    <n v="9"/>
    <x v="3"/>
    <x v="3"/>
  </r>
  <r>
    <d v="2019-12-12T00:00:00"/>
    <x v="2"/>
    <d v="1925-06-25T00:00:00"/>
    <x v="8"/>
    <x v="0"/>
    <n v="1"/>
    <x v="9"/>
    <x v="1"/>
    <n v="7"/>
    <x v="3"/>
    <x v="3"/>
  </r>
  <r>
    <d v="2019-12-12T00:00:00"/>
    <x v="2"/>
    <d v="1925-06-25T00:00:00"/>
    <x v="8"/>
    <x v="0"/>
    <n v="1"/>
    <x v="10"/>
    <x v="1"/>
    <n v="7"/>
    <x v="3"/>
    <x v="3"/>
  </r>
  <r>
    <d v="2019-12-12T00:00:00"/>
    <x v="2"/>
    <d v="1925-06-25T00:00:00"/>
    <x v="8"/>
    <x v="0"/>
    <n v="2"/>
    <x v="4"/>
    <x v="1"/>
    <n v="3"/>
    <x v="3"/>
    <x v="3"/>
  </r>
  <r>
    <d v="2019-12-12T00:00:00"/>
    <x v="2"/>
    <d v="1925-06-25T00:00:00"/>
    <x v="8"/>
    <x v="0"/>
    <n v="2"/>
    <x v="0"/>
    <x v="1"/>
    <n v="8"/>
    <x v="3"/>
    <x v="3"/>
  </r>
  <r>
    <d v="2019-12-12T00:00:00"/>
    <x v="2"/>
    <d v="1925-06-25T00:00:00"/>
    <x v="8"/>
    <x v="0"/>
    <n v="2"/>
    <x v="11"/>
    <x v="1"/>
    <n v="18"/>
    <x v="3"/>
    <x v="3"/>
  </r>
  <r>
    <d v="2019-12-12T00:00:00"/>
    <x v="2"/>
    <d v="1925-06-25T00:00:00"/>
    <x v="8"/>
    <x v="0"/>
    <n v="2"/>
    <x v="5"/>
    <x v="1"/>
    <n v="4"/>
    <x v="3"/>
    <x v="3"/>
  </r>
  <r>
    <d v="2019-12-12T00:00:00"/>
    <x v="2"/>
    <d v="1925-06-25T00:00:00"/>
    <x v="8"/>
    <x v="0"/>
    <n v="2"/>
    <x v="13"/>
    <x v="1"/>
    <n v="2"/>
    <x v="3"/>
    <x v="3"/>
  </r>
  <r>
    <d v="2019-12-12T00:00:00"/>
    <x v="2"/>
    <d v="1925-06-25T00:00:00"/>
    <x v="8"/>
    <x v="0"/>
    <n v="2"/>
    <x v="3"/>
    <x v="1"/>
    <n v="10"/>
    <x v="3"/>
    <x v="3"/>
  </r>
  <r>
    <d v="2019-12-12T00:00:00"/>
    <x v="2"/>
    <d v="1925-06-30T00:00:00"/>
    <x v="12"/>
    <x v="1"/>
    <n v="1"/>
    <x v="27"/>
    <x v="0"/>
    <n v="1"/>
    <x v="3"/>
    <x v="3"/>
  </r>
  <r>
    <d v="2019-12-12T00:00:00"/>
    <x v="2"/>
    <d v="1925-06-30T00:00:00"/>
    <x v="12"/>
    <x v="1"/>
    <n v="1"/>
    <x v="11"/>
    <x v="0"/>
    <n v="1"/>
    <x v="3"/>
    <x v="3"/>
  </r>
  <r>
    <d v="2019-12-12T00:00:00"/>
    <x v="2"/>
    <d v="1925-06-30T00:00:00"/>
    <x v="12"/>
    <x v="1"/>
    <n v="1"/>
    <x v="33"/>
    <x v="0"/>
    <n v="3"/>
    <x v="3"/>
    <x v="3"/>
  </r>
  <r>
    <d v="2019-12-12T00:00:00"/>
    <x v="2"/>
    <d v="1925-06-30T00:00:00"/>
    <x v="12"/>
    <x v="1"/>
    <n v="1"/>
    <x v="28"/>
    <x v="0"/>
    <n v="8"/>
    <x v="3"/>
    <x v="3"/>
  </r>
  <r>
    <d v="2019-12-12T00:00:00"/>
    <x v="2"/>
    <d v="1925-06-30T00:00:00"/>
    <x v="12"/>
    <x v="1"/>
    <n v="1"/>
    <x v="5"/>
    <x v="0"/>
    <n v="1"/>
    <x v="3"/>
    <x v="3"/>
  </r>
  <r>
    <d v="2019-12-12T00:00:00"/>
    <x v="2"/>
    <d v="1925-06-30T00:00:00"/>
    <x v="12"/>
    <x v="1"/>
    <n v="1"/>
    <x v="29"/>
    <x v="0"/>
    <n v="4"/>
    <x v="3"/>
    <x v="3"/>
  </r>
  <r>
    <d v="2019-12-12T00:00:00"/>
    <x v="2"/>
    <d v="1925-06-30T00:00:00"/>
    <x v="12"/>
    <x v="1"/>
    <n v="1"/>
    <x v="13"/>
    <x v="0"/>
    <n v="1"/>
    <x v="3"/>
    <x v="3"/>
  </r>
  <r>
    <d v="2019-12-12T00:00:00"/>
    <x v="2"/>
    <d v="1925-06-30T00:00:00"/>
    <x v="12"/>
    <x v="1"/>
    <n v="1"/>
    <x v="3"/>
    <x v="0"/>
    <n v="4"/>
    <x v="3"/>
    <x v="3"/>
  </r>
  <r>
    <d v="2019-12-12T00:00:00"/>
    <x v="2"/>
    <d v="1925-06-30T00:00:00"/>
    <x v="12"/>
    <x v="1"/>
    <n v="1"/>
    <x v="16"/>
    <x v="0"/>
    <n v="7"/>
    <x v="3"/>
    <x v="3"/>
  </r>
  <r>
    <d v="2019-12-12T00:00:00"/>
    <x v="2"/>
    <d v="1925-06-30T00:00:00"/>
    <x v="12"/>
    <x v="1"/>
    <n v="1"/>
    <x v="30"/>
    <x v="0"/>
    <n v="3"/>
    <x v="3"/>
    <x v="3"/>
  </r>
  <r>
    <d v="2019-12-12T00:00:00"/>
    <x v="2"/>
    <d v="1925-07-05T00:00:00"/>
    <x v="10"/>
    <x v="1"/>
    <n v="1"/>
    <x v="4"/>
    <x v="0"/>
    <n v="5"/>
    <x v="3"/>
    <x v="3"/>
  </r>
  <r>
    <d v="2019-12-12T00:00:00"/>
    <x v="2"/>
    <d v="1925-07-05T00:00:00"/>
    <x v="10"/>
    <x v="1"/>
    <n v="1"/>
    <x v="15"/>
    <x v="0"/>
    <n v="2"/>
    <x v="3"/>
    <x v="3"/>
  </r>
  <r>
    <d v="2019-12-12T00:00:00"/>
    <x v="2"/>
    <d v="1925-07-05T00:00:00"/>
    <x v="10"/>
    <x v="1"/>
    <n v="1"/>
    <x v="21"/>
    <x v="0"/>
    <n v="2"/>
    <x v="3"/>
    <x v="3"/>
  </r>
  <r>
    <d v="2019-12-12T00:00:00"/>
    <x v="2"/>
    <d v="1925-07-05T00:00:00"/>
    <x v="10"/>
    <x v="1"/>
    <n v="1"/>
    <x v="13"/>
    <x v="0"/>
    <n v="4"/>
    <x v="3"/>
    <x v="3"/>
  </r>
  <r>
    <d v="2019-12-12T00:00:00"/>
    <x v="2"/>
    <d v="1925-07-05T00:00:00"/>
    <x v="10"/>
    <x v="1"/>
    <n v="1"/>
    <x v="9"/>
    <x v="0"/>
    <n v="1"/>
    <x v="3"/>
    <x v="3"/>
  </r>
  <r>
    <d v="2019-12-12T00:00:00"/>
    <x v="2"/>
    <d v="1925-07-05T00:00:00"/>
    <x v="10"/>
    <x v="0"/>
    <n v="1"/>
    <x v="22"/>
    <x v="0"/>
    <n v="22"/>
    <x v="3"/>
    <x v="3"/>
  </r>
  <r>
    <d v="2019-12-12T00:00:00"/>
    <x v="2"/>
    <d v="1925-07-05T00:00:00"/>
    <x v="10"/>
    <x v="0"/>
    <n v="1"/>
    <x v="8"/>
    <x v="0"/>
    <n v="9"/>
    <x v="3"/>
    <x v="3"/>
  </r>
  <r>
    <d v="2019-12-12T00:00:00"/>
    <x v="2"/>
    <d v="1925-07-05T00:00:00"/>
    <x v="10"/>
    <x v="1"/>
    <n v="1"/>
    <x v="11"/>
    <x v="1"/>
    <n v="2"/>
    <x v="3"/>
    <x v="3"/>
  </r>
  <r>
    <d v="2019-12-12T00:00:00"/>
    <x v="2"/>
    <d v="1925-07-05T00:00:00"/>
    <x v="10"/>
    <x v="1"/>
    <n v="1"/>
    <x v="22"/>
    <x v="1"/>
    <n v="9"/>
    <x v="3"/>
    <x v="3"/>
  </r>
  <r>
    <d v="2019-12-12T00:00:00"/>
    <x v="2"/>
    <d v="1925-07-05T00:00:00"/>
    <x v="10"/>
    <x v="1"/>
    <n v="1"/>
    <x v="13"/>
    <x v="1"/>
    <n v="1"/>
    <x v="3"/>
    <x v="3"/>
  </r>
  <r>
    <d v="2019-12-12T00:00:00"/>
    <x v="2"/>
    <d v="1925-07-05T00:00:00"/>
    <x v="10"/>
    <x v="1"/>
    <n v="1"/>
    <x v="3"/>
    <x v="1"/>
    <n v="2"/>
    <x v="3"/>
    <x v="3"/>
  </r>
  <r>
    <d v="2019-12-12T00:00:00"/>
    <x v="2"/>
    <d v="1925-07-05T00:00:00"/>
    <x v="10"/>
    <x v="0"/>
    <n v="1"/>
    <x v="4"/>
    <x v="1"/>
    <n v="5"/>
    <x v="3"/>
    <x v="3"/>
  </r>
  <r>
    <d v="2019-12-12T00:00:00"/>
    <x v="2"/>
    <d v="1925-07-05T00:00:00"/>
    <x v="10"/>
    <x v="0"/>
    <n v="1"/>
    <x v="0"/>
    <x v="1"/>
    <n v="1"/>
    <x v="3"/>
    <x v="3"/>
  </r>
  <r>
    <d v="2019-12-12T00:00:00"/>
    <x v="2"/>
    <d v="1925-07-05T00:00:00"/>
    <x v="10"/>
    <x v="0"/>
    <n v="1"/>
    <x v="15"/>
    <x v="1"/>
    <n v="3"/>
    <x v="3"/>
    <x v="3"/>
  </r>
  <r>
    <d v="2019-12-12T00:00:00"/>
    <x v="2"/>
    <d v="1925-07-05T00:00:00"/>
    <x v="10"/>
    <x v="0"/>
    <n v="1"/>
    <x v="24"/>
    <x v="1"/>
    <n v="1"/>
    <x v="3"/>
    <x v="3"/>
  </r>
  <r>
    <d v="2019-12-12T00:00:00"/>
    <x v="2"/>
    <d v="1925-07-05T00:00:00"/>
    <x v="10"/>
    <x v="0"/>
    <n v="1"/>
    <x v="1"/>
    <x v="1"/>
    <n v="3"/>
    <x v="3"/>
    <x v="3"/>
  </r>
  <r>
    <d v="2019-12-12T00:00:00"/>
    <x v="2"/>
    <d v="1925-07-05T00:00:00"/>
    <x v="10"/>
    <x v="0"/>
    <n v="1"/>
    <x v="6"/>
    <x v="1"/>
    <n v="1"/>
    <x v="3"/>
    <x v="3"/>
  </r>
  <r>
    <d v="2019-12-12T00:00:00"/>
    <x v="2"/>
    <d v="1925-07-05T00:00:00"/>
    <x v="10"/>
    <x v="0"/>
    <n v="1"/>
    <x v="7"/>
    <x v="1"/>
    <n v="2"/>
    <x v="3"/>
    <x v="3"/>
  </r>
  <r>
    <d v="2019-12-12T00:00:00"/>
    <x v="2"/>
    <d v="1925-07-05T00:00:00"/>
    <x v="10"/>
    <x v="0"/>
    <n v="1"/>
    <x v="21"/>
    <x v="1"/>
    <n v="7"/>
    <x v="3"/>
    <x v="3"/>
  </r>
  <r>
    <d v="2019-12-12T00:00:00"/>
    <x v="2"/>
    <d v="1925-07-05T00:00:00"/>
    <x v="10"/>
    <x v="0"/>
    <n v="1"/>
    <x v="13"/>
    <x v="1"/>
    <n v="2"/>
    <x v="3"/>
    <x v="3"/>
  </r>
  <r>
    <d v="2019-12-12T00:00:00"/>
    <x v="2"/>
    <d v="1925-07-05T00:00:00"/>
    <x v="10"/>
    <x v="0"/>
    <n v="1"/>
    <x v="9"/>
    <x v="1"/>
    <n v="1"/>
    <x v="3"/>
    <x v="3"/>
  </r>
  <r>
    <d v="2019-12-12T00:00:00"/>
    <x v="2"/>
    <d v="1925-07-05T00:00:00"/>
    <x v="10"/>
    <x v="0"/>
    <n v="1"/>
    <x v="19"/>
    <x v="1"/>
    <n v="3"/>
    <x v="3"/>
    <x v="3"/>
  </r>
  <r>
    <d v="2019-12-12T00:00:00"/>
    <x v="2"/>
    <d v="1925-07-05T00:00:00"/>
    <x v="10"/>
    <x v="0"/>
    <n v="1"/>
    <x v="30"/>
    <x v="1"/>
    <n v="1"/>
    <x v="3"/>
    <x v="3"/>
  </r>
  <r>
    <d v="2019-12-12T00:00:00"/>
    <x v="2"/>
    <d v="1902-12-29T00:00:00"/>
    <x v="15"/>
    <x v="1"/>
    <n v="1"/>
    <x v="27"/>
    <x v="0"/>
    <n v="13"/>
    <x v="3"/>
    <x v="3"/>
  </r>
  <r>
    <d v="2019-12-12T00:00:00"/>
    <x v="2"/>
    <d v="1902-12-29T00:00:00"/>
    <x v="15"/>
    <x v="1"/>
    <n v="1"/>
    <x v="33"/>
    <x v="0"/>
    <n v="1"/>
    <x v="3"/>
    <x v="3"/>
  </r>
  <r>
    <d v="2019-12-12T00:00:00"/>
    <x v="2"/>
    <d v="1902-12-29T00:00:00"/>
    <x v="15"/>
    <x v="1"/>
    <n v="1"/>
    <x v="15"/>
    <x v="0"/>
    <n v="15"/>
    <x v="3"/>
    <x v="3"/>
  </r>
  <r>
    <d v="2019-12-12T00:00:00"/>
    <x v="2"/>
    <d v="1902-12-29T00:00:00"/>
    <x v="15"/>
    <x v="1"/>
    <n v="1"/>
    <x v="25"/>
    <x v="0"/>
    <n v="3"/>
    <x v="3"/>
    <x v="3"/>
  </r>
  <r>
    <d v="2019-12-12T00:00:00"/>
    <x v="2"/>
    <d v="1902-12-29T00:00:00"/>
    <x v="15"/>
    <x v="1"/>
    <n v="1"/>
    <x v="23"/>
    <x v="0"/>
    <n v="3"/>
    <x v="3"/>
    <x v="3"/>
  </r>
  <r>
    <d v="2019-12-12T00:00:00"/>
    <x v="2"/>
    <d v="1902-12-29T00:00:00"/>
    <x v="15"/>
    <x v="1"/>
    <n v="1"/>
    <x v="21"/>
    <x v="0"/>
    <n v="9"/>
    <x v="3"/>
    <x v="3"/>
  </r>
  <r>
    <d v="2019-12-12T00:00:00"/>
    <x v="2"/>
    <d v="1902-12-29T00:00:00"/>
    <x v="15"/>
    <x v="1"/>
    <n v="1"/>
    <x v="16"/>
    <x v="0"/>
    <n v="3"/>
    <x v="3"/>
    <x v="3"/>
  </r>
  <r>
    <d v="2019-12-12T00:00:00"/>
    <x v="2"/>
    <d v="1902-12-29T00:00:00"/>
    <x v="15"/>
    <x v="1"/>
    <n v="1"/>
    <x v="19"/>
    <x v="0"/>
    <n v="3"/>
    <x v="3"/>
    <x v="3"/>
  </r>
  <r>
    <d v="2019-12-12T00:00:00"/>
    <x v="2"/>
    <d v="1902-12-29T00:00:00"/>
    <x v="15"/>
    <x v="0"/>
    <n v="1"/>
    <x v="0"/>
    <x v="0"/>
    <n v="5"/>
    <x v="3"/>
    <x v="3"/>
  </r>
  <r>
    <d v="2019-12-12T00:00:00"/>
    <x v="2"/>
    <d v="1902-12-29T00:00:00"/>
    <x v="15"/>
    <x v="0"/>
    <n v="1"/>
    <x v="2"/>
    <x v="0"/>
    <n v="2"/>
    <x v="3"/>
    <x v="3"/>
  </r>
  <r>
    <d v="2019-12-12T00:00:00"/>
    <x v="2"/>
    <d v="1902-12-29T00:00:00"/>
    <x v="15"/>
    <x v="0"/>
    <n v="1"/>
    <x v="21"/>
    <x v="0"/>
    <n v="20"/>
    <x v="3"/>
    <x v="3"/>
  </r>
  <r>
    <d v="2019-12-12T00:00:00"/>
    <x v="2"/>
    <d v="1902-12-29T00:00:00"/>
    <x v="15"/>
    <x v="0"/>
    <n v="1"/>
    <x v="13"/>
    <x v="0"/>
    <n v="20"/>
    <x v="3"/>
    <x v="3"/>
  </r>
  <r>
    <d v="2019-12-12T00:00:00"/>
    <x v="1"/>
    <d v="1904-09-29T00:00:00"/>
    <x v="19"/>
    <x v="1"/>
    <n v="1"/>
    <x v="27"/>
    <x v="0"/>
    <n v="4"/>
    <x v="3"/>
    <x v="3"/>
  </r>
  <r>
    <d v="2019-12-12T00:00:00"/>
    <x v="1"/>
    <d v="1904-09-29T00:00:00"/>
    <x v="19"/>
    <x v="1"/>
    <n v="1"/>
    <x v="33"/>
    <x v="0"/>
    <n v="2"/>
    <x v="3"/>
    <x v="3"/>
  </r>
  <r>
    <d v="2019-12-12T00:00:00"/>
    <x v="1"/>
    <d v="1904-09-29T00:00:00"/>
    <x v="19"/>
    <x v="1"/>
    <n v="1"/>
    <x v="31"/>
    <x v="0"/>
    <n v="4"/>
    <x v="3"/>
    <x v="3"/>
  </r>
  <r>
    <d v="2019-12-12T00:00:00"/>
    <x v="1"/>
    <d v="1904-09-29T00:00:00"/>
    <x v="19"/>
    <x v="1"/>
    <n v="1"/>
    <x v="15"/>
    <x v="0"/>
    <n v="10"/>
    <x v="3"/>
    <x v="3"/>
  </r>
  <r>
    <d v="2019-12-12T00:00:00"/>
    <x v="1"/>
    <d v="1904-09-29T00:00:00"/>
    <x v="19"/>
    <x v="1"/>
    <n v="1"/>
    <x v="24"/>
    <x v="0"/>
    <n v="3"/>
    <x v="3"/>
    <x v="3"/>
  </r>
  <r>
    <d v="2019-12-12T00:00:00"/>
    <x v="1"/>
    <d v="1904-09-29T00:00:00"/>
    <x v="19"/>
    <x v="1"/>
    <n v="1"/>
    <x v="34"/>
    <x v="0"/>
    <n v="11"/>
    <x v="3"/>
    <x v="3"/>
  </r>
  <r>
    <d v="2019-12-12T00:00:00"/>
    <x v="1"/>
    <d v="1904-09-29T00:00:00"/>
    <x v="19"/>
    <x v="1"/>
    <n v="1"/>
    <x v="23"/>
    <x v="0"/>
    <n v="4"/>
    <x v="3"/>
    <x v="3"/>
  </r>
  <r>
    <d v="2019-12-12T00:00:00"/>
    <x v="1"/>
    <d v="1904-09-29T00:00:00"/>
    <x v="19"/>
    <x v="1"/>
    <n v="1"/>
    <x v="21"/>
    <x v="0"/>
    <n v="1"/>
    <x v="3"/>
    <x v="3"/>
  </r>
  <r>
    <d v="2019-12-12T00:00:00"/>
    <x v="1"/>
    <d v="1904-09-29T00:00:00"/>
    <x v="19"/>
    <x v="1"/>
    <n v="1"/>
    <x v="19"/>
    <x v="0"/>
    <n v="3"/>
    <x v="3"/>
    <x v="3"/>
  </r>
  <r>
    <d v="2019-12-12T00:00:00"/>
    <x v="1"/>
    <d v="1904-09-29T00:00:00"/>
    <x v="19"/>
    <x v="1"/>
    <n v="2"/>
    <x v="20"/>
    <x v="0"/>
    <n v="16"/>
    <x v="3"/>
    <x v="3"/>
  </r>
  <r>
    <d v="2019-12-12T00:00:00"/>
    <x v="1"/>
    <d v="1904-09-29T00:00:00"/>
    <x v="19"/>
    <x v="1"/>
    <n v="2"/>
    <x v="15"/>
    <x v="0"/>
    <n v="3"/>
    <x v="3"/>
    <x v="3"/>
  </r>
  <r>
    <d v="2019-12-12T00:00:00"/>
    <x v="1"/>
    <d v="1904-09-29T00:00:00"/>
    <x v="19"/>
    <x v="1"/>
    <n v="2"/>
    <x v="2"/>
    <x v="0"/>
    <n v="11"/>
    <x v="3"/>
    <x v="3"/>
  </r>
  <r>
    <d v="2019-12-12T00:00:00"/>
    <x v="1"/>
    <d v="1904-09-29T00:00:00"/>
    <x v="19"/>
    <x v="1"/>
    <n v="2"/>
    <x v="21"/>
    <x v="0"/>
    <n v="11"/>
    <x v="3"/>
    <x v="3"/>
  </r>
  <r>
    <d v="2019-12-12T00:00:00"/>
    <x v="1"/>
    <d v="1904-09-29T00:00:00"/>
    <x v="19"/>
    <x v="0"/>
    <n v="1"/>
    <x v="12"/>
    <x v="0"/>
    <n v="4"/>
    <x v="3"/>
    <x v="3"/>
  </r>
  <r>
    <d v="2019-12-12T00:00:00"/>
    <x v="1"/>
    <d v="1904-09-29T00:00:00"/>
    <x v="19"/>
    <x v="0"/>
    <n v="1"/>
    <x v="20"/>
    <x v="0"/>
    <n v="31"/>
    <x v="3"/>
    <x v="3"/>
  </r>
  <r>
    <d v="2019-12-12T00:00:00"/>
    <x v="1"/>
    <d v="1904-09-29T00:00:00"/>
    <x v="19"/>
    <x v="0"/>
    <n v="1"/>
    <x v="26"/>
    <x v="0"/>
    <n v="2"/>
    <x v="3"/>
    <x v="3"/>
  </r>
  <r>
    <d v="2019-12-12T00:00:00"/>
    <x v="1"/>
    <d v="1904-09-29T00:00:00"/>
    <x v="19"/>
    <x v="0"/>
    <n v="1"/>
    <x v="19"/>
    <x v="0"/>
    <n v="24"/>
    <x v="3"/>
    <x v="3"/>
  </r>
  <r>
    <d v="2019-12-12T00:00:00"/>
    <x v="1"/>
    <d v="1904-09-29T00:00:00"/>
    <x v="19"/>
    <x v="0"/>
    <n v="2"/>
    <x v="27"/>
    <x v="0"/>
    <n v="2"/>
    <x v="3"/>
    <x v="3"/>
  </r>
  <r>
    <d v="2019-12-12T00:00:00"/>
    <x v="1"/>
    <d v="1904-09-29T00:00:00"/>
    <x v="19"/>
    <x v="0"/>
    <n v="2"/>
    <x v="33"/>
    <x v="0"/>
    <n v="1"/>
    <x v="3"/>
    <x v="3"/>
  </r>
  <r>
    <d v="2019-12-12T00:00:00"/>
    <x v="1"/>
    <d v="1904-09-29T00:00:00"/>
    <x v="19"/>
    <x v="0"/>
    <n v="2"/>
    <x v="15"/>
    <x v="0"/>
    <n v="20"/>
    <x v="3"/>
    <x v="3"/>
  </r>
  <r>
    <d v="2019-12-12T00:00:00"/>
    <x v="1"/>
    <d v="1904-09-29T00:00:00"/>
    <x v="19"/>
    <x v="0"/>
    <n v="2"/>
    <x v="24"/>
    <x v="0"/>
    <n v="1"/>
    <x v="3"/>
    <x v="3"/>
  </r>
  <r>
    <d v="2019-12-12T00:00:00"/>
    <x v="1"/>
    <d v="1904-09-29T00:00:00"/>
    <x v="19"/>
    <x v="0"/>
    <n v="2"/>
    <x v="25"/>
    <x v="0"/>
    <n v="5"/>
    <x v="3"/>
    <x v="3"/>
  </r>
  <r>
    <d v="2019-12-12T00:00:00"/>
    <x v="1"/>
    <d v="1904-09-29T00:00:00"/>
    <x v="19"/>
    <x v="0"/>
    <n v="2"/>
    <x v="34"/>
    <x v="0"/>
    <n v="6"/>
    <x v="3"/>
    <x v="3"/>
  </r>
  <r>
    <d v="2019-12-12T00:00:00"/>
    <x v="1"/>
    <d v="1904-09-29T00:00:00"/>
    <x v="19"/>
    <x v="0"/>
    <n v="2"/>
    <x v="23"/>
    <x v="0"/>
    <n v="13"/>
    <x v="3"/>
    <x v="3"/>
  </r>
  <r>
    <d v="2019-12-12T00:00:00"/>
    <x v="1"/>
    <d v="1904-09-29T00:00:00"/>
    <x v="19"/>
    <x v="0"/>
    <n v="2"/>
    <x v="21"/>
    <x v="0"/>
    <n v="10"/>
    <x v="3"/>
    <x v="3"/>
  </r>
  <r>
    <d v="2019-12-12T00:00:00"/>
    <x v="1"/>
    <d v="1904-09-29T00:00:00"/>
    <x v="19"/>
    <x v="0"/>
    <n v="2"/>
    <x v="19"/>
    <x v="0"/>
    <n v="1"/>
    <x v="3"/>
    <x v="3"/>
  </r>
  <r>
    <d v="2019-12-12T00:00:00"/>
    <x v="2"/>
    <d v="1904-09-29T00:00:00"/>
    <x v="12"/>
    <x v="1"/>
    <n v="1"/>
    <x v="27"/>
    <x v="1"/>
    <n v="4"/>
    <x v="3"/>
    <x v="3"/>
  </r>
  <r>
    <d v="2019-12-12T00:00:00"/>
    <x v="2"/>
    <d v="1904-09-29T00:00:00"/>
    <x v="12"/>
    <x v="1"/>
    <n v="1"/>
    <x v="33"/>
    <x v="1"/>
    <n v="2"/>
    <x v="3"/>
    <x v="3"/>
  </r>
  <r>
    <d v="2019-12-12T00:00:00"/>
    <x v="2"/>
    <d v="1904-09-29T00:00:00"/>
    <x v="12"/>
    <x v="1"/>
    <n v="1"/>
    <x v="31"/>
    <x v="1"/>
    <n v="4"/>
    <x v="3"/>
    <x v="3"/>
  </r>
  <r>
    <d v="2019-12-12T00:00:00"/>
    <x v="2"/>
    <d v="1904-09-29T00:00:00"/>
    <x v="12"/>
    <x v="1"/>
    <n v="1"/>
    <x v="15"/>
    <x v="1"/>
    <n v="10"/>
    <x v="3"/>
    <x v="3"/>
  </r>
  <r>
    <d v="2019-12-12T00:00:00"/>
    <x v="2"/>
    <d v="1904-09-29T00:00:00"/>
    <x v="12"/>
    <x v="1"/>
    <n v="1"/>
    <x v="24"/>
    <x v="1"/>
    <n v="3"/>
    <x v="3"/>
    <x v="3"/>
  </r>
  <r>
    <d v="2019-12-12T00:00:00"/>
    <x v="2"/>
    <d v="1904-09-29T00:00:00"/>
    <x v="12"/>
    <x v="1"/>
    <n v="1"/>
    <x v="34"/>
    <x v="1"/>
    <n v="8"/>
    <x v="3"/>
    <x v="3"/>
  </r>
  <r>
    <d v="2019-12-12T00:00:00"/>
    <x v="2"/>
    <d v="1904-09-29T00:00:00"/>
    <x v="12"/>
    <x v="1"/>
    <n v="1"/>
    <x v="23"/>
    <x v="1"/>
    <n v="5"/>
    <x v="3"/>
    <x v="3"/>
  </r>
  <r>
    <d v="2019-12-12T00:00:00"/>
    <x v="2"/>
    <d v="1904-09-29T00:00:00"/>
    <x v="12"/>
    <x v="1"/>
    <n v="1"/>
    <x v="21"/>
    <x v="1"/>
    <n v="1"/>
    <x v="3"/>
    <x v="3"/>
  </r>
  <r>
    <d v="2019-12-12T00:00:00"/>
    <x v="2"/>
    <d v="1904-09-29T00:00:00"/>
    <x v="12"/>
    <x v="1"/>
    <n v="1"/>
    <x v="19"/>
    <x v="1"/>
    <n v="5"/>
    <x v="3"/>
    <x v="3"/>
  </r>
  <r>
    <d v="2019-12-12T00:00:00"/>
    <x v="2"/>
    <d v="1904-09-29T00:00:00"/>
    <x v="12"/>
    <x v="1"/>
    <n v="2"/>
    <x v="20"/>
    <x v="1"/>
    <n v="16"/>
    <x v="3"/>
    <x v="3"/>
  </r>
  <r>
    <d v="2019-12-12T00:00:00"/>
    <x v="2"/>
    <d v="1904-09-29T00:00:00"/>
    <x v="12"/>
    <x v="1"/>
    <n v="2"/>
    <x v="15"/>
    <x v="1"/>
    <n v="3"/>
    <x v="3"/>
    <x v="3"/>
  </r>
  <r>
    <d v="2019-12-12T00:00:00"/>
    <x v="2"/>
    <d v="1904-09-29T00:00:00"/>
    <x v="12"/>
    <x v="1"/>
    <n v="2"/>
    <x v="5"/>
    <x v="1"/>
    <n v="1"/>
    <x v="3"/>
    <x v="3"/>
  </r>
  <r>
    <d v="2019-12-12T00:00:00"/>
    <x v="2"/>
    <d v="1904-09-29T00:00:00"/>
    <x v="12"/>
    <x v="1"/>
    <n v="2"/>
    <x v="2"/>
    <x v="1"/>
    <n v="11"/>
    <x v="3"/>
    <x v="3"/>
  </r>
  <r>
    <d v="2019-12-12T00:00:00"/>
    <x v="2"/>
    <d v="1904-09-29T00:00:00"/>
    <x v="12"/>
    <x v="1"/>
    <n v="2"/>
    <x v="26"/>
    <x v="1"/>
    <n v="1"/>
    <x v="3"/>
    <x v="3"/>
  </r>
  <r>
    <d v="2019-12-12T00:00:00"/>
    <x v="2"/>
    <d v="1904-09-29T00:00:00"/>
    <x v="12"/>
    <x v="1"/>
    <n v="2"/>
    <x v="21"/>
    <x v="1"/>
    <n v="11"/>
    <x v="3"/>
    <x v="3"/>
  </r>
  <r>
    <d v="2019-12-12T00:00:00"/>
    <x v="2"/>
    <d v="1904-09-29T00:00:00"/>
    <x v="12"/>
    <x v="0"/>
    <n v="1"/>
    <x v="12"/>
    <x v="1"/>
    <n v="5"/>
    <x v="3"/>
    <x v="3"/>
  </r>
  <r>
    <d v="2019-12-12T00:00:00"/>
    <x v="2"/>
    <d v="1904-09-29T00:00:00"/>
    <x v="12"/>
    <x v="0"/>
    <n v="1"/>
    <x v="20"/>
    <x v="1"/>
    <n v="35"/>
    <x v="3"/>
    <x v="3"/>
  </r>
  <r>
    <d v="2019-12-12T00:00:00"/>
    <x v="2"/>
    <d v="1904-09-29T00:00:00"/>
    <x v="12"/>
    <x v="0"/>
    <n v="1"/>
    <x v="5"/>
    <x v="1"/>
    <n v="2"/>
    <x v="3"/>
    <x v="3"/>
  </r>
  <r>
    <d v="2019-12-12T00:00:00"/>
    <x v="2"/>
    <d v="1904-09-29T00:00:00"/>
    <x v="12"/>
    <x v="0"/>
    <n v="1"/>
    <x v="26"/>
    <x v="1"/>
    <n v="1"/>
    <x v="3"/>
    <x v="3"/>
  </r>
  <r>
    <d v="2019-12-12T00:00:00"/>
    <x v="2"/>
    <d v="1904-09-29T00:00:00"/>
    <x v="12"/>
    <x v="0"/>
    <n v="1"/>
    <x v="16"/>
    <x v="1"/>
    <n v="17"/>
    <x v="3"/>
    <x v="3"/>
  </r>
  <r>
    <d v="2019-12-12T00:00:00"/>
    <x v="2"/>
    <d v="1904-09-29T00:00:00"/>
    <x v="12"/>
    <x v="0"/>
    <n v="2"/>
    <x v="27"/>
    <x v="1"/>
    <n v="2"/>
    <x v="3"/>
    <x v="3"/>
  </r>
  <r>
    <d v="2019-12-12T00:00:00"/>
    <x v="2"/>
    <d v="1904-09-29T00:00:00"/>
    <x v="12"/>
    <x v="0"/>
    <n v="2"/>
    <x v="33"/>
    <x v="1"/>
    <n v="1"/>
    <x v="3"/>
    <x v="3"/>
  </r>
  <r>
    <d v="2019-12-12T00:00:00"/>
    <x v="2"/>
    <d v="1904-09-29T00:00:00"/>
    <x v="12"/>
    <x v="0"/>
    <n v="2"/>
    <x v="15"/>
    <x v="1"/>
    <n v="20"/>
    <x v="3"/>
    <x v="3"/>
  </r>
  <r>
    <d v="2019-12-12T00:00:00"/>
    <x v="2"/>
    <d v="1904-09-29T00:00:00"/>
    <x v="12"/>
    <x v="0"/>
    <n v="2"/>
    <x v="24"/>
    <x v="1"/>
    <n v="1"/>
    <x v="3"/>
    <x v="3"/>
  </r>
  <r>
    <d v="2019-12-12T00:00:00"/>
    <x v="2"/>
    <d v="1904-09-29T00:00:00"/>
    <x v="12"/>
    <x v="0"/>
    <n v="2"/>
    <x v="25"/>
    <x v="1"/>
    <n v="3"/>
    <x v="3"/>
    <x v="3"/>
  </r>
  <r>
    <d v="2019-12-12T00:00:00"/>
    <x v="2"/>
    <d v="1904-09-29T00:00:00"/>
    <x v="12"/>
    <x v="0"/>
    <n v="2"/>
    <x v="34"/>
    <x v="1"/>
    <n v="6"/>
    <x v="3"/>
    <x v="3"/>
  </r>
  <r>
    <d v="2019-12-12T00:00:00"/>
    <x v="2"/>
    <d v="1904-09-29T00:00:00"/>
    <x v="12"/>
    <x v="0"/>
    <n v="2"/>
    <x v="23"/>
    <x v="1"/>
    <n v="13"/>
    <x v="3"/>
    <x v="3"/>
  </r>
  <r>
    <d v="2019-12-12T00:00:00"/>
    <x v="2"/>
    <d v="1904-09-29T00:00:00"/>
    <x v="12"/>
    <x v="0"/>
    <n v="2"/>
    <x v="21"/>
    <x v="1"/>
    <n v="10"/>
    <x v="3"/>
    <x v="3"/>
  </r>
  <r>
    <d v="2019-12-12T00:00:00"/>
    <x v="2"/>
    <d v="1904-09-29T00:00:00"/>
    <x v="12"/>
    <x v="0"/>
    <n v="2"/>
    <x v="19"/>
    <x v="1"/>
    <n v="1"/>
    <x v="3"/>
    <x v="3"/>
  </r>
  <r>
    <d v="2019-12-12T00:00:00"/>
    <x v="2"/>
    <d v="1904-10-01T00:00:00"/>
    <x v="14"/>
    <x v="1"/>
    <n v="1"/>
    <x v="33"/>
    <x v="0"/>
    <n v="6"/>
    <x v="3"/>
    <x v="3"/>
  </r>
  <r>
    <d v="2019-12-12T00:00:00"/>
    <x v="2"/>
    <d v="1904-10-01T00:00:00"/>
    <x v="14"/>
    <x v="1"/>
    <n v="1"/>
    <x v="15"/>
    <x v="0"/>
    <n v="13"/>
    <x v="3"/>
    <x v="3"/>
  </r>
  <r>
    <d v="2019-12-12T00:00:00"/>
    <x v="2"/>
    <d v="1904-10-01T00:00:00"/>
    <x v="14"/>
    <x v="1"/>
    <n v="1"/>
    <x v="34"/>
    <x v="0"/>
    <n v="7"/>
    <x v="3"/>
    <x v="3"/>
  </r>
  <r>
    <d v="2019-12-12T00:00:00"/>
    <x v="2"/>
    <d v="1904-10-01T00:00:00"/>
    <x v="14"/>
    <x v="1"/>
    <n v="1"/>
    <x v="19"/>
    <x v="0"/>
    <n v="2"/>
    <x v="3"/>
    <x v="3"/>
  </r>
  <r>
    <d v="2019-12-12T00:00:00"/>
    <x v="2"/>
    <d v="1904-10-01T00:00:00"/>
    <x v="14"/>
    <x v="0"/>
    <n v="1"/>
    <x v="15"/>
    <x v="0"/>
    <n v="21"/>
    <x v="3"/>
    <x v="3"/>
  </r>
  <r>
    <d v="2019-12-12T00:00:00"/>
    <x v="2"/>
    <d v="1904-10-01T00:00:00"/>
    <x v="14"/>
    <x v="0"/>
    <n v="1"/>
    <x v="21"/>
    <x v="0"/>
    <n v="52"/>
    <x v="3"/>
    <x v="3"/>
  </r>
  <r>
    <d v="2019-12-12T00:00:00"/>
    <x v="2"/>
    <d v="1904-10-01T00:00:00"/>
    <x v="14"/>
    <x v="0"/>
    <n v="1"/>
    <x v="3"/>
    <x v="0"/>
    <n v="21"/>
    <x v="3"/>
    <x v="3"/>
  </r>
  <r>
    <d v="2019-12-12T00:00:00"/>
    <x v="2"/>
    <d v="1904-10-01T00:00:00"/>
    <x v="14"/>
    <x v="0"/>
    <n v="1"/>
    <x v="19"/>
    <x v="0"/>
    <n v="54"/>
    <x v="3"/>
    <x v="3"/>
  </r>
  <r>
    <d v="2019-12-12T00:00:00"/>
    <x v="2"/>
    <d v="1904-10-01T00:00:00"/>
    <x v="14"/>
    <x v="0"/>
    <n v="2"/>
    <x v="20"/>
    <x v="0"/>
    <n v="4"/>
    <x v="3"/>
    <x v="3"/>
  </r>
  <r>
    <d v="2019-12-12T00:00:00"/>
    <x v="2"/>
    <d v="1904-10-01T00:00:00"/>
    <x v="14"/>
    <x v="1"/>
    <n v="1"/>
    <x v="20"/>
    <x v="1"/>
    <n v="20"/>
    <x v="3"/>
    <x v="3"/>
  </r>
  <r>
    <d v="2019-12-12T00:00:00"/>
    <x v="2"/>
    <d v="1904-10-01T00:00:00"/>
    <x v="14"/>
    <x v="1"/>
    <n v="1"/>
    <x v="21"/>
    <x v="1"/>
    <n v="2"/>
    <x v="3"/>
    <x v="3"/>
  </r>
  <r>
    <d v="2019-12-12T00:00:00"/>
    <x v="2"/>
    <d v="1904-10-01T00:00:00"/>
    <x v="14"/>
    <x v="1"/>
    <n v="1"/>
    <x v="16"/>
    <x v="1"/>
    <n v="9"/>
    <x v="3"/>
    <x v="3"/>
  </r>
  <r>
    <d v="2019-12-12T00:00:00"/>
    <x v="2"/>
    <d v="1904-10-01T00:00:00"/>
    <x v="14"/>
    <x v="1"/>
    <n v="2"/>
    <x v="20"/>
    <x v="1"/>
    <n v="5"/>
    <x v="3"/>
    <x v="3"/>
  </r>
  <r>
    <d v="2019-12-12T00:00:00"/>
    <x v="2"/>
    <d v="1911-10-10T00:00:00"/>
    <x v="13"/>
    <x v="1"/>
    <n v="1"/>
    <x v="27"/>
    <x v="0"/>
    <n v="5"/>
    <x v="3"/>
    <x v="3"/>
  </r>
  <r>
    <d v="2019-12-12T00:00:00"/>
    <x v="2"/>
    <d v="1911-10-10T00:00:00"/>
    <x v="13"/>
    <x v="1"/>
    <n v="1"/>
    <x v="31"/>
    <x v="0"/>
    <n v="5"/>
    <x v="3"/>
    <x v="3"/>
  </r>
  <r>
    <d v="2019-12-12T00:00:00"/>
    <x v="2"/>
    <d v="1911-10-10T00:00:00"/>
    <x v="13"/>
    <x v="1"/>
    <n v="1"/>
    <x v="32"/>
    <x v="0"/>
    <n v="1"/>
    <x v="3"/>
    <x v="3"/>
  </r>
  <r>
    <d v="2019-12-12T00:00:00"/>
    <x v="2"/>
    <d v="1911-10-10T00:00:00"/>
    <x v="13"/>
    <x v="1"/>
    <n v="1"/>
    <x v="28"/>
    <x v="0"/>
    <n v="5"/>
    <x v="3"/>
    <x v="3"/>
  </r>
  <r>
    <d v="2019-12-12T00:00:00"/>
    <x v="2"/>
    <d v="1911-10-10T00:00:00"/>
    <x v="13"/>
    <x v="1"/>
    <n v="1"/>
    <x v="15"/>
    <x v="0"/>
    <n v="6"/>
    <x v="3"/>
    <x v="3"/>
  </r>
  <r>
    <d v="2019-12-12T00:00:00"/>
    <x v="2"/>
    <d v="1911-10-10T00:00:00"/>
    <x v="13"/>
    <x v="1"/>
    <n v="1"/>
    <x v="24"/>
    <x v="0"/>
    <n v="2"/>
    <x v="3"/>
    <x v="3"/>
  </r>
  <r>
    <d v="2019-12-12T00:00:00"/>
    <x v="2"/>
    <d v="1911-10-10T00:00:00"/>
    <x v="13"/>
    <x v="1"/>
    <n v="1"/>
    <x v="23"/>
    <x v="0"/>
    <n v="1"/>
    <x v="3"/>
    <x v="3"/>
  </r>
  <r>
    <d v="2019-12-12T00:00:00"/>
    <x v="2"/>
    <d v="1911-10-10T00:00:00"/>
    <x v="13"/>
    <x v="1"/>
    <n v="1"/>
    <x v="21"/>
    <x v="0"/>
    <n v="3"/>
    <x v="3"/>
    <x v="3"/>
  </r>
  <r>
    <d v="2019-12-12T00:00:00"/>
    <x v="2"/>
    <d v="1911-10-10T00:00:00"/>
    <x v="13"/>
    <x v="1"/>
    <n v="1"/>
    <x v="9"/>
    <x v="0"/>
    <n v="1"/>
    <x v="3"/>
    <x v="3"/>
  </r>
  <r>
    <d v="2019-12-12T00:00:00"/>
    <x v="2"/>
    <d v="1911-10-10T00:00:00"/>
    <x v="13"/>
    <x v="0"/>
    <n v="1"/>
    <x v="23"/>
    <x v="0"/>
    <n v="23"/>
    <x v="3"/>
    <x v="3"/>
  </r>
  <r>
    <d v="2019-12-12T00:00:00"/>
    <x v="2"/>
    <d v="1911-10-10T00:00:00"/>
    <x v="13"/>
    <x v="0"/>
    <n v="1"/>
    <x v="21"/>
    <x v="0"/>
    <n v="3"/>
    <x v="3"/>
    <x v="3"/>
  </r>
  <r>
    <d v="2019-12-12T00:00:00"/>
    <x v="2"/>
    <d v="1911-10-10T00:00:00"/>
    <x v="13"/>
    <x v="0"/>
    <n v="1"/>
    <x v="19"/>
    <x v="0"/>
    <n v="31"/>
    <x v="3"/>
    <x v="3"/>
  </r>
  <r>
    <d v="2019-12-12T00:00:00"/>
    <x v="2"/>
    <d v="1911-10-10T00:00:00"/>
    <x v="13"/>
    <x v="0"/>
    <n v="1"/>
    <x v="17"/>
    <x v="0"/>
    <n v="15"/>
    <x v="3"/>
    <x v="3"/>
  </r>
  <r>
    <d v="2019-12-12T00:00:00"/>
    <x v="2"/>
    <d v="1911-10-10T00:00:00"/>
    <x v="13"/>
    <x v="1"/>
    <n v="1"/>
    <x v="20"/>
    <x v="1"/>
    <n v="21"/>
    <x v="3"/>
    <x v="3"/>
  </r>
  <r>
    <d v="2019-12-12T00:00:00"/>
    <x v="2"/>
    <d v="1911-10-10T00:00:00"/>
    <x v="13"/>
    <x v="1"/>
    <n v="1"/>
    <x v="1"/>
    <x v="1"/>
    <n v="1"/>
    <x v="3"/>
    <x v="3"/>
  </r>
  <r>
    <d v="2019-12-12T00:00:00"/>
    <x v="2"/>
    <d v="1911-10-10T00:00:00"/>
    <x v="13"/>
    <x v="1"/>
    <n v="1"/>
    <x v="21"/>
    <x v="1"/>
    <n v="2"/>
    <x v="3"/>
    <x v="3"/>
  </r>
  <r>
    <d v="2019-12-12T00:00:00"/>
    <x v="2"/>
    <d v="1911-10-10T00:00:00"/>
    <x v="13"/>
    <x v="1"/>
    <n v="1"/>
    <x v="13"/>
    <x v="1"/>
    <n v="1"/>
    <x v="3"/>
    <x v="3"/>
  </r>
  <r>
    <d v="2019-12-12T00:00:00"/>
    <x v="2"/>
    <d v="1911-10-10T00:00:00"/>
    <x v="13"/>
    <x v="1"/>
    <n v="1"/>
    <x v="16"/>
    <x v="1"/>
    <n v="4"/>
    <x v="3"/>
    <x v="3"/>
  </r>
  <r>
    <d v="2019-12-12T00:00:00"/>
    <x v="2"/>
    <d v="1911-10-10T00:00:00"/>
    <x v="13"/>
    <x v="0"/>
    <n v="1"/>
    <x v="27"/>
    <x v="1"/>
    <n v="18"/>
    <x v="3"/>
    <x v="3"/>
  </r>
  <r>
    <d v="2019-12-12T00:00:00"/>
    <x v="2"/>
    <d v="1911-10-10T00:00:00"/>
    <x v="13"/>
    <x v="0"/>
    <n v="1"/>
    <x v="33"/>
    <x v="1"/>
    <n v="4"/>
    <x v="3"/>
    <x v="3"/>
  </r>
  <r>
    <d v="2019-12-12T00:00:00"/>
    <x v="2"/>
    <d v="1911-10-10T00:00:00"/>
    <x v="13"/>
    <x v="0"/>
    <n v="1"/>
    <x v="24"/>
    <x v="1"/>
    <n v="6"/>
    <x v="3"/>
    <x v="3"/>
  </r>
  <r>
    <d v="2019-12-12T00:00:00"/>
    <x v="2"/>
    <d v="1911-10-10T00:00:00"/>
    <x v="13"/>
    <x v="0"/>
    <n v="1"/>
    <x v="25"/>
    <x v="1"/>
    <n v="4"/>
    <x v="3"/>
    <x v="3"/>
  </r>
  <r>
    <d v="2019-12-12T00:00:00"/>
    <x v="2"/>
    <d v="1911-10-10T00:00:00"/>
    <x v="13"/>
    <x v="0"/>
    <n v="1"/>
    <x v="21"/>
    <x v="1"/>
    <n v="17"/>
    <x v="3"/>
    <x v="3"/>
  </r>
  <r>
    <d v="2019-12-12T00:00:00"/>
    <x v="2"/>
    <d v="1911-10-10T00:00:00"/>
    <x v="13"/>
    <x v="0"/>
    <n v="1"/>
    <x v="16"/>
    <x v="1"/>
    <n v="3"/>
    <x v="3"/>
    <x v="3"/>
  </r>
  <r>
    <d v="2019-12-12T00:00:00"/>
    <x v="2"/>
    <d v="1911-10-10T00:00:00"/>
    <x v="13"/>
    <x v="0"/>
    <n v="1"/>
    <x v="19"/>
    <x v="1"/>
    <n v="4"/>
    <x v="3"/>
    <x v="3"/>
  </r>
  <r>
    <d v="2019-12-12T00:00:00"/>
    <x v="2"/>
    <d v="1911-10-10T00:00:00"/>
    <x v="13"/>
    <x v="0"/>
    <n v="2"/>
    <x v="27"/>
    <x v="1"/>
    <n v="1"/>
    <x v="3"/>
    <x v="3"/>
  </r>
  <r>
    <d v="2019-12-12T00:00:00"/>
    <x v="2"/>
    <d v="1911-10-10T00:00:00"/>
    <x v="13"/>
    <x v="0"/>
    <n v="2"/>
    <x v="33"/>
    <x v="1"/>
    <n v="3"/>
    <x v="3"/>
    <x v="3"/>
  </r>
  <r>
    <d v="2019-12-12T00:00:00"/>
    <x v="2"/>
    <d v="1911-10-10T00:00:00"/>
    <x v="13"/>
    <x v="0"/>
    <n v="2"/>
    <x v="25"/>
    <x v="1"/>
    <n v="12"/>
    <x v="3"/>
    <x v="3"/>
  </r>
  <r>
    <d v="2019-12-12T00:00:00"/>
    <x v="2"/>
    <d v="1912-04-30T00:00:00"/>
    <x v="18"/>
    <x v="1"/>
    <n v="1"/>
    <x v="27"/>
    <x v="0"/>
    <n v="6"/>
    <x v="3"/>
    <x v="3"/>
  </r>
  <r>
    <d v="2019-12-12T00:00:00"/>
    <x v="2"/>
    <d v="1912-04-30T00:00:00"/>
    <x v="18"/>
    <x v="1"/>
    <n v="1"/>
    <x v="33"/>
    <x v="0"/>
    <n v="13"/>
    <x v="3"/>
    <x v="3"/>
  </r>
  <r>
    <d v="2019-12-12T00:00:00"/>
    <x v="2"/>
    <d v="1912-04-30T00:00:00"/>
    <x v="18"/>
    <x v="1"/>
    <n v="1"/>
    <x v="28"/>
    <x v="0"/>
    <n v="1"/>
    <x v="3"/>
    <x v="3"/>
  </r>
  <r>
    <d v="2019-12-12T00:00:00"/>
    <x v="2"/>
    <d v="1912-04-30T00:00:00"/>
    <x v="18"/>
    <x v="1"/>
    <n v="1"/>
    <x v="29"/>
    <x v="0"/>
    <n v="5"/>
    <x v="3"/>
    <x v="3"/>
  </r>
  <r>
    <d v="2019-12-12T00:00:00"/>
    <x v="2"/>
    <d v="1912-04-30T00:00:00"/>
    <x v="18"/>
    <x v="1"/>
    <n v="1"/>
    <x v="25"/>
    <x v="0"/>
    <n v="5"/>
    <x v="3"/>
    <x v="3"/>
  </r>
  <r>
    <d v="2019-12-12T00:00:00"/>
    <x v="2"/>
    <d v="1912-04-30T00:00:00"/>
    <x v="18"/>
    <x v="1"/>
    <n v="1"/>
    <x v="7"/>
    <x v="0"/>
    <n v="1"/>
    <x v="3"/>
    <x v="3"/>
  </r>
  <r>
    <d v="2019-12-12T00:00:00"/>
    <x v="2"/>
    <d v="1912-04-30T00:00:00"/>
    <x v="18"/>
    <x v="1"/>
    <n v="1"/>
    <x v="19"/>
    <x v="0"/>
    <n v="3"/>
    <x v="3"/>
    <x v="3"/>
  </r>
  <r>
    <d v="2019-12-12T00:00:00"/>
    <x v="2"/>
    <d v="1912-04-30T00:00:00"/>
    <x v="18"/>
    <x v="0"/>
    <n v="1"/>
    <x v="24"/>
    <x v="0"/>
    <n v="13"/>
    <x v="3"/>
    <x v="3"/>
  </r>
  <r>
    <d v="2019-12-12T00:00:00"/>
    <x v="2"/>
    <d v="1912-04-30T00:00:00"/>
    <x v="18"/>
    <x v="0"/>
    <n v="1"/>
    <x v="2"/>
    <x v="0"/>
    <n v="14"/>
    <x v="3"/>
    <x v="3"/>
  </r>
  <r>
    <d v="2019-12-12T00:00:00"/>
    <x v="2"/>
    <d v="1912-04-30T00:00:00"/>
    <x v="18"/>
    <x v="0"/>
    <n v="1"/>
    <x v="23"/>
    <x v="0"/>
    <n v="4"/>
    <x v="3"/>
    <x v="3"/>
  </r>
  <r>
    <d v="2019-12-12T00:00:00"/>
    <x v="2"/>
    <d v="1922-10-02T00:00:00"/>
    <x v="21"/>
    <x v="1"/>
    <n v="1"/>
    <x v="4"/>
    <x v="0"/>
    <n v="11"/>
    <x v="3"/>
    <x v="3"/>
  </r>
  <r>
    <d v="2019-12-12T00:00:00"/>
    <x v="2"/>
    <d v="1922-10-02T00:00:00"/>
    <x v="21"/>
    <x v="1"/>
    <n v="1"/>
    <x v="27"/>
    <x v="0"/>
    <n v="6"/>
    <x v="3"/>
    <x v="3"/>
  </r>
  <r>
    <d v="2019-12-12T00:00:00"/>
    <x v="2"/>
    <d v="1922-10-02T00:00:00"/>
    <x v="21"/>
    <x v="1"/>
    <n v="1"/>
    <x v="33"/>
    <x v="0"/>
    <n v="4"/>
    <x v="3"/>
    <x v="3"/>
  </r>
  <r>
    <d v="2019-12-12T00:00:00"/>
    <x v="2"/>
    <d v="1922-10-02T00:00:00"/>
    <x v="21"/>
    <x v="1"/>
    <n v="1"/>
    <x v="15"/>
    <x v="0"/>
    <n v="2"/>
    <x v="3"/>
    <x v="3"/>
  </r>
  <r>
    <d v="2019-12-12T00:00:00"/>
    <x v="2"/>
    <d v="1922-10-02T00:00:00"/>
    <x v="21"/>
    <x v="1"/>
    <n v="1"/>
    <x v="5"/>
    <x v="0"/>
    <n v="7"/>
    <x v="3"/>
    <x v="3"/>
  </r>
  <r>
    <d v="2019-12-12T00:00:00"/>
    <x v="2"/>
    <d v="1922-10-02T00:00:00"/>
    <x v="21"/>
    <x v="1"/>
    <n v="1"/>
    <x v="2"/>
    <x v="0"/>
    <n v="4"/>
    <x v="3"/>
    <x v="3"/>
  </r>
  <r>
    <d v="2019-12-12T00:00:00"/>
    <x v="2"/>
    <d v="1922-10-02T00:00:00"/>
    <x v="21"/>
    <x v="1"/>
    <n v="1"/>
    <x v="21"/>
    <x v="0"/>
    <n v="3"/>
    <x v="3"/>
    <x v="3"/>
  </r>
  <r>
    <d v="2019-12-12T00:00:00"/>
    <x v="2"/>
    <d v="1922-10-02T00:00:00"/>
    <x v="21"/>
    <x v="1"/>
    <n v="1"/>
    <x v="13"/>
    <x v="0"/>
    <n v="1"/>
    <x v="3"/>
    <x v="3"/>
  </r>
  <r>
    <d v="2019-12-12T00:00:00"/>
    <x v="2"/>
    <d v="1922-10-02T00:00:00"/>
    <x v="21"/>
    <x v="1"/>
    <n v="1"/>
    <x v="16"/>
    <x v="0"/>
    <n v="1"/>
    <x v="3"/>
    <x v="3"/>
  </r>
  <r>
    <d v="2019-12-12T00:00:00"/>
    <x v="2"/>
    <d v="1922-10-02T00:00:00"/>
    <x v="21"/>
    <x v="1"/>
    <n v="2"/>
    <x v="21"/>
    <x v="0"/>
    <n v="5"/>
    <x v="3"/>
    <x v="3"/>
  </r>
  <r>
    <d v="2019-12-12T00:00:00"/>
    <x v="2"/>
    <d v="1922-10-02T00:00:00"/>
    <x v="21"/>
    <x v="0"/>
    <n v="1"/>
    <x v="21"/>
    <x v="0"/>
    <n v="24"/>
    <x v="3"/>
    <x v="3"/>
  </r>
  <r>
    <d v="2019-12-12T00:00:00"/>
    <x v="2"/>
    <d v="1922-10-02T00:00:00"/>
    <x v="21"/>
    <x v="0"/>
    <n v="1"/>
    <x v="19"/>
    <x v="0"/>
    <n v="41"/>
    <x v="3"/>
    <x v="3"/>
  </r>
  <r>
    <d v="2019-12-12T00:00:00"/>
    <x v="2"/>
    <d v="1922-10-02T00:00:00"/>
    <x v="21"/>
    <x v="0"/>
    <n v="1"/>
    <x v="17"/>
    <x v="0"/>
    <n v="2"/>
    <x v="3"/>
    <x v="3"/>
  </r>
  <r>
    <d v="2019-12-12T00:00:00"/>
    <x v="2"/>
    <d v="1922-10-02T00:00:00"/>
    <x v="21"/>
    <x v="1"/>
    <n v="1"/>
    <x v="0"/>
    <x v="1"/>
    <n v="5"/>
    <x v="3"/>
    <x v="3"/>
  </r>
  <r>
    <d v="2019-12-12T00:00:00"/>
    <x v="2"/>
    <d v="1922-10-02T00:00:00"/>
    <x v="21"/>
    <x v="1"/>
    <n v="1"/>
    <x v="20"/>
    <x v="1"/>
    <n v="6"/>
    <x v="3"/>
    <x v="3"/>
  </r>
  <r>
    <d v="2019-12-12T00:00:00"/>
    <x v="2"/>
    <d v="1922-10-02T00:00:00"/>
    <x v="21"/>
    <x v="1"/>
    <n v="1"/>
    <x v="2"/>
    <x v="1"/>
    <n v="1"/>
    <x v="3"/>
    <x v="3"/>
  </r>
  <r>
    <d v="2019-12-12T00:00:00"/>
    <x v="2"/>
    <d v="1922-10-02T00:00:00"/>
    <x v="21"/>
    <x v="1"/>
    <n v="1"/>
    <x v="21"/>
    <x v="1"/>
    <n v="20"/>
    <x v="3"/>
    <x v="3"/>
  </r>
  <r>
    <d v="2019-12-12T00:00:00"/>
    <x v="2"/>
    <d v="1922-10-02T00:00:00"/>
    <x v="21"/>
    <x v="1"/>
    <n v="1"/>
    <x v="19"/>
    <x v="1"/>
    <n v="14"/>
    <x v="3"/>
    <x v="3"/>
  </r>
  <r>
    <d v="2019-12-12T00:00:00"/>
    <x v="2"/>
    <d v="1922-10-02T00:00:00"/>
    <x v="21"/>
    <x v="0"/>
    <n v="1"/>
    <x v="27"/>
    <x v="1"/>
    <n v="1"/>
    <x v="3"/>
    <x v="3"/>
  </r>
  <r>
    <d v="2019-12-12T00:00:00"/>
    <x v="2"/>
    <d v="1922-10-02T00:00:00"/>
    <x v="21"/>
    <x v="0"/>
    <n v="1"/>
    <x v="11"/>
    <x v="1"/>
    <n v="21"/>
    <x v="3"/>
    <x v="3"/>
  </r>
  <r>
    <d v="2019-12-12T00:00:00"/>
    <x v="2"/>
    <d v="1922-10-02T00:00:00"/>
    <x v="21"/>
    <x v="0"/>
    <n v="1"/>
    <x v="28"/>
    <x v="1"/>
    <n v="1"/>
    <x v="3"/>
    <x v="3"/>
  </r>
  <r>
    <d v="2019-12-12T00:00:00"/>
    <x v="2"/>
    <d v="1922-10-02T00:00:00"/>
    <x v="21"/>
    <x v="0"/>
    <n v="1"/>
    <x v="25"/>
    <x v="1"/>
    <n v="7"/>
    <x v="3"/>
    <x v="3"/>
  </r>
  <r>
    <d v="2019-12-12T00:00:00"/>
    <x v="2"/>
    <d v="1922-10-02T00:00:00"/>
    <x v="21"/>
    <x v="0"/>
    <n v="1"/>
    <x v="34"/>
    <x v="1"/>
    <n v="1"/>
    <x v="3"/>
    <x v="3"/>
  </r>
  <r>
    <d v="2019-12-12T00:00:00"/>
    <x v="2"/>
    <d v="1922-10-02T00:00:00"/>
    <x v="21"/>
    <x v="0"/>
    <n v="1"/>
    <x v="23"/>
    <x v="1"/>
    <n v="12"/>
    <x v="3"/>
    <x v="3"/>
  </r>
  <r>
    <d v="2019-12-12T00:00:00"/>
    <x v="2"/>
    <d v="1922-10-02T00:00:00"/>
    <x v="21"/>
    <x v="0"/>
    <n v="1"/>
    <x v="21"/>
    <x v="1"/>
    <n v="12"/>
    <x v="3"/>
    <x v="3"/>
  </r>
  <r>
    <d v="2019-12-12T00:00:00"/>
    <x v="2"/>
    <d v="1922-10-02T00:00:00"/>
    <x v="21"/>
    <x v="0"/>
    <n v="1"/>
    <x v="16"/>
    <x v="1"/>
    <n v="9"/>
    <x v="3"/>
    <x v="3"/>
  </r>
  <r>
    <d v="2019-12-12T00:00:00"/>
    <x v="2"/>
    <d v="1922-10-02T00:00:00"/>
    <x v="21"/>
    <x v="0"/>
    <n v="1"/>
    <x v="19"/>
    <x v="1"/>
    <n v="3"/>
    <x v="3"/>
    <x v="3"/>
  </r>
  <r>
    <d v="2019-12-12T00:00:00"/>
    <x v="2"/>
    <d v="1917-12-09T00:00:00"/>
    <x v="20"/>
    <x v="1"/>
    <n v="1"/>
    <x v="4"/>
    <x v="0"/>
    <n v="17"/>
    <x v="3"/>
    <x v="3"/>
  </r>
  <r>
    <d v="2019-12-12T00:00:00"/>
    <x v="2"/>
    <d v="1917-12-09T00:00:00"/>
    <x v="20"/>
    <x v="1"/>
    <n v="1"/>
    <x v="0"/>
    <x v="0"/>
    <n v="6"/>
    <x v="3"/>
    <x v="3"/>
  </r>
  <r>
    <d v="2019-12-12T00:00:00"/>
    <x v="2"/>
    <d v="1917-12-09T00:00:00"/>
    <x v="20"/>
    <x v="1"/>
    <n v="1"/>
    <x v="27"/>
    <x v="0"/>
    <n v="6"/>
    <x v="3"/>
    <x v="3"/>
  </r>
  <r>
    <d v="2019-12-12T00:00:00"/>
    <x v="2"/>
    <d v="1917-12-09T00:00:00"/>
    <x v="20"/>
    <x v="1"/>
    <n v="1"/>
    <x v="11"/>
    <x v="0"/>
    <n v="23"/>
    <x v="3"/>
    <x v="3"/>
  </r>
  <r>
    <d v="2019-12-12T00:00:00"/>
    <x v="2"/>
    <d v="1917-12-09T00:00:00"/>
    <x v="20"/>
    <x v="1"/>
    <n v="1"/>
    <x v="31"/>
    <x v="0"/>
    <n v="8"/>
    <x v="3"/>
    <x v="3"/>
  </r>
  <r>
    <d v="2019-12-12T00:00:00"/>
    <x v="2"/>
    <d v="1917-12-09T00:00:00"/>
    <x v="20"/>
    <x v="1"/>
    <n v="1"/>
    <x v="24"/>
    <x v="0"/>
    <n v="7"/>
    <x v="3"/>
    <x v="3"/>
  </r>
  <r>
    <d v="2019-12-12T00:00:00"/>
    <x v="2"/>
    <d v="1917-12-09T00:00:00"/>
    <x v="20"/>
    <x v="1"/>
    <n v="1"/>
    <x v="21"/>
    <x v="0"/>
    <n v="2"/>
    <x v="3"/>
    <x v="3"/>
  </r>
  <r>
    <d v="2019-12-12T00:00:00"/>
    <x v="2"/>
    <d v="1917-12-09T00:00:00"/>
    <x v="20"/>
    <x v="1"/>
    <n v="1"/>
    <x v="13"/>
    <x v="0"/>
    <n v="7"/>
    <x v="3"/>
    <x v="3"/>
  </r>
  <r>
    <d v="2019-12-12T00:00:00"/>
    <x v="2"/>
    <d v="1917-12-09T00:00:00"/>
    <x v="20"/>
    <x v="0"/>
    <n v="1"/>
    <x v="20"/>
    <x v="0"/>
    <n v="7"/>
    <x v="3"/>
    <x v="3"/>
  </r>
  <r>
    <d v="2019-12-12T00:00:00"/>
    <x v="2"/>
    <d v="1917-12-09T00:00:00"/>
    <x v="20"/>
    <x v="0"/>
    <n v="1"/>
    <x v="19"/>
    <x v="0"/>
    <n v="2"/>
    <x v="3"/>
    <x v="3"/>
  </r>
  <r>
    <d v="2019-12-12T00:00:00"/>
    <x v="2"/>
    <d v="1917-12-09T00:00:00"/>
    <x v="20"/>
    <x v="0"/>
    <n v="1"/>
    <x v="17"/>
    <x v="0"/>
    <n v="24"/>
    <x v="3"/>
    <x v="3"/>
  </r>
  <r>
    <d v="2019-12-12T00:00:00"/>
    <x v="2"/>
    <d v="1917-12-09T00:00:00"/>
    <x v="20"/>
    <x v="0"/>
    <n v="1"/>
    <x v="14"/>
    <x v="0"/>
    <n v="3"/>
    <x v="3"/>
    <x v="3"/>
  </r>
  <r>
    <d v="2019-12-12T00:00:00"/>
    <x v="2"/>
    <d v="1917-12-09T00:00:00"/>
    <x v="20"/>
    <x v="0"/>
    <n v="1"/>
    <x v="27"/>
    <x v="1"/>
    <n v="2"/>
    <x v="3"/>
    <x v="3"/>
  </r>
  <r>
    <d v="2019-12-12T00:00:00"/>
    <x v="2"/>
    <d v="1917-12-09T00:00:00"/>
    <x v="20"/>
    <x v="0"/>
    <n v="1"/>
    <x v="33"/>
    <x v="1"/>
    <n v="1"/>
    <x v="3"/>
    <x v="3"/>
  </r>
  <r>
    <d v="2019-12-12T00:00:00"/>
    <x v="2"/>
    <d v="1917-12-09T00:00:00"/>
    <x v="20"/>
    <x v="0"/>
    <n v="1"/>
    <x v="32"/>
    <x v="1"/>
    <n v="1"/>
    <x v="3"/>
    <x v="3"/>
  </r>
  <r>
    <d v="2019-12-12T00:00:00"/>
    <x v="2"/>
    <d v="1917-12-09T00:00:00"/>
    <x v="20"/>
    <x v="0"/>
    <n v="1"/>
    <x v="28"/>
    <x v="1"/>
    <n v="1"/>
    <x v="3"/>
    <x v="3"/>
  </r>
  <r>
    <d v="2019-12-12T00:00:00"/>
    <x v="2"/>
    <d v="1917-12-09T00:00:00"/>
    <x v="20"/>
    <x v="0"/>
    <n v="1"/>
    <x v="15"/>
    <x v="1"/>
    <n v="24"/>
    <x v="3"/>
    <x v="3"/>
  </r>
  <r>
    <d v="2019-12-12T00:00:00"/>
    <x v="2"/>
    <d v="1917-12-09T00:00:00"/>
    <x v="20"/>
    <x v="0"/>
    <n v="1"/>
    <x v="19"/>
    <x v="1"/>
    <n v="2"/>
    <x v="3"/>
    <x v="3"/>
  </r>
  <r>
    <d v="2019-12-12T00:00:00"/>
    <x v="2"/>
    <d v="1917-12-09T00:00:00"/>
    <x v="20"/>
    <x v="0"/>
    <n v="1"/>
    <x v="30"/>
    <x v="1"/>
    <n v="2"/>
    <x v="3"/>
    <x v="3"/>
  </r>
  <r>
    <d v="2019-12-12T00:00:00"/>
    <x v="2"/>
    <d v="1917-12-09T00:00:00"/>
    <x v="20"/>
    <x v="0"/>
    <n v="2"/>
    <x v="27"/>
    <x v="1"/>
    <n v="2"/>
    <x v="3"/>
    <x v="3"/>
  </r>
  <r>
    <d v="2019-12-12T00:00:00"/>
    <x v="2"/>
    <d v="1917-12-09T00:00:00"/>
    <x v="20"/>
    <x v="0"/>
    <n v="2"/>
    <x v="30"/>
    <x v="1"/>
    <n v="1"/>
    <x v="3"/>
    <x v="3"/>
  </r>
  <r>
    <d v="2019-12-12T00:00:00"/>
    <x v="2"/>
    <d v="1917-12-09T00:00:00"/>
    <x v="20"/>
    <x v="1"/>
    <n v="1"/>
    <x v="12"/>
    <x v="1"/>
    <n v="5"/>
    <x v="3"/>
    <x v="3"/>
  </r>
  <r>
    <d v="2019-12-12T00:00:00"/>
    <x v="2"/>
    <d v="1917-12-09T00:00:00"/>
    <x v="20"/>
    <x v="1"/>
    <n v="1"/>
    <x v="24"/>
    <x v="1"/>
    <n v="5"/>
    <x v="3"/>
    <x v="3"/>
  </r>
  <r>
    <d v="2019-12-12T00:00:00"/>
    <x v="2"/>
    <d v="1917-12-09T00:00:00"/>
    <x v="20"/>
    <x v="1"/>
    <n v="1"/>
    <x v="21"/>
    <x v="1"/>
    <n v="53"/>
    <x v="3"/>
    <x v="3"/>
  </r>
  <r>
    <d v="2019-12-12T00:00:00"/>
    <x v="2"/>
    <d v="1917-12-09T00:00:00"/>
    <x v="20"/>
    <x v="1"/>
    <n v="1"/>
    <x v="19"/>
    <x v="1"/>
    <n v="13"/>
    <x v="3"/>
    <x v="3"/>
  </r>
  <r>
    <d v="2019-12-12T00:00:00"/>
    <x v="2"/>
    <d v="1912-04-30T00:00:00"/>
    <x v="18"/>
    <x v="1"/>
    <n v="2"/>
    <x v="20"/>
    <x v="1"/>
    <n v="22"/>
    <x v="3"/>
    <x v="3"/>
  </r>
  <r>
    <d v="2019-12-12T00:00:00"/>
    <x v="2"/>
    <d v="1912-04-30T00:00:00"/>
    <x v="18"/>
    <x v="1"/>
    <n v="2"/>
    <x v="15"/>
    <x v="1"/>
    <n v="7"/>
    <x v="3"/>
    <x v="3"/>
  </r>
  <r>
    <d v="2019-12-12T00:00:00"/>
    <x v="2"/>
    <d v="1912-04-30T00:00:00"/>
    <x v="18"/>
    <x v="1"/>
    <n v="2"/>
    <x v="23"/>
    <x v="1"/>
    <n v="3"/>
    <x v="3"/>
    <x v="3"/>
  </r>
  <r>
    <d v="2019-12-12T00:00:00"/>
    <x v="2"/>
    <d v="1912-04-30T00:00:00"/>
    <x v="18"/>
    <x v="1"/>
    <n v="2"/>
    <x v="16"/>
    <x v="1"/>
    <n v="2"/>
    <x v="3"/>
    <x v="3"/>
  </r>
  <r>
    <d v="2019-12-12T00:00:00"/>
    <x v="2"/>
    <d v="1912-04-30T00:00:00"/>
    <x v="18"/>
    <x v="0"/>
    <n v="2"/>
    <x v="27"/>
    <x v="1"/>
    <n v="4"/>
    <x v="3"/>
    <x v="3"/>
  </r>
  <r>
    <d v="2019-12-12T00:00:00"/>
    <x v="2"/>
    <d v="1912-04-30T00:00:00"/>
    <x v="18"/>
    <x v="0"/>
    <n v="2"/>
    <x v="33"/>
    <x v="1"/>
    <n v="2"/>
    <x v="3"/>
    <x v="3"/>
  </r>
  <r>
    <d v="2019-12-12T00:00:00"/>
    <x v="2"/>
    <d v="1912-04-30T00:00:00"/>
    <x v="18"/>
    <x v="0"/>
    <n v="2"/>
    <x v="28"/>
    <x v="1"/>
    <n v="8"/>
    <x v="3"/>
    <x v="3"/>
  </r>
  <r>
    <d v="2019-12-12T00:00:00"/>
    <x v="2"/>
    <d v="1912-04-30T00:00:00"/>
    <x v="18"/>
    <x v="0"/>
    <n v="2"/>
    <x v="15"/>
    <x v="1"/>
    <n v="2"/>
    <x v="3"/>
    <x v="3"/>
  </r>
  <r>
    <d v="2019-12-12T00:00:00"/>
    <x v="2"/>
    <d v="1912-04-30T00:00:00"/>
    <x v="18"/>
    <x v="0"/>
    <n v="2"/>
    <x v="24"/>
    <x v="1"/>
    <n v="5"/>
    <x v="3"/>
    <x v="3"/>
  </r>
  <r>
    <d v="2019-12-12T00:00:00"/>
    <x v="2"/>
    <d v="1912-04-30T00:00:00"/>
    <x v="18"/>
    <x v="0"/>
    <n v="2"/>
    <x v="2"/>
    <x v="1"/>
    <n v="1"/>
    <x v="3"/>
    <x v="3"/>
  </r>
  <r>
    <d v="2019-12-12T00:00:00"/>
    <x v="2"/>
    <d v="1912-04-30T00:00:00"/>
    <x v="18"/>
    <x v="0"/>
    <n v="2"/>
    <x v="34"/>
    <x v="1"/>
    <n v="1"/>
    <x v="3"/>
    <x v="3"/>
  </r>
  <r>
    <d v="2019-12-12T00:00:00"/>
    <x v="2"/>
    <d v="1912-04-30T00:00:00"/>
    <x v="18"/>
    <x v="0"/>
    <n v="2"/>
    <x v="16"/>
    <x v="1"/>
    <n v="5"/>
    <x v="3"/>
    <x v="3"/>
  </r>
  <r>
    <d v="2019-12-12T00:00:00"/>
    <x v="2"/>
    <d v="1912-04-30T00:00:00"/>
    <x v="18"/>
    <x v="0"/>
    <n v="2"/>
    <x v="19"/>
    <x v="1"/>
    <n v="1"/>
    <x v="3"/>
    <x v="3"/>
  </r>
  <r>
    <d v="2019-12-12T00:00:00"/>
    <x v="2"/>
    <d v="1912-04-30T00:00:00"/>
    <x v="18"/>
    <x v="0"/>
    <n v="2"/>
    <x v="30"/>
    <x v="1"/>
    <n v="2"/>
    <x v="3"/>
    <x v="3"/>
  </r>
  <r>
    <d v="2019-12-12T00:00:00"/>
    <x v="2"/>
    <d v="1917-12-06T00:00:00"/>
    <x v="17"/>
    <x v="1"/>
    <n v="1"/>
    <x v="27"/>
    <x v="0"/>
    <n v="1"/>
    <x v="3"/>
    <x v="3"/>
  </r>
  <r>
    <d v="2019-12-12T00:00:00"/>
    <x v="2"/>
    <d v="1917-12-06T00:00:00"/>
    <x v="17"/>
    <x v="1"/>
    <n v="1"/>
    <x v="33"/>
    <x v="0"/>
    <n v="12"/>
    <x v="3"/>
    <x v="3"/>
  </r>
  <r>
    <d v="2019-12-12T00:00:00"/>
    <x v="2"/>
    <d v="1917-12-06T00:00:00"/>
    <x v="17"/>
    <x v="1"/>
    <n v="1"/>
    <x v="15"/>
    <x v="0"/>
    <n v="14"/>
    <x v="3"/>
    <x v="3"/>
  </r>
  <r>
    <d v="2019-12-12T00:00:00"/>
    <x v="2"/>
    <d v="1917-12-06T00:00:00"/>
    <x v="17"/>
    <x v="1"/>
    <n v="1"/>
    <x v="29"/>
    <x v="0"/>
    <n v="4"/>
    <x v="3"/>
    <x v="3"/>
  </r>
  <r>
    <d v="2019-12-12T00:00:00"/>
    <x v="2"/>
    <d v="1917-12-06T00:00:00"/>
    <x v="17"/>
    <x v="1"/>
    <n v="1"/>
    <x v="25"/>
    <x v="0"/>
    <n v="14"/>
    <x v="3"/>
    <x v="3"/>
  </r>
  <r>
    <d v="2019-12-12T00:00:00"/>
    <x v="2"/>
    <d v="1917-12-06T00:00:00"/>
    <x v="17"/>
    <x v="1"/>
    <n v="1"/>
    <x v="23"/>
    <x v="0"/>
    <n v="7"/>
    <x v="3"/>
    <x v="3"/>
  </r>
  <r>
    <d v="2019-12-12T00:00:00"/>
    <x v="2"/>
    <d v="1917-12-06T00:00:00"/>
    <x v="17"/>
    <x v="1"/>
    <n v="1"/>
    <x v="16"/>
    <x v="0"/>
    <n v="4"/>
    <x v="3"/>
    <x v="3"/>
  </r>
  <r>
    <d v="2019-12-12T00:00:00"/>
    <x v="2"/>
    <d v="1917-12-06T00:00:00"/>
    <x v="17"/>
    <x v="1"/>
    <n v="1"/>
    <x v="19"/>
    <x v="0"/>
    <n v="6"/>
    <x v="3"/>
    <x v="3"/>
  </r>
  <r>
    <d v="2019-12-12T00:00:00"/>
    <x v="2"/>
    <d v="1917-12-06T00:00:00"/>
    <x v="17"/>
    <x v="1"/>
    <n v="2"/>
    <x v="32"/>
    <x v="0"/>
    <n v="2"/>
    <x v="3"/>
    <x v="3"/>
  </r>
  <r>
    <d v="2019-12-12T00:00:00"/>
    <x v="2"/>
    <d v="1917-12-06T00:00:00"/>
    <x v="17"/>
    <x v="1"/>
    <n v="2"/>
    <x v="28"/>
    <x v="0"/>
    <n v="4"/>
    <x v="3"/>
    <x v="3"/>
  </r>
  <r>
    <d v="2019-12-12T00:00:00"/>
    <x v="2"/>
    <d v="1917-12-06T00:00:00"/>
    <x v="17"/>
    <x v="1"/>
    <n v="2"/>
    <x v="30"/>
    <x v="0"/>
    <n v="1"/>
    <x v="3"/>
    <x v="3"/>
  </r>
  <r>
    <d v="2019-12-12T00:00:00"/>
    <x v="2"/>
    <d v="1917-12-06T00:00:00"/>
    <x v="17"/>
    <x v="0"/>
    <n v="1"/>
    <x v="3"/>
    <x v="0"/>
    <n v="24"/>
    <x v="3"/>
    <x v="3"/>
  </r>
  <r>
    <d v="2019-12-12T00:00:00"/>
    <x v="2"/>
    <d v="1917-12-06T00:00:00"/>
    <x v="17"/>
    <x v="0"/>
    <n v="2"/>
    <x v="20"/>
    <x v="0"/>
    <n v="31"/>
    <x v="3"/>
    <x v="3"/>
  </r>
  <r>
    <d v="2019-12-12T00:00:00"/>
    <x v="2"/>
    <d v="1917-12-06T00:00:00"/>
    <x v="17"/>
    <x v="1"/>
    <n v="1"/>
    <x v="20"/>
    <x v="1"/>
    <n v="2"/>
    <x v="3"/>
    <x v="3"/>
  </r>
  <r>
    <d v="2019-12-12T00:00:00"/>
    <x v="2"/>
    <d v="1917-12-06T00:00:00"/>
    <x v="17"/>
    <x v="1"/>
    <n v="1"/>
    <x v="2"/>
    <x v="1"/>
    <n v="17"/>
    <x v="3"/>
    <x v="3"/>
  </r>
  <r>
    <d v="2019-12-12T00:00:00"/>
    <x v="2"/>
    <d v="1917-12-06T00:00:00"/>
    <x v="17"/>
    <x v="1"/>
    <n v="1"/>
    <x v="21"/>
    <x v="1"/>
    <n v="8"/>
    <x v="3"/>
    <x v="3"/>
  </r>
  <r>
    <d v="2019-12-12T00:00:00"/>
    <x v="2"/>
    <d v="1917-12-06T00:00:00"/>
    <x v="17"/>
    <x v="1"/>
    <n v="1"/>
    <x v="16"/>
    <x v="1"/>
    <n v="11"/>
    <x v="3"/>
    <x v="3"/>
  </r>
  <r>
    <d v="2019-12-12T00:00:00"/>
    <x v="2"/>
    <d v="1917-12-06T00:00:00"/>
    <x v="17"/>
    <x v="1"/>
    <n v="1"/>
    <x v="17"/>
    <x v="1"/>
    <n v="24"/>
    <x v="3"/>
    <x v="3"/>
  </r>
  <r>
    <d v="2019-12-12T00:00:00"/>
    <x v="2"/>
    <d v="1917-12-06T00:00:00"/>
    <x v="17"/>
    <x v="1"/>
    <n v="2"/>
    <x v="0"/>
    <x v="1"/>
    <n v="7"/>
    <x v="3"/>
    <x v="3"/>
  </r>
  <r>
    <d v="2019-12-12T00:00:00"/>
    <x v="2"/>
    <d v="1917-12-06T00:00:00"/>
    <x v="17"/>
    <x v="0"/>
    <n v="1"/>
    <x v="27"/>
    <x v="1"/>
    <n v="2"/>
    <x v="3"/>
    <x v="3"/>
  </r>
  <r>
    <d v="2019-12-12T00:00:00"/>
    <x v="2"/>
    <d v="1917-12-06T00:00:00"/>
    <x v="17"/>
    <x v="0"/>
    <n v="1"/>
    <x v="31"/>
    <x v="1"/>
    <n v="2"/>
    <x v="3"/>
    <x v="3"/>
  </r>
  <r>
    <d v="2019-12-12T00:00:00"/>
    <x v="2"/>
    <d v="1917-12-06T00:00:00"/>
    <x v="17"/>
    <x v="0"/>
    <n v="1"/>
    <x v="32"/>
    <x v="1"/>
    <n v="1"/>
    <x v="3"/>
    <x v="3"/>
  </r>
  <r>
    <d v="2019-12-12T00:00:00"/>
    <x v="2"/>
    <d v="1917-12-06T00:00:00"/>
    <x v="17"/>
    <x v="0"/>
    <n v="1"/>
    <x v="28"/>
    <x v="1"/>
    <n v="5"/>
    <x v="3"/>
    <x v="3"/>
  </r>
  <r>
    <d v="2019-12-12T00:00:00"/>
    <x v="2"/>
    <d v="1917-12-06T00:00:00"/>
    <x v="17"/>
    <x v="0"/>
    <n v="1"/>
    <x v="24"/>
    <x v="1"/>
    <n v="3"/>
    <x v="3"/>
    <x v="3"/>
  </r>
  <r>
    <d v="2019-12-12T00:00:00"/>
    <x v="2"/>
    <d v="1917-12-06T00:00:00"/>
    <x v="17"/>
    <x v="0"/>
    <n v="1"/>
    <x v="16"/>
    <x v="1"/>
    <n v="10"/>
    <x v="3"/>
    <x v="3"/>
  </r>
  <r>
    <d v="2019-12-12T00:00:00"/>
    <x v="2"/>
    <d v="1917-12-06T00:00:00"/>
    <x v="17"/>
    <x v="0"/>
    <n v="1"/>
    <x v="10"/>
    <x v="1"/>
    <n v="1"/>
    <x v="3"/>
    <x v="3"/>
  </r>
  <r>
    <d v="2019-12-12T00:00:00"/>
    <x v="2"/>
    <d v="1917-12-06T00:00:00"/>
    <x v="17"/>
    <x v="0"/>
    <n v="2"/>
    <x v="27"/>
    <x v="1"/>
    <n v="14"/>
    <x v="3"/>
    <x v="3"/>
  </r>
  <r>
    <d v="2019-12-12T00:00:00"/>
    <x v="2"/>
    <d v="1917-12-06T00:00:00"/>
    <x v="17"/>
    <x v="0"/>
    <n v="2"/>
    <x v="33"/>
    <x v="1"/>
    <n v="15"/>
    <x v="3"/>
    <x v="3"/>
  </r>
  <r>
    <d v="2019-12-12T00:00:00"/>
    <x v="2"/>
    <d v="1917-12-06T00:00:00"/>
    <x v="17"/>
    <x v="0"/>
    <n v="2"/>
    <x v="32"/>
    <x v="1"/>
    <n v="1"/>
    <x v="3"/>
    <x v="3"/>
  </r>
  <r>
    <d v="2019-12-12T00:00:00"/>
    <x v="2"/>
    <d v="1917-12-06T00:00:00"/>
    <x v="17"/>
    <x v="0"/>
    <n v="2"/>
    <x v="28"/>
    <x v="1"/>
    <n v="4"/>
    <x v="3"/>
    <x v="3"/>
  </r>
  <r>
    <d v="2019-12-12T00:00:00"/>
    <x v="2"/>
    <d v="1917-12-06T00:00:00"/>
    <x v="17"/>
    <x v="0"/>
    <n v="2"/>
    <x v="20"/>
    <x v="1"/>
    <n v="3"/>
    <x v="3"/>
    <x v="3"/>
  </r>
  <r>
    <d v="2019-12-12T00:00:00"/>
    <x v="2"/>
    <d v="1917-12-06T00:00:00"/>
    <x v="17"/>
    <x v="0"/>
    <n v="2"/>
    <x v="24"/>
    <x v="1"/>
    <n v="7"/>
    <x v="3"/>
    <x v="3"/>
  </r>
  <r>
    <d v="2019-12-12T00:00:00"/>
    <x v="2"/>
    <d v="1917-12-06T00:00:00"/>
    <x v="17"/>
    <x v="0"/>
    <n v="2"/>
    <x v="29"/>
    <x v="1"/>
    <n v="7"/>
    <x v="3"/>
    <x v="3"/>
  </r>
  <r>
    <d v="2019-12-12T00:00:00"/>
    <x v="2"/>
    <d v="1917-12-06T00:00:00"/>
    <x v="17"/>
    <x v="0"/>
    <n v="2"/>
    <x v="19"/>
    <x v="1"/>
    <n v="4"/>
    <x v="3"/>
    <x v="3"/>
  </r>
  <r>
    <d v="2019-12-12T00:00:00"/>
    <x v="2"/>
    <d v="1925-06-22T00:00:00"/>
    <x v="22"/>
    <x v="1"/>
    <n v="1"/>
    <x v="27"/>
    <x v="0"/>
    <n v="4"/>
    <x v="3"/>
    <x v="3"/>
  </r>
  <r>
    <d v="2019-12-12T00:00:00"/>
    <x v="2"/>
    <d v="1925-06-22T00:00:00"/>
    <x v="22"/>
    <x v="1"/>
    <n v="1"/>
    <x v="31"/>
    <x v="0"/>
    <n v="6"/>
    <x v="3"/>
    <x v="3"/>
  </r>
  <r>
    <d v="2019-12-12T00:00:00"/>
    <x v="2"/>
    <d v="1925-06-22T00:00:00"/>
    <x v="22"/>
    <x v="1"/>
    <n v="1"/>
    <x v="28"/>
    <x v="0"/>
    <n v="2"/>
    <x v="3"/>
    <x v="3"/>
  </r>
  <r>
    <d v="2019-12-12T00:00:00"/>
    <x v="2"/>
    <d v="1925-06-22T00:00:00"/>
    <x v="22"/>
    <x v="1"/>
    <n v="1"/>
    <x v="15"/>
    <x v="0"/>
    <n v="21"/>
    <x v="3"/>
    <x v="3"/>
  </r>
  <r>
    <d v="2019-12-12T00:00:00"/>
    <x v="2"/>
    <d v="1925-06-22T00:00:00"/>
    <x v="22"/>
    <x v="1"/>
    <n v="1"/>
    <x v="24"/>
    <x v="0"/>
    <n v="14"/>
    <x v="3"/>
    <x v="3"/>
  </r>
  <r>
    <d v="2019-12-12T00:00:00"/>
    <x v="2"/>
    <d v="1925-06-22T00:00:00"/>
    <x v="22"/>
    <x v="1"/>
    <n v="1"/>
    <x v="25"/>
    <x v="0"/>
    <n v="2"/>
    <x v="3"/>
    <x v="3"/>
  </r>
  <r>
    <d v="2019-12-12T00:00:00"/>
    <x v="2"/>
    <d v="1925-06-22T00:00:00"/>
    <x v="22"/>
    <x v="1"/>
    <n v="1"/>
    <x v="23"/>
    <x v="0"/>
    <n v="3"/>
    <x v="3"/>
    <x v="3"/>
  </r>
  <r>
    <d v="2019-12-12T00:00:00"/>
    <x v="2"/>
    <d v="1925-06-22T00:00:00"/>
    <x v="22"/>
    <x v="1"/>
    <n v="1"/>
    <x v="21"/>
    <x v="0"/>
    <n v="1"/>
    <x v="3"/>
    <x v="3"/>
  </r>
  <r>
    <d v="2019-12-12T00:00:00"/>
    <x v="2"/>
    <d v="1925-06-22T00:00:00"/>
    <x v="22"/>
    <x v="1"/>
    <n v="1"/>
    <x v="3"/>
    <x v="0"/>
    <n v="1"/>
    <x v="3"/>
    <x v="3"/>
  </r>
  <r>
    <d v="2019-12-12T00:00:00"/>
    <x v="2"/>
    <d v="1925-06-22T00:00:00"/>
    <x v="22"/>
    <x v="1"/>
    <n v="1"/>
    <x v="16"/>
    <x v="0"/>
    <n v="15"/>
    <x v="3"/>
    <x v="3"/>
  </r>
  <r>
    <d v="2019-12-12T00:00:00"/>
    <x v="2"/>
    <d v="1925-06-22T00:00:00"/>
    <x v="22"/>
    <x v="1"/>
    <n v="1"/>
    <x v="30"/>
    <x v="0"/>
    <n v="4"/>
    <x v="3"/>
    <x v="3"/>
  </r>
  <r>
    <d v="2019-12-12T00:00:00"/>
    <x v="2"/>
    <d v="1925-06-22T00:00:00"/>
    <x v="22"/>
    <x v="0"/>
    <n v="1"/>
    <x v="20"/>
    <x v="0"/>
    <n v="60"/>
    <x v="3"/>
    <x v="3"/>
  </r>
  <r>
    <d v="2019-12-12T00:00:00"/>
    <x v="2"/>
    <d v="1925-06-22T00:00:00"/>
    <x v="22"/>
    <x v="0"/>
    <n v="1"/>
    <x v="5"/>
    <x v="0"/>
    <n v="6"/>
    <x v="3"/>
    <x v="3"/>
  </r>
  <r>
    <d v="2019-12-12T00:00:00"/>
    <x v="2"/>
    <d v="1925-06-22T00:00:00"/>
    <x v="22"/>
    <x v="0"/>
    <n v="1"/>
    <x v="24"/>
    <x v="0"/>
    <n v="6"/>
    <x v="3"/>
    <x v="3"/>
  </r>
  <r>
    <d v="2019-12-12T00:00:00"/>
    <x v="2"/>
    <d v="1925-06-22T00:00:00"/>
    <x v="22"/>
    <x v="0"/>
    <n v="2"/>
    <x v="17"/>
    <x v="0"/>
    <n v="7"/>
    <x v="3"/>
    <x v="3"/>
  </r>
  <r>
    <d v="2019-12-12T00:00:00"/>
    <x v="2"/>
    <d v="1925-06-22T00:00:00"/>
    <x v="22"/>
    <x v="0"/>
    <n v="1"/>
    <x v="4"/>
    <x v="1"/>
    <n v="6"/>
    <x v="3"/>
    <x v="3"/>
  </r>
  <r>
    <d v="2019-12-12T00:00:00"/>
    <x v="2"/>
    <d v="1925-06-22T00:00:00"/>
    <x v="22"/>
    <x v="0"/>
    <n v="1"/>
    <x v="27"/>
    <x v="1"/>
    <n v="9"/>
    <x v="3"/>
    <x v="3"/>
  </r>
  <r>
    <d v="2019-12-12T00:00:00"/>
    <x v="2"/>
    <d v="1925-06-22T00:00:00"/>
    <x v="22"/>
    <x v="0"/>
    <n v="1"/>
    <x v="33"/>
    <x v="1"/>
    <n v="1"/>
    <x v="3"/>
    <x v="3"/>
  </r>
  <r>
    <d v="2019-12-12T00:00:00"/>
    <x v="2"/>
    <d v="1925-06-22T00:00:00"/>
    <x v="22"/>
    <x v="0"/>
    <n v="1"/>
    <x v="28"/>
    <x v="1"/>
    <n v="7"/>
    <x v="3"/>
    <x v="3"/>
  </r>
  <r>
    <d v="2019-12-12T00:00:00"/>
    <x v="2"/>
    <d v="1925-06-22T00:00:00"/>
    <x v="22"/>
    <x v="0"/>
    <n v="1"/>
    <x v="15"/>
    <x v="1"/>
    <n v="6"/>
    <x v="3"/>
    <x v="3"/>
  </r>
  <r>
    <d v="2019-12-12T00:00:00"/>
    <x v="2"/>
    <d v="1925-06-22T00:00:00"/>
    <x v="22"/>
    <x v="0"/>
    <n v="1"/>
    <x v="24"/>
    <x v="1"/>
    <n v="7"/>
    <x v="3"/>
    <x v="3"/>
  </r>
  <r>
    <d v="2019-12-12T00:00:00"/>
    <x v="2"/>
    <d v="1925-06-22T00:00:00"/>
    <x v="22"/>
    <x v="0"/>
    <n v="1"/>
    <x v="29"/>
    <x v="1"/>
    <n v="1"/>
    <x v="3"/>
    <x v="3"/>
  </r>
  <r>
    <d v="2019-12-12T00:00:00"/>
    <x v="2"/>
    <d v="1925-06-22T00:00:00"/>
    <x v="22"/>
    <x v="0"/>
    <n v="1"/>
    <x v="2"/>
    <x v="1"/>
    <n v="4"/>
    <x v="3"/>
    <x v="3"/>
  </r>
  <r>
    <d v="2019-12-12T00:00:00"/>
    <x v="2"/>
    <d v="1925-06-22T00:00:00"/>
    <x v="22"/>
    <x v="0"/>
    <n v="1"/>
    <x v="25"/>
    <x v="1"/>
    <n v="2"/>
    <x v="3"/>
    <x v="3"/>
  </r>
  <r>
    <d v="2019-12-12T00:00:00"/>
    <x v="2"/>
    <d v="1925-06-22T00:00:00"/>
    <x v="22"/>
    <x v="0"/>
    <n v="1"/>
    <x v="23"/>
    <x v="1"/>
    <n v="2"/>
    <x v="3"/>
    <x v="3"/>
  </r>
  <r>
    <d v="2019-12-12T00:00:00"/>
    <x v="2"/>
    <d v="1925-06-22T00:00:00"/>
    <x v="22"/>
    <x v="0"/>
    <n v="1"/>
    <x v="21"/>
    <x v="1"/>
    <n v="13"/>
    <x v="3"/>
    <x v="3"/>
  </r>
  <r>
    <d v="2019-12-12T00:00:00"/>
    <x v="2"/>
    <d v="1925-06-22T00:00:00"/>
    <x v="22"/>
    <x v="0"/>
    <n v="1"/>
    <x v="16"/>
    <x v="1"/>
    <n v="14"/>
    <x v="3"/>
    <x v="3"/>
  </r>
  <r>
    <d v="2019-12-12T00:00:00"/>
    <x v="2"/>
    <d v="1925-06-22T00:00:00"/>
    <x v="22"/>
    <x v="0"/>
    <n v="2"/>
    <x v="15"/>
    <x v="1"/>
    <n v="4"/>
    <x v="3"/>
    <x v="3"/>
  </r>
  <r>
    <d v="2019-12-12T00:00:00"/>
    <x v="2"/>
    <d v="1925-06-22T00:00:00"/>
    <x v="22"/>
    <x v="0"/>
    <n v="2"/>
    <x v="34"/>
    <x v="1"/>
    <n v="1"/>
    <x v="3"/>
    <x v="3"/>
  </r>
  <r>
    <d v="2019-12-12T00:00:00"/>
    <x v="2"/>
    <d v="1925-06-22T00:00:00"/>
    <x v="22"/>
    <x v="0"/>
    <n v="2"/>
    <x v="21"/>
    <x v="1"/>
    <n v="1"/>
    <x v="3"/>
    <x v="3"/>
  </r>
  <r>
    <d v="2019-12-12T00:00:00"/>
    <x v="2"/>
    <d v="1925-06-22T00:00:00"/>
    <x v="22"/>
    <x v="0"/>
    <n v="2"/>
    <x v="19"/>
    <x v="1"/>
    <n v="1"/>
    <x v="3"/>
    <x v="3"/>
  </r>
  <r>
    <d v="2019-12-12T00:00:00"/>
    <x v="2"/>
    <d v="1925-06-22T00:00:00"/>
    <x v="22"/>
    <x v="1"/>
    <n v="1"/>
    <x v="20"/>
    <x v="0"/>
    <n v="12"/>
    <x v="3"/>
    <x v="3"/>
  </r>
  <r>
    <d v="2019-12-12T00:00:00"/>
    <x v="2"/>
    <d v="1925-06-22T00:00:00"/>
    <x v="22"/>
    <x v="1"/>
    <n v="1"/>
    <x v="9"/>
    <x v="0"/>
    <n v="3"/>
    <x v="3"/>
    <x v="3"/>
  </r>
  <r>
    <d v="2019-12-12T00:00:00"/>
    <x v="2"/>
    <d v="1925-06-22T00:00:00"/>
    <x v="22"/>
    <x v="1"/>
    <n v="1"/>
    <x v="17"/>
    <x v="0"/>
    <n v="7"/>
    <x v="3"/>
    <x v="3"/>
  </r>
  <r>
    <d v="2019-12-12T00:00:00"/>
    <x v="2"/>
    <d v="1925-06-22T00:00:00"/>
    <x v="22"/>
    <x v="1"/>
    <n v="2"/>
    <x v="5"/>
    <x v="0"/>
    <n v="2"/>
    <x v="3"/>
    <x v="3"/>
  </r>
  <r>
    <d v="2019-12-12T00:00:00"/>
    <x v="2"/>
    <d v="1925-06-22T00:00:00"/>
    <x v="22"/>
    <x v="1"/>
    <n v="2"/>
    <x v="26"/>
    <x v="0"/>
    <n v="4"/>
    <x v="3"/>
    <x v="3"/>
  </r>
  <r>
    <d v="2019-12-12T00:00:00"/>
    <x v="2"/>
    <d v="1925-06-22T00:00:00"/>
    <x v="22"/>
    <x v="1"/>
    <n v="2"/>
    <x v="21"/>
    <x v="0"/>
    <n v="3"/>
    <x v="3"/>
    <x v="3"/>
  </r>
  <r>
    <d v="2019-12-12T00:00:00"/>
    <x v="2"/>
    <d v="1925-06-22T00:00:00"/>
    <x v="22"/>
    <x v="1"/>
    <n v="2"/>
    <x v="3"/>
    <x v="0"/>
    <n v="15"/>
    <x v="3"/>
    <x v="3"/>
  </r>
  <r>
    <d v="2019-12-12T00:00:00"/>
    <x v="2"/>
    <d v="1925-06-22T00:00:00"/>
    <x v="22"/>
    <x v="1"/>
    <n v="2"/>
    <x v="19"/>
    <x v="0"/>
    <n v="27"/>
    <x v="3"/>
    <x v="3"/>
  </r>
  <r>
    <d v="2019-12-12T00:00:00"/>
    <x v="2"/>
    <d v="1925-07-07T00:00:00"/>
    <x v="24"/>
    <x v="1"/>
    <n v="1"/>
    <x v="27"/>
    <x v="0"/>
    <n v="1"/>
    <x v="3"/>
    <x v="3"/>
  </r>
  <r>
    <d v="2019-12-12T00:00:00"/>
    <x v="2"/>
    <d v="1925-07-07T00:00:00"/>
    <x v="24"/>
    <x v="1"/>
    <n v="1"/>
    <x v="33"/>
    <x v="0"/>
    <n v="1"/>
    <x v="3"/>
    <x v="3"/>
  </r>
  <r>
    <d v="2019-12-12T00:00:00"/>
    <x v="2"/>
    <d v="1925-07-07T00:00:00"/>
    <x v="24"/>
    <x v="1"/>
    <n v="1"/>
    <x v="15"/>
    <x v="0"/>
    <n v="12"/>
    <x v="3"/>
    <x v="3"/>
  </r>
  <r>
    <d v="2019-12-12T00:00:00"/>
    <x v="2"/>
    <d v="1925-07-07T00:00:00"/>
    <x v="24"/>
    <x v="1"/>
    <n v="1"/>
    <x v="24"/>
    <x v="0"/>
    <n v="2"/>
    <x v="3"/>
    <x v="3"/>
  </r>
  <r>
    <d v="2019-12-12T00:00:00"/>
    <x v="2"/>
    <d v="1925-07-07T00:00:00"/>
    <x v="24"/>
    <x v="1"/>
    <n v="1"/>
    <x v="25"/>
    <x v="0"/>
    <n v="1"/>
    <x v="3"/>
    <x v="3"/>
  </r>
  <r>
    <d v="2019-12-12T00:00:00"/>
    <x v="2"/>
    <d v="1925-07-07T00:00:00"/>
    <x v="24"/>
    <x v="1"/>
    <n v="1"/>
    <x v="21"/>
    <x v="0"/>
    <n v="6"/>
    <x v="3"/>
    <x v="3"/>
  </r>
  <r>
    <d v="2019-12-12T00:00:00"/>
    <x v="2"/>
    <d v="1925-07-07T00:00:00"/>
    <x v="24"/>
    <x v="1"/>
    <n v="1"/>
    <x v="19"/>
    <x v="0"/>
    <n v="4"/>
    <x v="3"/>
    <x v="3"/>
  </r>
  <r>
    <d v="2019-12-12T00:00:00"/>
    <x v="2"/>
    <d v="1925-07-07T00:00:00"/>
    <x v="24"/>
    <x v="0"/>
    <n v="1"/>
    <x v="20"/>
    <x v="0"/>
    <n v="44"/>
    <x v="3"/>
    <x v="3"/>
  </r>
  <r>
    <d v="2019-12-12T00:00:00"/>
    <x v="2"/>
    <d v="1925-07-07T00:00:00"/>
    <x v="24"/>
    <x v="0"/>
    <n v="2"/>
    <x v="0"/>
    <x v="0"/>
    <n v="8"/>
    <x v="3"/>
    <x v="3"/>
  </r>
  <r>
    <d v="2019-12-12T00:00:00"/>
    <x v="2"/>
    <d v="1925-07-07T00:00:00"/>
    <x v="24"/>
    <x v="0"/>
    <n v="2"/>
    <x v="20"/>
    <x v="0"/>
    <n v="2"/>
    <x v="3"/>
    <x v="3"/>
  </r>
  <r>
    <d v="2019-12-12T00:00:00"/>
    <x v="2"/>
    <d v="1925-07-07T00:00:00"/>
    <x v="24"/>
    <x v="1"/>
    <n v="1"/>
    <x v="21"/>
    <x v="1"/>
    <n v="7"/>
    <x v="3"/>
    <x v="3"/>
  </r>
  <r>
    <d v="2019-12-12T00:00:00"/>
    <x v="2"/>
    <d v="1925-07-07T00:00:00"/>
    <x v="24"/>
    <x v="1"/>
    <n v="1"/>
    <x v="13"/>
    <x v="1"/>
    <n v="2"/>
    <x v="3"/>
    <x v="3"/>
  </r>
  <r>
    <d v="2019-12-12T00:00:00"/>
    <x v="2"/>
    <d v="1925-07-07T00:00:00"/>
    <x v="24"/>
    <x v="1"/>
    <n v="1"/>
    <x v="14"/>
    <x v="1"/>
    <n v="18"/>
    <x v="3"/>
    <x v="3"/>
  </r>
  <r>
    <d v="2019-12-12T00:00:00"/>
    <x v="2"/>
    <d v="1925-07-07T00:00:00"/>
    <x v="24"/>
    <x v="0"/>
    <n v="1"/>
    <x v="4"/>
    <x v="1"/>
    <n v="1"/>
    <x v="3"/>
    <x v="3"/>
  </r>
  <r>
    <d v="2019-12-12T00:00:00"/>
    <x v="2"/>
    <d v="1925-07-07T00:00:00"/>
    <x v="24"/>
    <x v="0"/>
    <n v="1"/>
    <x v="33"/>
    <x v="1"/>
    <n v="3"/>
    <x v="3"/>
    <x v="3"/>
  </r>
  <r>
    <d v="2019-12-12T00:00:00"/>
    <x v="2"/>
    <d v="1925-07-07T00:00:00"/>
    <x v="24"/>
    <x v="0"/>
    <n v="1"/>
    <x v="15"/>
    <x v="1"/>
    <n v="20"/>
    <x v="3"/>
    <x v="3"/>
  </r>
  <r>
    <d v="2019-12-12T00:00:00"/>
    <x v="2"/>
    <d v="1925-07-07T00:00:00"/>
    <x v="24"/>
    <x v="0"/>
    <n v="1"/>
    <x v="23"/>
    <x v="1"/>
    <n v="13"/>
    <x v="3"/>
    <x v="3"/>
  </r>
  <r>
    <d v="2019-12-12T00:00:00"/>
    <x v="2"/>
    <d v="1925-07-07T00:00:00"/>
    <x v="24"/>
    <x v="0"/>
    <n v="1"/>
    <x v="21"/>
    <x v="1"/>
    <n v="7"/>
    <x v="3"/>
    <x v="3"/>
  </r>
  <r>
    <d v="2019-12-12T00:00:00"/>
    <x v="2"/>
    <d v="1925-07-07T00:00:00"/>
    <x v="24"/>
    <x v="0"/>
    <n v="2"/>
    <x v="33"/>
    <x v="1"/>
    <n v="1"/>
    <x v="3"/>
    <x v="3"/>
  </r>
  <r>
    <d v="2019-12-12T00:00:00"/>
    <x v="2"/>
    <d v="1925-07-07T00:00:00"/>
    <x v="24"/>
    <x v="0"/>
    <n v="2"/>
    <x v="32"/>
    <x v="1"/>
    <n v="1"/>
    <x v="3"/>
    <x v="3"/>
  </r>
  <r>
    <d v="2019-12-12T00:00:00"/>
    <x v="2"/>
    <d v="1925-07-07T00:00:00"/>
    <x v="24"/>
    <x v="0"/>
    <n v="2"/>
    <x v="28"/>
    <x v="1"/>
    <n v="3"/>
    <x v="3"/>
    <x v="3"/>
  </r>
  <r>
    <d v="2019-12-12T00:00:00"/>
    <x v="2"/>
    <d v="1925-07-07T00:00:00"/>
    <x v="24"/>
    <x v="0"/>
    <n v="2"/>
    <x v="15"/>
    <x v="1"/>
    <n v="2"/>
    <x v="3"/>
    <x v="3"/>
  </r>
  <r>
    <d v="2019-12-12T00:00:00"/>
    <x v="2"/>
    <d v="1925-07-07T00:00:00"/>
    <x v="24"/>
    <x v="0"/>
    <n v="2"/>
    <x v="23"/>
    <x v="1"/>
    <n v="2"/>
    <x v="3"/>
    <x v="3"/>
  </r>
  <r>
    <d v="2019-12-12T00:00:00"/>
    <x v="2"/>
    <d v="1925-07-07T00:00:00"/>
    <x v="24"/>
    <x v="0"/>
    <n v="2"/>
    <x v="21"/>
    <x v="1"/>
    <n v="1"/>
    <x v="3"/>
    <x v="3"/>
  </r>
  <r>
    <d v="2020-01-17T00:00:00"/>
    <x v="3"/>
    <d v="1902-10-26T00:00:00"/>
    <x v="0"/>
    <x v="1"/>
    <n v="1"/>
    <x v="4"/>
    <x v="0"/>
    <n v="17"/>
    <x v="4"/>
    <x v="4"/>
  </r>
  <r>
    <d v="2020-01-17T00:00:00"/>
    <x v="3"/>
    <d v="1902-10-26T00:00:00"/>
    <x v="0"/>
    <x v="1"/>
    <n v="1"/>
    <x v="11"/>
    <x v="0"/>
    <n v="1"/>
    <x v="4"/>
    <x v="4"/>
  </r>
  <r>
    <d v="2020-01-17T00:00:00"/>
    <x v="3"/>
    <d v="1902-10-26T00:00:00"/>
    <x v="0"/>
    <x v="1"/>
    <n v="1"/>
    <x v="12"/>
    <x v="0"/>
    <n v="5"/>
    <x v="4"/>
    <x v="4"/>
  </r>
  <r>
    <d v="2020-01-17T00:00:00"/>
    <x v="3"/>
    <d v="1902-10-26T00:00:00"/>
    <x v="0"/>
    <x v="1"/>
    <n v="1"/>
    <x v="5"/>
    <x v="0"/>
    <n v="2"/>
    <x v="4"/>
    <x v="4"/>
  </r>
  <r>
    <d v="2020-01-17T00:00:00"/>
    <x v="3"/>
    <d v="1902-10-26T00:00:00"/>
    <x v="0"/>
    <x v="1"/>
    <n v="1"/>
    <x v="2"/>
    <x v="0"/>
    <n v="2"/>
    <x v="4"/>
    <x v="4"/>
  </r>
  <r>
    <d v="2020-01-17T00:00:00"/>
    <x v="3"/>
    <d v="1902-10-26T00:00:00"/>
    <x v="0"/>
    <x v="1"/>
    <n v="1"/>
    <x v="6"/>
    <x v="0"/>
    <n v="2"/>
    <x v="4"/>
    <x v="4"/>
  </r>
  <r>
    <d v="2020-01-17T00:00:00"/>
    <x v="3"/>
    <d v="1902-10-26T00:00:00"/>
    <x v="0"/>
    <x v="1"/>
    <n v="1"/>
    <x v="7"/>
    <x v="0"/>
    <n v="16"/>
    <x v="4"/>
    <x v="4"/>
  </r>
  <r>
    <d v="2020-01-17T00:00:00"/>
    <x v="3"/>
    <d v="1902-10-26T00:00:00"/>
    <x v="0"/>
    <x v="1"/>
    <n v="1"/>
    <x v="13"/>
    <x v="0"/>
    <n v="3"/>
    <x v="4"/>
    <x v="4"/>
  </r>
  <r>
    <d v="2020-01-17T00:00:00"/>
    <x v="3"/>
    <d v="1902-10-26T00:00:00"/>
    <x v="0"/>
    <x v="1"/>
    <n v="1"/>
    <x v="3"/>
    <x v="0"/>
    <n v="3"/>
    <x v="4"/>
    <x v="4"/>
  </r>
  <r>
    <d v="2020-01-17T00:00:00"/>
    <x v="3"/>
    <d v="1902-10-26T00:00:00"/>
    <x v="0"/>
    <x v="1"/>
    <n v="1"/>
    <x v="9"/>
    <x v="0"/>
    <n v="8"/>
    <x v="4"/>
    <x v="4"/>
  </r>
  <r>
    <d v="2020-01-17T00:00:00"/>
    <x v="3"/>
    <d v="1902-10-26T00:00:00"/>
    <x v="0"/>
    <x v="1"/>
    <n v="1"/>
    <x v="10"/>
    <x v="0"/>
    <n v="4"/>
    <x v="4"/>
    <x v="4"/>
  </r>
  <r>
    <d v="2020-01-17T00:00:00"/>
    <x v="3"/>
    <d v="1902-10-26T00:00:00"/>
    <x v="0"/>
    <x v="1"/>
    <n v="2"/>
    <x v="11"/>
    <x v="0"/>
    <n v="2"/>
    <x v="4"/>
    <x v="4"/>
  </r>
  <r>
    <d v="2020-01-17T00:00:00"/>
    <x v="3"/>
    <d v="1902-10-26T00:00:00"/>
    <x v="0"/>
    <x v="1"/>
    <n v="2"/>
    <x v="5"/>
    <x v="0"/>
    <n v="1"/>
    <x v="4"/>
    <x v="4"/>
  </r>
  <r>
    <d v="2020-01-17T00:00:00"/>
    <x v="3"/>
    <d v="1902-10-26T00:00:00"/>
    <x v="0"/>
    <x v="0"/>
    <n v="1"/>
    <x v="0"/>
    <x v="0"/>
    <n v="15"/>
    <x v="4"/>
    <x v="4"/>
  </r>
  <r>
    <d v="2020-01-17T00:00:00"/>
    <x v="3"/>
    <d v="1902-10-26T00:00:00"/>
    <x v="0"/>
    <x v="0"/>
    <n v="1"/>
    <x v="1"/>
    <x v="0"/>
    <n v="20"/>
    <x v="4"/>
    <x v="4"/>
  </r>
  <r>
    <d v="2020-01-17T00:00:00"/>
    <x v="3"/>
    <d v="1902-10-26T00:00:00"/>
    <x v="0"/>
    <x v="0"/>
    <n v="1"/>
    <x v="2"/>
    <x v="0"/>
    <n v="37"/>
    <x v="4"/>
    <x v="4"/>
  </r>
  <r>
    <d v="2020-01-17T00:00:00"/>
    <x v="3"/>
    <d v="1902-10-26T00:00:00"/>
    <x v="0"/>
    <x v="0"/>
    <n v="1"/>
    <x v="3"/>
    <x v="0"/>
    <n v="3"/>
    <x v="4"/>
    <x v="4"/>
  </r>
  <r>
    <d v="2020-01-17T00:00:00"/>
    <x v="3"/>
    <d v="1902-10-26T00:00:00"/>
    <x v="0"/>
    <x v="1"/>
    <n v="1"/>
    <x v="0"/>
    <x v="0"/>
    <n v="12"/>
    <x v="4"/>
    <x v="4"/>
  </r>
  <r>
    <d v="2020-01-17T00:00:00"/>
    <x v="3"/>
    <d v="1902-10-26T00:00:00"/>
    <x v="0"/>
    <x v="1"/>
    <n v="1"/>
    <x v="12"/>
    <x v="0"/>
    <n v="2"/>
    <x v="4"/>
    <x v="4"/>
  </r>
  <r>
    <d v="2020-01-17T00:00:00"/>
    <x v="3"/>
    <d v="1902-10-26T00:00:00"/>
    <x v="0"/>
    <x v="1"/>
    <n v="1"/>
    <x v="5"/>
    <x v="0"/>
    <n v="6"/>
    <x v="4"/>
    <x v="4"/>
  </r>
  <r>
    <d v="2020-01-17T00:00:00"/>
    <x v="3"/>
    <d v="1902-10-26T00:00:00"/>
    <x v="0"/>
    <x v="1"/>
    <n v="1"/>
    <x v="13"/>
    <x v="0"/>
    <n v="32"/>
    <x v="4"/>
    <x v="4"/>
  </r>
  <r>
    <d v="2020-01-17T00:00:00"/>
    <x v="3"/>
    <d v="1902-10-26T00:00:00"/>
    <x v="0"/>
    <x v="1"/>
    <n v="1"/>
    <x v="14"/>
    <x v="0"/>
    <n v="14"/>
    <x v="4"/>
    <x v="4"/>
  </r>
  <r>
    <d v="2020-01-17T00:00:00"/>
    <x v="3"/>
    <d v="1902-10-26T00:00:00"/>
    <x v="0"/>
    <x v="1"/>
    <n v="1"/>
    <x v="4"/>
    <x v="1"/>
    <n v="12"/>
    <x v="4"/>
    <x v="4"/>
  </r>
  <r>
    <d v="2020-01-17T00:00:00"/>
    <x v="3"/>
    <d v="1902-10-26T00:00:00"/>
    <x v="0"/>
    <x v="1"/>
    <n v="1"/>
    <x v="11"/>
    <x v="1"/>
    <n v="11"/>
    <x v="4"/>
    <x v="4"/>
  </r>
  <r>
    <d v="2020-01-17T00:00:00"/>
    <x v="3"/>
    <d v="1902-10-26T00:00:00"/>
    <x v="0"/>
    <x v="1"/>
    <n v="1"/>
    <x v="6"/>
    <x v="1"/>
    <n v="8"/>
    <x v="4"/>
    <x v="4"/>
  </r>
  <r>
    <d v="2020-01-17T00:00:00"/>
    <x v="3"/>
    <d v="1902-10-26T00:00:00"/>
    <x v="0"/>
    <x v="1"/>
    <n v="1"/>
    <x v="7"/>
    <x v="1"/>
    <n v="9"/>
    <x v="4"/>
    <x v="4"/>
  </r>
  <r>
    <d v="2020-01-17T00:00:00"/>
    <x v="3"/>
    <d v="1902-10-26T00:00:00"/>
    <x v="0"/>
    <x v="1"/>
    <n v="1"/>
    <x v="13"/>
    <x v="1"/>
    <n v="3"/>
    <x v="4"/>
    <x v="4"/>
  </r>
  <r>
    <d v="2020-01-17T00:00:00"/>
    <x v="3"/>
    <d v="1902-10-26T00:00:00"/>
    <x v="0"/>
    <x v="1"/>
    <n v="1"/>
    <x v="3"/>
    <x v="1"/>
    <n v="13"/>
    <x v="4"/>
    <x v="4"/>
  </r>
  <r>
    <d v="2020-01-17T00:00:00"/>
    <x v="3"/>
    <d v="1902-10-26T00:00:00"/>
    <x v="0"/>
    <x v="1"/>
    <n v="1"/>
    <x v="9"/>
    <x v="1"/>
    <n v="16"/>
    <x v="4"/>
    <x v="4"/>
  </r>
  <r>
    <d v="2020-01-17T00:00:00"/>
    <x v="3"/>
    <d v="1902-10-26T00:00:00"/>
    <x v="0"/>
    <x v="1"/>
    <n v="1"/>
    <x v="10"/>
    <x v="1"/>
    <n v="3"/>
    <x v="4"/>
    <x v="4"/>
  </r>
  <r>
    <d v="2020-01-17T00:00:00"/>
    <x v="3"/>
    <d v="1906-05-29T00:00:00"/>
    <x v="1"/>
    <x v="1"/>
    <n v="1"/>
    <x v="4"/>
    <x v="0"/>
    <n v="9"/>
    <x v="4"/>
    <x v="4"/>
  </r>
  <r>
    <d v="2020-01-17T00:00:00"/>
    <x v="3"/>
    <d v="1906-05-29T00:00:00"/>
    <x v="1"/>
    <x v="1"/>
    <n v="1"/>
    <x v="0"/>
    <x v="0"/>
    <n v="3"/>
    <x v="4"/>
    <x v="4"/>
  </r>
  <r>
    <d v="2020-01-17T00:00:00"/>
    <x v="3"/>
    <d v="1906-05-29T00:00:00"/>
    <x v="1"/>
    <x v="1"/>
    <n v="1"/>
    <x v="11"/>
    <x v="0"/>
    <n v="14"/>
    <x v="4"/>
    <x v="4"/>
  </r>
  <r>
    <d v="2020-01-17T00:00:00"/>
    <x v="3"/>
    <d v="1906-05-29T00:00:00"/>
    <x v="1"/>
    <x v="1"/>
    <n v="1"/>
    <x v="7"/>
    <x v="0"/>
    <n v="3"/>
    <x v="4"/>
    <x v="4"/>
  </r>
  <r>
    <d v="2020-01-17T00:00:00"/>
    <x v="3"/>
    <d v="1906-05-29T00:00:00"/>
    <x v="1"/>
    <x v="1"/>
    <n v="1"/>
    <x v="13"/>
    <x v="0"/>
    <n v="8"/>
    <x v="4"/>
    <x v="4"/>
  </r>
  <r>
    <d v="2020-01-17T00:00:00"/>
    <x v="3"/>
    <d v="1906-05-29T00:00:00"/>
    <x v="1"/>
    <x v="1"/>
    <n v="1"/>
    <x v="9"/>
    <x v="0"/>
    <n v="9"/>
    <x v="4"/>
    <x v="4"/>
  </r>
  <r>
    <d v="2020-01-17T00:00:00"/>
    <x v="3"/>
    <d v="1906-05-29T00:00:00"/>
    <x v="1"/>
    <x v="0"/>
    <n v="1"/>
    <x v="0"/>
    <x v="0"/>
    <n v="1"/>
    <x v="4"/>
    <x v="4"/>
  </r>
  <r>
    <d v="2020-01-17T00:00:00"/>
    <x v="3"/>
    <d v="1906-05-29T00:00:00"/>
    <x v="1"/>
    <x v="0"/>
    <n v="1"/>
    <x v="20"/>
    <x v="0"/>
    <n v="23"/>
    <x v="4"/>
    <x v="4"/>
  </r>
  <r>
    <d v="2020-01-17T00:00:00"/>
    <x v="3"/>
    <d v="1906-05-29T00:00:00"/>
    <x v="1"/>
    <x v="0"/>
    <n v="1"/>
    <x v="36"/>
    <x v="0"/>
    <n v="13"/>
    <x v="4"/>
    <x v="4"/>
  </r>
  <r>
    <d v="2020-01-17T00:00:00"/>
    <x v="3"/>
    <d v="1906-05-29T00:00:00"/>
    <x v="1"/>
    <x v="0"/>
    <n v="1"/>
    <x v="23"/>
    <x v="0"/>
    <n v="5"/>
    <x v="4"/>
    <x v="4"/>
  </r>
  <r>
    <d v="2020-01-17T00:00:00"/>
    <x v="3"/>
    <d v="1906-05-29T00:00:00"/>
    <x v="1"/>
    <x v="0"/>
    <n v="1"/>
    <x v="13"/>
    <x v="0"/>
    <n v="8"/>
    <x v="4"/>
    <x v="4"/>
  </r>
  <r>
    <d v="2020-01-17T00:00:00"/>
    <x v="3"/>
    <d v="1906-05-29T00:00:00"/>
    <x v="1"/>
    <x v="1"/>
    <n v="1"/>
    <x v="13"/>
    <x v="1"/>
    <n v="3"/>
    <x v="4"/>
    <x v="4"/>
  </r>
  <r>
    <d v="2020-01-17T00:00:00"/>
    <x v="3"/>
    <d v="1906-05-29T00:00:00"/>
    <x v="1"/>
    <x v="1"/>
    <n v="1"/>
    <x v="16"/>
    <x v="1"/>
    <n v="4"/>
    <x v="4"/>
    <x v="4"/>
  </r>
  <r>
    <d v="2020-01-17T00:00:00"/>
    <x v="3"/>
    <d v="1906-05-29T00:00:00"/>
    <x v="1"/>
    <x v="1"/>
    <n v="1"/>
    <x v="17"/>
    <x v="1"/>
    <n v="39"/>
    <x v="4"/>
    <x v="4"/>
  </r>
  <r>
    <d v="2020-01-17T00:00:00"/>
    <x v="3"/>
    <d v="1906-05-29T00:00:00"/>
    <x v="1"/>
    <x v="0"/>
    <n v="1"/>
    <x v="0"/>
    <x v="1"/>
    <n v="8"/>
    <x v="4"/>
    <x v="4"/>
  </r>
  <r>
    <d v="2020-01-17T00:00:00"/>
    <x v="3"/>
    <d v="1906-05-29T00:00:00"/>
    <x v="1"/>
    <x v="0"/>
    <n v="1"/>
    <x v="11"/>
    <x v="1"/>
    <n v="4"/>
    <x v="4"/>
    <x v="4"/>
  </r>
  <r>
    <d v="2020-01-17T00:00:00"/>
    <x v="3"/>
    <d v="1906-05-29T00:00:00"/>
    <x v="1"/>
    <x v="0"/>
    <n v="1"/>
    <x v="20"/>
    <x v="1"/>
    <n v="1"/>
    <x v="4"/>
    <x v="4"/>
  </r>
  <r>
    <d v="2020-01-17T00:00:00"/>
    <x v="3"/>
    <d v="1906-05-29T00:00:00"/>
    <x v="1"/>
    <x v="0"/>
    <n v="1"/>
    <x v="5"/>
    <x v="1"/>
    <n v="2"/>
    <x v="4"/>
    <x v="4"/>
  </r>
  <r>
    <d v="2020-01-17T00:00:00"/>
    <x v="3"/>
    <d v="1906-05-29T00:00:00"/>
    <x v="1"/>
    <x v="0"/>
    <n v="1"/>
    <x v="6"/>
    <x v="1"/>
    <n v="4"/>
    <x v="4"/>
    <x v="4"/>
  </r>
  <r>
    <d v="2020-01-17T00:00:00"/>
    <x v="3"/>
    <d v="1906-05-29T00:00:00"/>
    <x v="1"/>
    <x v="0"/>
    <n v="1"/>
    <x v="23"/>
    <x v="1"/>
    <n v="4"/>
    <x v="4"/>
    <x v="4"/>
  </r>
  <r>
    <d v="2020-01-17T00:00:00"/>
    <x v="3"/>
    <d v="1906-05-29T00:00:00"/>
    <x v="1"/>
    <x v="0"/>
    <n v="1"/>
    <x v="7"/>
    <x v="1"/>
    <n v="9"/>
    <x v="4"/>
    <x v="4"/>
  </r>
  <r>
    <d v="2020-01-17T00:00:00"/>
    <x v="3"/>
    <d v="1906-05-29T00:00:00"/>
    <x v="1"/>
    <x v="0"/>
    <n v="1"/>
    <x v="13"/>
    <x v="1"/>
    <n v="4"/>
    <x v="4"/>
    <x v="4"/>
  </r>
  <r>
    <d v="2020-01-17T00:00:00"/>
    <x v="3"/>
    <d v="1906-05-29T00:00:00"/>
    <x v="1"/>
    <x v="0"/>
    <n v="1"/>
    <x v="3"/>
    <x v="1"/>
    <n v="6"/>
    <x v="4"/>
    <x v="4"/>
  </r>
  <r>
    <d v="2020-01-17T00:00:00"/>
    <x v="3"/>
    <d v="1906-05-29T00:00:00"/>
    <x v="1"/>
    <x v="0"/>
    <n v="1"/>
    <x v="9"/>
    <x v="1"/>
    <n v="5"/>
    <x v="4"/>
    <x v="4"/>
  </r>
  <r>
    <d v="2020-01-17T00:00:00"/>
    <x v="3"/>
    <d v="1906-05-29T00:00:00"/>
    <x v="1"/>
    <x v="0"/>
    <n v="1"/>
    <x v="10"/>
    <x v="1"/>
    <n v="3"/>
    <x v="4"/>
    <x v="4"/>
  </r>
  <r>
    <d v="2020-01-17T00:00:00"/>
    <x v="3"/>
    <d v="1906-06-18T00:00:00"/>
    <x v="3"/>
    <x v="1"/>
    <n v="1"/>
    <x v="12"/>
    <x v="0"/>
    <n v="17"/>
    <x v="4"/>
    <x v="4"/>
  </r>
  <r>
    <d v="2020-01-17T00:00:00"/>
    <x v="3"/>
    <d v="1906-06-18T00:00:00"/>
    <x v="3"/>
    <x v="1"/>
    <n v="1"/>
    <x v="2"/>
    <x v="0"/>
    <n v="44"/>
    <x v="4"/>
    <x v="4"/>
  </r>
  <r>
    <d v="2020-01-17T00:00:00"/>
    <x v="3"/>
    <d v="1906-06-18T00:00:00"/>
    <x v="3"/>
    <x v="1"/>
    <n v="1"/>
    <x v="13"/>
    <x v="0"/>
    <n v="1"/>
    <x v="4"/>
    <x v="4"/>
  </r>
  <r>
    <d v="2020-01-17T00:00:00"/>
    <x v="3"/>
    <d v="1906-06-18T00:00:00"/>
    <x v="3"/>
    <x v="1"/>
    <n v="1"/>
    <x v="14"/>
    <x v="0"/>
    <n v="19"/>
    <x v="4"/>
    <x v="4"/>
  </r>
  <r>
    <d v="2020-01-17T00:00:00"/>
    <x v="3"/>
    <d v="1906-06-18T00:00:00"/>
    <x v="3"/>
    <x v="0"/>
    <n v="1"/>
    <x v="4"/>
    <x v="0"/>
    <n v="9"/>
    <x v="4"/>
    <x v="4"/>
  </r>
  <r>
    <d v="2020-01-17T00:00:00"/>
    <x v="3"/>
    <d v="1906-06-18T00:00:00"/>
    <x v="3"/>
    <x v="0"/>
    <n v="1"/>
    <x v="11"/>
    <x v="0"/>
    <n v="6"/>
    <x v="4"/>
    <x v="4"/>
  </r>
  <r>
    <d v="2020-01-17T00:00:00"/>
    <x v="3"/>
    <d v="1906-06-18T00:00:00"/>
    <x v="3"/>
    <x v="0"/>
    <n v="1"/>
    <x v="15"/>
    <x v="0"/>
    <n v="2"/>
    <x v="4"/>
    <x v="4"/>
  </r>
  <r>
    <d v="2020-01-17T00:00:00"/>
    <x v="3"/>
    <d v="1906-06-18T00:00:00"/>
    <x v="3"/>
    <x v="0"/>
    <n v="1"/>
    <x v="1"/>
    <x v="0"/>
    <n v="2"/>
    <x v="4"/>
    <x v="4"/>
  </r>
  <r>
    <d v="2020-01-17T00:00:00"/>
    <x v="3"/>
    <d v="1906-06-18T00:00:00"/>
    <x v="3"/>
    <x v="0"/>
    <n v="1"/>
    <x v="6"/>
    <x v="0"/>
    <n v="2"/>
    <x v="4"/>
    <x v="4"/>
  </r>
  <r>
    <d v="2020-01-17T00:00:00"/>
    <x v="3"/>
    <d v="1906-06-18T00:00:00"/>
    <x v="3"/>
    <x v="0"/>
    <n v="1"/>
    <x v="23"/>
    <x v="0"/>
    <n v="2"/>
    <x v="4"/>
    <x v="4"/>
  </r>
  <r>
    <d v="2020-01-17T00:00:00"/>
    <x v="3"/>
    <d v="1906-06-18T00:00:00"/>
    <x v="3"/>
    <x v="0"/>
    <n v="1"/>
    <x v="7"/>
    <x v="0"/>
    <n v="22"/>
    <x v="4"/>
    <x v="4"/>
  </r>
  <r>
    <d v="2020-01-17T00:00:00"/>
    <x v="3"/>
    <d v="1906-06-18T00:00:00"/>
    <x v="3"/>
    <x v="0"/>
    <n v="1"/>
    <x v="13"/>
    <x v="0"/>
    <n v="2"/>
    <x v="4"/>
    <x v="4"/>
  </r>
  <r>
    <d v="2020-01-17T00:00:00"/>
    <x v="3"/>
    <d v="1906-06-18T00:00:00"/>
    <x v="3"/>
    <x v="0"/>
    <n v="1"/>
    <x v="9"/>
    <x v="0"/>
    <n v="9"/>
    <x v="4"/>
    <x v="4"/>
  </r>
  <r>
    <d v="2020-01-17T00:00:00"/>
    <x v="3"/>
    <d v="1906-06-18T00:00:00"/>
    <x v="3"/>
    <x v="0"/>
    <n v="1"/>
    <x v="10"/>
    <x v="0"/>
    <n v="2"/>
    <x v="4"/>
    <x v="4"/>
  </r>
  <r>
    <d v="2020-01-17T00:00:00"/>
    <x v="3"/>
    <d v="1906-06-18T00:00:00"/>
    <x v="3"/>
    <x v="1"/>
    <n v="1"/>
    <x v="4"/>
    <x v="1"/>
    <n v="8"/>
    <x v="4"/>
    <x v="4"/>
  </r>
  <r>
    <d v="2020-01-17T00:00:00"/>
    <x v="3"/>
    <d v="1906-06-18T00:00:00"/>
    <x v="3"/>
    <x v="1"/>
    <n v="1"/>
    <x v="0"/>
    <x v="1"/>
    <n v="7"/>
    <x v="4"/>
    <x v="4"/>
  </r>
  <r>
    <d v="2020-01-17T00:00:00"/>
    <x v="3"/>
    <d v="1906-06-18T00:00:00"/>
    <x v="3"/>
    <x v="1"/>
    <n v="1"/>
    <x v="11"/>
    <x v="1"/>
    <n v="6"/>
    <x v="4"/>
    <x v="4"/>
  </r>
  <r>
    <d v="2020-01-17T00:00:00"/>
    <x v="3"/>
    <d v="1906-06-18T00:00:00"/>
    <x v="3"/>
    <x v="1"/>
    <n v="1"/>
    <x v="5"/>
    <x v="1"/>
    <n v="21"/>
    <x v="4"/>
    <x v="4"/>
  </r>
  <r>
    <d v="2020-01-17T00:00:00"/>
    <x v="3"/>
    <d v="1906-06-18T00:00:00"/>
    <x v="3"/>
    <x v="1"/>
    <n v="1"/>
    <x v="1"/>
    <x v="1"/>
    <n v="1"/>
    <x v="4"/>
    <x v="4"/>
  </r>
  <r>
    <d v="2020-01-17T00:00:00"/>
    <x v="3"/>
    <d v="1906-06-18T00:00:00"/>
    <x v="3"/>
    <x v="1"/>
    <n v="1"/>
    <x v="2"/>
    <x v="1"/>
    <n v="4"/>
    <x v="4"/>
    <x v="4"/>
  </r>
  <r>
    <d v="2020-01-17T00:00:00"/>
    <x v="3"/>
    <d v="1906-06-18T00:00:00"/>
    <x v="3"/>
    <x v="1"/>
    <n v="1"/>
    <x v="6"/>
    <x v="1"/>
    <n v="3"/>
    <x v="4"/>
    <x v="4"/>
  </r>
  <r>
    <d v="2020-01-17T00:00:00"/>
    <x v="3"/>
    <d v="1906-06-18T00:00:00"/>
    <x v="3"/>
    <x v="1"/>
    <n v="1"/>
    <x v="7"/>
    <x v="1"/>
    <n v="4"/>
    <x v="4"/>
    <x v="4"/>
  </r>
  <r>
    <d v="2020-01-17T00:00:00"/>
    <x v="3"/>
    <d v="1906-06-18T00:00:00"/>
    <x v="3"/>
    <x v="1"/>
    <n v="1"/>
    <x v="13"/>
    <x v="1"/>
    <n v="13"/>
    <x v="4"/>
    <x v="4"/>
  </r>
  <r>
    <d v="2020-01-17T00:00:00"/>
    <x v="3"/>
    <d v="1906-06-18T00:00:00"/>
    <x v="3"/>
    <x v="1"/>
    <n v="1"/>
    <x v="3"/>
    <x v="1"/>
    <n v="5"/>
    <x v="4"/>
    <x v="4"/>
  </r>
  <r>
    <d v="2020-01-17T00:00:00"/>
    <x v="3"/>
    <d v="1906-06-18T00:00:00"/>
    <x v="3"/>
    <x v="1"/>
    <n v="1"/>
    <x v="9"/>
    <x v="1"/>
    <n v="9"/>
    <x v="4"/>
    <x v="4"/>
  </r>
  <r>
    <d v="2020-01-17T00:00:00"/>
    <x v="3"/>
    <d v="1912-04-27T00:00:00"/>
    <x v="4"/>
    <x v="1"/>
    <n v="1"/>
    <x v="4"/>
    <x v="0"/>
    <n v="3"/>
    <x v="4"/>
    <x v="4"/>
  </r>
  <r>
    <d v="2020-01-17T00:00:00"/>
    <x v="3"/>
    <d v="1912-04-27T00:00:00"/>
    <x v="4"/>
    <x v="1"/>
    <n v="1"/>
    <x v="11"/>
    <x v="0"/>
    <n v="1"/>
    <x v="4"/>
    <x v="4"/>
  </r>
  <r>
    <d v="2020-01-17T00:00:00"/>
    <x v="3"/>
    <d v="1912-04-27T00:00:00"/>
    <x v="4"/>
    <x v="1"/>
    <n v="1"/>
    <x v="7"/>
    <x v="0"/>
    <n v="3"/>
    <x v="4"/>
    <x v="4"/>
  </r>
  <r>
    <d v="2020-01-17T00:00:00"/>
    <x v="3"/>
    <d v="1912-04-27T00:00:00"/>
    <x v="4"/>
    <x v="1"/>
    <n v="1"/>
    <x v="3"/>
    <x v="0"/>
    <n v="1"/>
    <x v="4"/>
    <x v="4"/>
  </r>
  <r>
    <d v="2020-01-17T00:00:00"/>
    <x v="3"/>
    <d v="1912-04-27T00:00:00"/>
    <x v="4"/>
    <x v="1"/>
    <n v="1"/>
    <x v="10"/>
    <x v="0"/>
    <n v="4"/>
    <x v="4"/>
    <x v="4"/>
  </r>
  <r>
    <d v="2020-01-17T00:00:00"/>
    <x v="3"/>
    <d v="1912-04-27T00:00:00"/>
    <x v="4"/>
    <x v="0"/>
    <n v="1"/>
    <x v="20"/>
    <x v="0"/>
    <n v="25"/>
    <x v="4"/>
    <x v="4"/>
  </r>
  <r>
    <d v="2020-01-17T00:00:00"/>
    <x v="3"/>
    <d v="1912-04-27T00:00:00"/>
    <x v="4"/>
    <x v="0"/>
    <n v="1"/>
    <x v="7"/>
    <x v="0"/>
    <n v="2"/>
    <x v="4"/>
    <x v="4"/>
  </r>
  <r>
    <d v="2020-01-17T00:00:00"/>
    <x v="3"/>
    <d v="1912-04-27T00:00:00"/>
    <x v="4"/>
    <x v="0"/>
    <n v="1"/>
    <x v="19"/>
    <x v="0"/>
    <n v="46"/>
    <x v="4"/>
    <x v="4"/>
  </r>
  <r>
    <d v="2020-01-17T00:00:00"/>
    <x v="3"/>
    <d v="1912-04-27T00:00:00"/>
    <x v="4"/>
    <x v="1"/>
    <n v="1"/>
    <x v="11"/>
    <x v="1"/>
    <n v="3"/>
    <x v="4"/>
    <x v="4"/>
  </r>
  <r>
    <d v="2020-01-17T00:00:00"/>
    <x v="3"/>
    <d v="1912-04-27T00:00:00"/>
    <x v="4"/>
    <x v="1"/>
    <n v="1"/>
    <x v="13"/>
    <x v="1"/>
    <n v="2"/>
    <x v="4"/>
    <x v="4"/>
  </r>
  <r>
    <d v="2020-01-17T00:00:00"/>
    <x v="3"/>
    <d v="1912-04-27T00:00:00"/>
    <x v="4"/>
    <x v="1"/>
    <n v="1"/>
    <x v="3"/>
    <x v="1"/>
    <n v="7"/>
    <x v="4"/>
    <x v="4"/>
  </r>
  <r>
    <d v="2020-01-17T00:00:00"/>
    <x v="3"/>
    <d v="1912-04-27T00:00:00"/>
    <x v="4"/>
    <x v="0"/>
    <n v="1"/>
    <x v="4"/>
    <x v="1"/>
    <n v="6"/>
    <x v="4"/>
    <x v="4"/>
  </r>
  <r>
    <d v="2020-01-17T00:00:00"/>
    <x v="3"/>
    <d v="1912-04-27T00:00:00"/>
    <x v="4"/>
    <x v="0"/>
    <n v="1"/>
    <x v="0"/>
    <x v="1"/>
    <n v="11"/>
    <x v="4"/>
    <x v="4"/>
  </r>
  <r>
    <d v="2020-01-17T00:00:00"/>
    <x v="3"/>
    <d v="1912-04-27T00:00:00"/>
    <x v="4"/>
    <x v="0"/>
    <n v="1"/>
    <x v="11"/>
    <x v="1"/>
    <n v="5"/>
    <x v="4"/>
    <x v="4"/>
  </r>
  <r>
    <d v="2020-01-17T00:00:00"/>
    <x v="3"/>
    <d v="1912-04-27T00:00:00"/>
    <x v="4"/>
    <x v="0"/>
    <n v="1"/>
    <x v="5"/>
    <x v="1"/>
    <n v="8"/>
    <x v="4"/>
    <x v="4"/>
  </r>
  <r>
    <d v="2020-01-17T00:00:00"/>
    <x v="3"/>
    <d v="1912-04-27T00:00:00"/>
    <x v="4"/>
    <x v="0"/>
    <n v="1"/>
    <x v="2"/>
    <x v="1"/>
    <n v="11"/>
    <x v="4"/>
    <x v="4"/>
  </r>
  <r>
    <d v="2020-01-17T00:00:00"/>
    <x v="3"/>
    <d v="1912-04-27T00:00:00"/>
    <x v="4"/>
    <x v="0"/>
    <n v="1"/>
    <x v="7"/>
    <x v="1"/>
    <n v="5"/>
    <x v="4"/>
    <x v="4"/>
  </r>
  <r>
    <d v="2020-01-17T00:00:00"/>
    <x v="3"/>
    <d v="1912-04-27T00:00:00"/>
    <x v="4"/>
    <x v="0"/>
    <n v="1"/>
    <x v="21"/>
    <x v="1"/>
    <n v="2"/>
    <x v="4"/>
    <x v="4"/>
  </r>
  <r>
    <d v="2020-01-17T00:00:00"/>
    <x v="3"/>
    <d v="1912-04-27T00:00:00"/>
    <x v="4"/>
    <x v="0"/>
    <n v="1"/>
    <x v="13"/>
    <x v="1"/>
    <n v="12"/>
    <x v="4"/>
    <x v="4"/>
  </r>
  <r>
    <d v="2020-01-17T00:00:00"/>
    <x v="3"/>
    <d v="1912-04-27T00:00:00"/>
    <x v="4"/>
    <x v="0"/>
    <n v="1"/>
    <x v="3"/>
    <x v="1"/>
    <n v="7"/>
    <x v="4"/>
    <x v="4"/>
  </r>
  <r>
    <d v="2020-01-17T00:00:00"/>
    <x v="3"/>
    <d v="1912-04-27T00:00:00"/>
    <x v="4"/>
    <x v="0"/>
    <n v="1"/>
    <x v="10"/>
    <x v="1"/>
    <n v="6"/>
    <x v="4"/>
    <x v="4"/>
  </r>
  <r>
    <d v="2020-01-17T00:00:00"/>
    <x v="3"/>
    <d v="1912-04-28T00:00:00"/>
    <x v="5"/>
    <x v="1"/>
    <n v="1"/>
    <x v="4"/>
    <x v="0"/>
    <n v="8"/>
    <x v="4"/>
    <x v="4"/>
  </r>
  <r>
    <d v="2020-01-17T00:00:00"/>
    <x v="3"/>
    <d v="1912-04-28T00:00:00"/>
    <x v="5"/>
    <x v="1"/>
    <n v="1"/>
    <x v="0"/>
    <x v="0"/>
    <n v="3"/>
    <x v="4"/>
    <x v="4"/>
  </r>
  <r>
    <d v="2020-01-17T00:00:00"/>
    <x v="3"/>
    <d v="1912-04-28T00:00:00"/>
    <x v="5"/>
    <x v="1"/>
    <n v="1"/>
    <x v="1"/>
    <x v="0"/>
    <n v="2"/>
    <x v="4"/>
    <x v="4"/>
  </r>
  <r>
    <d v="2020-01-17T00:00:00"/>
    <x v="3"/>
    <d v="1912-04-28T00:00:00"/>
    <x v="5"/>
    <x v="1"/>
    <n v="1"/>
    <x v="6"/>
    <x v="0"/>
    <n v="2"/>
    <x v="4"/>
    <x v="4"/>
  </r>
  <r>
    <d v="2020-01-17T00:00:00"/>
    <x v="3"/>
    <d v="1912-04-28T00:00:00"/>
    <x v="5"/>
    <x v="1"/>
    <n v="1"/>
    <x v="7"/>
    <x v="0"/>
    <n v="2"/>
    <x v="4"/>
    <x v="4"/>
  </r>
  <r>
    <d v="2020-01-17T00:00:00"/>
    <x v="3"/>
    <d v="1912-04-28T00:00:00"/>
    <x v="5"/>
    <x v="1"/>
    <n v="1"/>
    <x v="3"/>
    <x v="0"/>
    <n v="7"/>
    <x v="4"/>
    <x v="4"/>
  </r>
  <r>
    <d v="2020-01-17T00:00:00"/>
    <x v="3"/>
    <d v="1912-04-28T00:00:00"/>
    <x v="5"/>
    <x v="1"/>
    <n v="1"/>
    <x v="9"/>
    <x v="0"/>
    <n v="3"/>
    <x v="4"/>
    <x v="4"/>
  </r>
  <r>
    <d v="2020-01-17T00:00:00"/>
    <x v="3"/>
    <d v="1912-04-28T00:00:00"/>
    <x v="5"/>
    <x v="1"/>
    <n v="2"/>
    <x v="7"/>
    <x v="0"/>
    <n v="3"/>
    <x v="4"/>
    <x v="4"/>
  </r>
  <r>
    <d v="2020-01-17T00:00:00"/>
    <x v="3"/>
    <d v="1912-04-28T00:00:00"/>
    <x v="5"/>
    <x v="1"/>
    <n v="2"/>
    <x v="9"/>
    <x v="0"/>
    <n v="4"/>
    <x v="4"/>
    <x v="4"/>
  </r>
  <r>
    <d v="2020-01-17T00:00:00"/>
    <x v="3"/>
    <d v="1912-04-28T00:00:00"/>
    <x v="5"/>
    <x v="0"/>
    <n v="1"/>
    <x v="12"/>
    <x v="0"/>
    <n v="22"/>
    <x v="4"/>
    <x v="4"/>
  </r>
  <r>
    <d v="2020-01-17T00:00:00"/>
    <x v="3"/>
    <d v="1912-04-28T00:00:00"/>
    <x v="5"/>
    <x v="0"/>
    <n v="1"/>
    <x v="21"/>
    <x v="0"/>
    <n v="41"/>
    <x v="4"/>
    <x v="4"/>
  </r>
  <r>
    <d v="2020-01-17T00:00:00"/>
    <x v="3"/>
    <d v="1912-04-28T00:00:00"/>
    <x v="5"/>
    <x v="0"/>
    <n v="1"/>
    <x v="13"/>
    <x v="0"/>
    <n v="6"/>
    <x v="4"/>
    <x v="4"/>
  </r>
  <r>
    <d v="2020-01-17T00:00:00"/>
    <x v="3"/>
    <d v="1912-04-29T00:00:00"/>
    <x v="6"/>
    <x v="1"/>
    <n v="1"/>
    <x v="4"/>
    <x v="0"/>
    <n v="12"/>
    <x v="4"/>
    <x v="4"/>
  </r>
  <r>
    <d v="2020-01-17T00:00:00"/>
    <x v="3"/>
    <d v="1912-04-29T00:00:00"/>
    <x v="6"/>
    <x v="1"/>
    <n v="1"/>
    <x v="0"/>
    <x v="0"/>
    <n v="4"/>
    <x v="4"/>
    <x v="4"/>
  </r>
  <r>
    <d v="2020-01-17T00:00:00"/>
    <x v="3"/>
    <d v="1912-04-29T00:00:00"/>
    <x v="6"/>
    <x v="1"/>
    <n v="1"/>
    <x v="11"/>
    <x v="0"/>
    <n v="10"/>
    <x v="4"/>
    <x v="4"/>
  </r>
  <r>
    <d v="2020-01-17T00:00:00"/>
    <x v="3"/>
    <d v="1912-04-29T00:00:00"/>
    <x v="6"/>
    <x v="1"/>
    <n v="1"/>
    <x v="20"/>
    <x v="0"/>
    <n v="1"/>
    <x v="4"/>
    <x v="4"/>
  </r>
  <r>
    <d v="2020-01-17T00:00:00"/>
    <x v="3"/>
    <d v="1912-04-29T00:00:00"/>
    <x v="6"/>
    <x v="1"/>
    <n v="1"/>
    <x v="5"/>
    <x v="0"/>
    <n v="3"/>
    <x v="4"/>
    <x v="4"/>
  </r>
  <r>
    <d v="2020-01-17T00:00:00"/>
    <x v="3"/>
    <d v="1912-04-29T00:00:00"/>
    <x v="6"/>
    <x v="1"/>
    <n v="1"/>
    <x v="24"/>
    <x v="0"/>
    <n v="1"/>
    <x v="4"/>
    <x v="4"/>
  </r>
  <r>
    <d v="2020-01-17T00:00:00"/>
    <x v="3"/>
    <d v="1912-04-29T00:00:00"/>
    <x v="6"/>
    <x v="1"/>
    <n v="1"/>
    <x v="1"/>
    <x v="0"/>
    <n v="3"/>
    <x v="4"/>
    <x v="4"/>
  </r>
  <r>
    <d v="2020-01-17T00:00:00"/>
    <x v="3"/>
    <d v="1912-04-29T00:00:00"/>
    <x v="6"/>
    <x v="1"/>
    <n v="1"/>
    <x v="2"/>
    <x v="0"/>
    <n v="3"/>
    <x v="4"/>
    <x v="4"/>
  </r>
  <r>
    <d v="2020-01-17T00:00:00"/>
    <x v="3"/>
    <d v="1912-04-29T00:00:00"/>
    <x v="6"/>
    <x v="1"/>
    <n v="1"/>
    <x v="6"/>
    <x v="0"/>
    <n v="1"/>
    <x v="4"/>
    <x v="4"/>
  </r>
  <r>
    <d v="2020-01-17T00:00:00"/>
    <x v="3"/>
    <d v="1912-04-29T00:00:00"/>
    <x v="6"/>
    <x v="1"/>
    <n v="1"/>
    <x v="7"/>
    <x v="0"/>
    <n v="1"/>
    <x v="4"/>
    <x v="4"/>
  </r>
  <r>
    <d v="2020-01-17T00:00:00"/>
    <x v="3"/>
    <d v="1912-04-29T00:00:00"/>
    <x v="6"/>
    <x v="1"/>
    <n v="1"/>
    <x v="3"/>
    <x v="0"/>
    <n v="9"/>
    <x v="4"/>
    <x v="4"/>
  </r>
  <r>
    <d v="2020-01-17T00:00:00"/>
    <x v="3"/>
    <d v="1912-04-29T00:00:00"/>
    <x v="6"/>
    <x v="1"/>
    <n v="1"/>
    <x v="9"/>
    <x v="0"/>
    <n v="2"/>
    <x v="4"/>
    <x v="4"/>
  </r>
  <r>
    <d v="2020-01-17T00:00:00"/>
    <x v="3"/>
    <d v="1912-04-29T00:00:00"/>
    <x v="6"/>
    <x v="1"/>
    <n v="1"/>
    <x v="10"/>
    <x v="0"/>
    <n v="1"/>
    <x v="4"/>
    <x v="4"/>
  </r>
  <r>
    <d v="2020-01-17T00:00:00"/>
    <x v="3"/>
    <d v="1912-04-29T00:00:00"/>
    <x v="6"/>
    <x v="0"/>
    <n v="1"/>
    <x v="11"/>
    <x v="0"/>
    <n v="8"/>
    <x v="4"/>
    <x v="4"/>
  </r>
  <r>
    <d v="2020-01-17T00:00:00"/>
    <x v="3"/>
    <d v="1912-04-29T00:00:00"/>
    <x v="6"/>
    <x v="0"/>
    <n v="1"/>
    <x v="20"/>
    <x v="0"/>
    <n v="4"/>
    <x v="4"/>
    <x v="4"/>
  </r>
  <r>
    <d v="2020-01-17T00:00:00"/>
    <x v="3"/>
    <d v="1912-04-29T00:00:00"/>
    <x v="6"/>
    <x v="0"/>
    <n v="1"/>
    <x v="2"/>
    <x v="0"/>
    <n v="1"/>
    <x v="4"/>
    <x v="4"/>
  </r>
  <r>
    <d v="2020-01-17T00:00:00"/>
    <x v="3"/>
    <d v="1912-04-29T00:00:00"/>
    <x v="6"/>
    <x v="0"/>
    <n v="1"/>
    <x v="13"/>
    <x v="0"/>
    <n v="7"/>
    <x v="4"/>
    <x v="4"/>
  </r>
  <r>
    <d v="2020-01-17T00:00:00"/>
    <x v="3"/>
    <d v="1912-04-29T00:00:00"/>
    <x v="6"/>
    <x v="0"/>
    <n v="1"/>
    <x v="3"/>
    <x v="0"/>
    <n v="12"/>
    <x v="4"/>
    <x v="4"/>
  </r>
  <r>
    <d v="2020-01-17T00:00:00"/>
    <x v="3"/>
    <d v="1912-04-29T00:00:00"/>
    <x v="6"/>
    <x v="0"/>
    <n v="1"/>
    <x v="17"/>
    <x v="0"/>
    <n v="28"/>
    <x v="4"/>
    <x v="4"/>
  </r>
  <r>
    <d v="2020-01-17T00:00:00"/>
    <x v="3"/>
    <d v="1912-04-29T00:00:00"/>
    <x v="6"/>
    <x v="0"/>
    <n v="2"/>
    <x v="13"/>
    <x v="0"/>
    <n v="12"/>
    <x v="4"/>
    <x v="4"/>
  </r>
  <r>
    <d v="2020-01-17T00:00:00"/>
    <x v="3"/>
    <d v="1912-04-29T00:00:00"/>
    <x v="6"/>
    <x v="1"/>
    <n v="1"/>
    <x v="11"/>
    <x v="1"/>
    <n v="1"/>
    <x v="4"/>
    <x v="4"/>
  </r>
  <r>
    <d v="2020-01-17T00:00:00"/>
    <x v="3"/>
    <d v="1912-04-29T00:00:00"/>
    <x v="6"/>
    <x v="1"/>
    <n v="1"/>
    <x v="20"/>
    <x v="1"/>
    <n v="16"/>
    <x v="4"/>
    <x v="4"/>
  </r>
  <r>
    <d v="2020-01-17T00:00:00"/>
    <x v="3"/>
    <d v="1912-04-29T00:00:00"/>
    <x v="6"/>
    <x v="1"/>
    <n v="1"/>
    <x v="2"/>
    <x v="1"/>
    <n v="7"/>
    <x v="4"/>
    <x v="4"/>
  </r>
  <r>
    <d v="2020-01-17T00:00:00"/>
    <x v="3"/>
    <d v="1912-04-29T00:00:00"/>
    <x v="6"/>
    <x v="1"/>
    <n v="1"/>
    <x v="13"/>
    <x v="1"/>
    <n v="3"/>
    <x v="4"/>
    <x v="4"/>
  </r>
  <r>
    <d v="2020-01-17T00:00:00"/>
    <x v="3"/>
    <d v="1912-04-29T00:00:00"/>
    <x v="6"/>
    <x v="1"/>
    <n v="1"/>
    <x v="3"/>
    <x v="1"/>
    <n v="19"/>
    <x v="4"/>
    <x v="4"/>
  </r>
  <r>
    <d v="2020-01-17T00:00:00"/>
    <x v="3"/>
    <d v="1912-04-29T00:00:00"/>
    <x v="6"/>
    <x v="1"/>
    <n v="1"/>
    <x v="16"/>
    <x v="1"/>
    <n v="5"/>
    <x v="4"/>
    <x v="4"/>
  </r>
  <r>
    <d v="2020-01-17T00:00:00"/>
    <x v="3"/>
    <d v="1912-04-29T00:00:00"/>
    <x v="6"/>
    <x v="0"/>
    <n v="1"/>
    <x v="4"/>
    <x v="1"/>
    <n v="9"/>
    <x v="4"/>
    <x v="4"/>
  </r>
  <r>
    <d v="2020-01-17T00:00:00"/>
    <x v="3"/>
    <d v="1912-04-29T00:00:00"/>
    <x v="6"/>
    <x v="0"/>
    <n v="1"/>
    <x v="0"/>
    <x v="1"/>
    <n v="5"/>
    <x v="4"/>
    <x v="4"/>
  </r>
  <r>
    <d v="2020-01-17T00:00:00"/>
    <x v="3"/>
    <d v="1912-04-29T00:00:00"/>
    <x v="6"/>
    <x v="0"/>
    <n v="1"/>
    <x v="11"/>
    <x v="1"/>
    <n v="10"/>
    <x v="4"/>
    <x v="4"/>
  </r>
  <r>
    <d v="2020-01-17T00:00:00"/>
    <x v="3"/>
    <d v="1912-04-29T00:00:00"/>
    <x v="6"/>
    <x v="0"/>
    <n v="1"/>
    <x v="31"/>
    <x v="1"/>
    <n v="7"/>
    <x v="4"/>
    <x v="4"/>
  </r>
  <r>
    <d v="2020-01-17T00:00:00"/>
    <x v="3"/>
    <d v="1912-04-29T00:00:00"/>
    <x v="6"/>
    <x v="0"/>
    <n v="1"/>
    <x v="15"/>
    <x v="1"/>
    <n v="15"/>
    <x v="4"/>
    <x v="4"/>
  </r>
  <r>
    <d v="2020-01-17T00:00:00"/>
    <x v="3"/>
    <d v="1912-04-29T00:00:00"/>
    <x v="6"/>
    <x v="0"/>
    <n v="1"/>
    <x v="23"/>
    <x v="1"/>
    <n v="9"/>
    <x v="4"/>
    <x v="4"/>
  </r>
  <r>
    <d v="2020-01-17T00:00:00"/>
    <x v="3"/>
    <d v="1912-04-29T00:00:00"/>
    <x v="6"/>
    <x v="0"/>
    <n v="1"/>
    <x v="21"/>
    <x v="1"/>
    <n v="9"/>
    <x v="4"/>
    <x v="4"/>
  </r>
  <r>
    <d v="2020-01-17T00:00:00"/>
    <x v="3"/>
    <d v="1912-04-29T00:00:00"/>
    <x v="6"/>
    <x v="0"/>
    <n v="1"/>
    <x v="13"/>
    <x v="1"/>
    <n v="7"/>
    <x v="4"/>
    <x v="4"/>
  </r>
  <r>
    <d v="2020-01-17T00:00:00"/>
    <x v="3"/>
    <d v="1912-04-29T00:00:00"/>
    <x v="6"/>
    <x v="0"/>
    <n v="1"/>
    <x v="3"/>
    <x v="1"/>
    <n v="8"/>
    <x v="4"/>
    <x v="4"/>
  </r>
  <r>
    <d v="2020-01-17T00:00:00"/>
    <x v="3"/>
    <d v="1917-12-08T00:00:00"/>
    <x v="7"/>
    <x v="1"/>
    <n v="1"/>
    <x v="24"/>
    <x v="0"/>
    <n v="1"/>
    <x v="4"/>
    <x v="4"/>
  </r>
  <r>
    <d v="2020-01-17T00:00:00"/>
    <x v="3"/>
    <d v="1917-12-08T00:00:00"/>
    <x v="7"/>
    <x v="1"/>
    <n v="1"/>
    <x v="1"/>
    <x v="0"/>
    <n v="6"/>
    <x v="4"/>
    <x v="4"/>
  </r>
  <r>
    <d v="2020-01-17T00:00:00"/>
    <x v="3"/>
    <d v="1917-12-08T00:00:00"/>
    <x v="7"/>
    <x v="1"/>
    <n v="1"/>
    <x v="6"/>
    <x v="0"/>
    <n v="9"/>
    <x v="4"/>
    <x v="4"/>
  </r>
  <r>
    <d v="2020-01-17T00:00:00"/>
    <x v="3"/>
    <d v="1917-12-08T00:00:00"/>
    <x v="7"/>
    <x v="1"/>
    <n v="1"/>
    <x v="7"/>
    <x v="0"/>
    <n v="13"/>
    <x v="4"/>
    <x v="4"/>
  </r>
  <r>
    <d v="2020-01-17T00:00:00"/>
    <x v="3"/>
    <d v="1917-12-08T00:00:00"/>
    <x v="7"/>
    <x v="1"/>
    <n v="1"/>
    <x v="21"/>
    <x v="0"/>
    <n v="3"/>
    <x v="4"/>
    <x v="4"/>
  </r>
  <r>
    <d v="2020-01-17T00:00:00"/>
    <x v="3"/>
    <d v="1917-12-08T00:00:00"/>
    <x v="7"/>
    <x v="1"/>
    <n v="1"/>
    <x v="9"/>
    <x v="0"/>
    <n v="3"/>
    <x v="4"/>
    <x v="4"/>
  </r>
  <r>
    <d v="2020-01-17T00:00:00"/>
    <x v="3"/>
    <d v="1917-12-08T00:00:00"/>
    <x v="7"/>
    <x v="1"/>
    <n v="1"/>
    <x v="10"/>
    <x v="0"/>
    <n v="3"/>
    <x v="4"/>
    <x v="4"/>
  </r>
  <r>
    <d v="2020-01-17T00:00:00"/>
    <x v="3"/>
    <d v="1917-12-08T00:00:00"/>
    <x v="7"/>
    <x v="0"/>
    <n v="1"/>
    <x v="0"/>
    <x v="0"/>
    <n v="16"/>
    <x v="4"/>
    <x v="4"/>
  </r>
  <r>
    <d v="2020-01-17T00:00:00"/>
    <x v="3"/>
    <d v="1917-12-08T00:00:00"/>
    <x v="7"/>
    <x v="0"/>
    <n v="1"/>
    <x v="1"/>
    <x v="0"/>
    <n v="15"/>
    <x v="4"/>
    <x v="4"/>
  </r>
  <r>
    <d v="2020-01-17T00:00:00"/>
    <x v="3"/>
    <d v="1917-12-08T00:00:00"/>
    <x v="7"/>
    <x v="0"/>
    <n v="1"/>
    <x v="21"/>
    <x v="0"/>
    <n v="41"/>
    <x v="4"/>
    <x v="4"/>
  </r>
  <r>
    <d v="2020-01-17T00:00:00"/>
    <x v="3"/>
    <d v="1917-12-08T00:00:00"/>
    <x v="7"/>
    <x v="0"/>
    <n v="1"/>
    <x v="13"/>
    <x v="0"/>
    <n v="17"/>
    <x v="4"/>
    <x v="4"/>
  </r>
  <r>
    <d v="2020-01-17T00:00:00"/>
    <x v="3"/>
    <d v="1917-12-08T00:00:00"/>
    <x v="7"/>
    <x v="0"/>
    <n v="1"/>
    <x v="17"/>
    <x v="0"/>
    <n v="2"/>
    <x v="4"/>
    <x v="4"/>
  </r>
  <r>
    <d v="2020-01-17T00:00:00"/>
    <x v="3"/>
    <d v="1917-12-08T00:00:00"/>
    <x v="7"/>
    <x v="1"/>
    <n v="1"/>
    <x v="0"/>
    <x v="1"/>
    <n v="1"/>
    <x v="4"/>
    <x v="4"/>
  </r>
  <r>
    <d v="2020-01-17T00:00:00"/>
    <x v="3"/>
    <d v="1917-12-08T00:00:00"/>
    <x v="7"/>
    <x v="1"/>
    <n v="1"/>
    <x v="20"/>
    <x v="1"/>
    <n v="1"/>
    <x v="4"/>
    <x v="4"/>
  </r>
  <r>
    <d v="2020-01-17T00:00:00"/>
    <x v="3"/>
    <d v="1917-12-08T00:00:00"/>
    <x v="7"/>
    <x v="1"/>
    <n v="1"/>
    <x v="15"/>
    <x v="1"/>
    <n v="1"/>
    <x v="4"/>
    <x v="4"/>
  </r>
  <r>
    <d v="2020-01-17T00:00:00"/>
    <x v="3"/>
    <d v="1917-12-08T00:00:00"/>
    <x v="7"/>
    <x v="1"/>
    <n v="1"/>
    <x v="24"/>
    <x v="1"/>
    <n v="2"/>
    <x v="4"/>
    <x v="4"/>
  </r>
  <r>
    <d v="2020-01-17T00:00:00"/>
    <x v="3"/>
    <d v="1917-12-08T00:00:00"/>
    <x v="7"/>
    <x v="1"/>
    <n v="1"/>
    <x v="23"/>
    <x v="1"/>
    <n v="2"/>
    <x v="4"/>
    <x v="4"/>
  </r>
  <r>
    <d v="2020-01-17T00:00:00"/>
    <x v="3"/>
    <d v="1917-12-08T00:00:00"/>
    <x v="7"/>
    <x v="1"/>
    <n v="1"/>
    <x v="21"/>
    <x v="1"/>
    <n v="9"/>
    <x v="4"/>
    <x v="4"/>
  </r>
  <r>
    <d v="2020-01-17T00:00:00"/>
    <x v="3"/>
    <d v="1917-12-08T00:00:00"/>
    <x v="7"/>
    <x v="1"/>
    <n v="1"/>
    <x v="16"/>
    <x v="1"/>
    <n v="4"/>
    <x v="4"/>
    <x v="4"/>
  </r>
  <r>
    <d v="2020-01-17T00:00:00"/>
    <x v="3"/>
    <d v="1917-12-08T00:00:00"/>
    <x v="7"/>
    <x v="1"/>
    <n v="1"/>
    <x v="17"/>
    <x v="1"/>
    <n v="18"/>
    <x v="4"/>
    <x v="4"/>
  </r>
  <r>
    <d v="2020-01-17T00:00:00"/>
    <x v="3"/>
    <d v="1917-12-08T00:00:00"/>
    <x v="7"/>
    <x v="0"/>
    <n v="1"/>
    <x v="4"/>
    <x v="1"/>
    <n v="14"/>
    <x v="4"/>
    <x v="4"/>
  </r>
  <r>
    <d v="2020-01-17T00:00:00"/>
    <x v="3"/>
    <d v="1917-12-08T00:00:00"/>
    <x v="7"/>
    <x v="0"/>
    <n v="1"/>
    <x v="0"/>
    <x v="1"/>
    <n v="5"/>
    <x v="4"/>
    <x v="4"/>
  </r>
  <r>
    <d v="2020-01-17T00:00:00"/>
    <x v="3"/>
    <d v="1917-12-08T00:00:00"/>
    <x v="7"/>
    <x v="0"/>
    <n v="1"/>
    <x v="11"/>
    <x v="1"/>
    <n v="7"/>
    <x v="4"/>
    <x v="4"/>
  </r>
  <r>
    <d v="2020-01-17T00:00:00"/>
    <x v="3"/>
    <d v="1917-12-08T00:00:00"/>
    <x v="7"/>
    <x v="0"/>
    <n v="1"/>
    <x v="5"/>
    <x v="1"/>
    <n v="1"/>
    <x v="4"/>
    <x v="4"/>
  </r>
  <r>
    <d v="2020-01-17T00:00:00"/>
    <x v="3"/>
    <d v="1917-12-08T00:00:00"/>
    <x v="7"/>
    <x v="0"/>
    <n v="1"/>
    <x v="1"/>
    <x v="1"/>
    <n v="5"/>
    <x v="4"/>
    <x v="4"/>
  </r>
  <r>
    <d v="2020-01-17T00:00:00"/>
    <x v="3"/>
    <d v="1917-12-08T00:00:00"/>
    <x v="7"/>
    <x v="0"/>
    <n v="1"/>
    <x v="7"/>
    <x v="1"/>
    <n v="19"/>
    <x v="4"/>
    <x v="4"/>
  </r>
  <r>
    <d v="2020-01-17T00:00:00"/>
    <x v="3"/>
    <d v="1917-12-08T00:00:00"/>
    <x v="7"/>
    <x v="0"/>
    <n v="1"/>
    <x v="13"/>
    <x v="1"/>
    <n v="4"/>
    <x v="4"/>
    <x v="4"/>
  </r>
  <r>
    <d v="2020-01-17T00:00:00"/>
    <x v="3"/>
    <d v="1917-12-08T00:00:00"/>
    <x v="7"/>
    <x v="0"/>
    <n v="1"/>
    <x v="3"/>
    <x v="1"/>
    <n v="1"/>
    <x v="4"/>
    <x v="4"/>
  </r>
  <r>
    <d v="2020-01-17T00:00:00"/>
    <x v="3"/>
    <d v="1917-12-08T00:00:00"/>
    <x v="7"/>
    <x v="0"/>
    <n v="1"/>
    <x v="9"/>
    <x v="1"/>
    <n v="28"/>
    <x v="4"/>
    <x v="4"/>
  </r>
  <r>
    <d v="2020-01-17T00:00:00"/>
    <x v="3"/>
    <d v="1917-12-08T00:00:00"/>
    <x v="7"/>
    <x v="0"/>
    <n v="1"/>
    <x v="10"/>
    <x v="1"/>
    <n v="3"/>
    <x v="4"/>
    <x v="4"/>
  </r>
  <r>
    <d v="2020-01-17T00:00:00"/>
    <x v="3"/>
    <d v="1917-12-08T00:00:00"/>
    <x v="7"/>
    <x v="0"/>
    <n v="2"/>
    <x v="4"/>
    <x v="1"/>
    <n v="1"/>
    <x v="4"/>
    <x v="4"/>
  </r>
  <r>
    <d v="2020-01-17T00:00:00"/>
    <x v="3"/>
    <d v="1917-12-08T00:00:00"/>
    <x v="7"/>
    <x v="0"/>
    <n v="2"/>
    <x v="11"/>
    <x v="1"/>
    <n v="2"/>
    <x v="4"/>
    <x v="4"/>
  </r>
  <r>
    <d v="2020-01-17T00:00:00"/>
    <x v="3"/>
    <d v="1917-12-08T00:00:00"/>
    <x v="7"/>
    <x v="0"/>
    <n v="2"/>
    <x v="9"/>
    <x v="1"/>
    <n v="1"/>
    <x v="4"/>
    <x v="4"/>
  </r>
  <r>
    <d v="2020-01-17T00:00:00"/>
    <x v="3"/>
    <d v="1920-01-02T00:00:00"/>
    <x v="25"/>
    <x v="1"/>
    <n v="1"/>
    <x v="11"/>
    <x v="0"/>
    <n v="2"/>
    <x v="4"/>
    <x v="4"/>
  </r>
  <r>
    <d v="2020-01-17T00:00:00"/>
    <x v="3"/>
    <d v="1920-01-02T00:00:00"/>
    <x v="25"/>
    <x v="1"/>
    <n v="1"/>
    <x v="5"/>
    <x v="0"/>
    <n v="4"/>
    <x v="4"/>
    <x v="4"/>
  </r>
  <r>
    <d v="2020-01-17T00:00:00"/>
    <x v="3"/>
    <d v="1920-01-02T00:00:00"/>
    <x v="25"/>
    <x v="1"/>
    <n v="1"/>
    <x v="2"/>
    <x v="0"/>
    <n v="31"/>
    <x v="4"/>
    <x v="4"/>
  </r>
  <r>
    <d v="2020-01-17T00:00:00"/>
    <x v="3"/>
    <d v="1920-01-02T00:00:00"/>
    <x v="25"/>
    <x v="1"/>
    <n v="1"/>
    <x v="13"/>
    <x v="0"/>
    <n v="18"/>
    <x v="4"/>
    <x v="4"/>
  </r>
  <r>
    <d v="2020-01-17T00:00:00"/>
    <x v="3"/>
    <d v="1920-01-02T00:00:00"/>
    <x v="25"/>
    <x v="1"/>
    <n v="1"/>
    <x v="3"/>
    <x v="0"/>
    <n v="1"/>
    <x v="4"/>
    <x v="4"/>
  </r>
  <r>
    <d v="2020-01-17T00:00:00"/>
    <x v="3"/>
    <d v="1920-01-02T00:00:00"/>
    <x v="25"/>
    <x v="1"/>
    <n v="1"/>
    <x v="19"/>
    <x v="0"/>
    <n v="12"/>
    <x v="4"/>
    <x v="4"/>
  </r>
  <r>
    <d v="2020-01-17T00:00:00"/>
    <x v="3"/>
    <d v="1920-01-02T00:00:00"/>
    <x v="25"/>
    <x v="1"/>
    <n v="1"/>
    <x v="17"/>
    <x v="0"/>
    <n v="2"/>
    <x v="4"/>
    <x v="4"/>
  </r>
  <r>
    <d v="2020-01-17T00:00:00"/>
    <x v="3"/>
    <d v="1920-01-02T00:00:00"/>
    <x v="25"/>
    <x v="0"/>
    <n v="1"/>
    <x v="4"/>
    <x v="0"/>
    <n v="4"/>
    <x v="4"/>
    <x v="4"/>
  </r>
  <r>
    <d v="2020-01-17T00:00:00"/>
    <x v="3"/>
    <d v="1920-01-02T00:00:00"/>
    <x v="25"/>
    <x v="0"/>
    <n v="1"/>
    <x v="0"/>
    <x v="0"/>
    <n v="1"/>
    <x v="4"/>
    <x v="4"/>
  </r>
  <r>
    <d v="2020-01-17T00:00:00"/>
    <x v="3"/>
    <d v="1920-01-02T00:00:00"/>
    <x v="25"/>
    <x v="0"/>
    <n v="1"/>
    <x v="11"/>
    <x v="0"/>
    <n v="5"/>
    <x v="4"/>
    <x v="4"/>
  </r>
  <r>
    <d v="2020-01-17T00:00:00"/>
    <x v="3"/>
    <d v="1920-01-02T00:00:00"/>
    <x v="25"/>
    <x v="0"/>
    <n v="1"/>
    <x v="15"/>
    <x v="0"/>
    <n v="3"/>
    <x v="4"/>
    <x v="4"/>
  </r>
  <r>
    <d v="2020-01-17T00:00:00"/>
    <x v="3"/>
    <d v="1920-01-02T00:00:00"/>
    <x v="25"/>
    <x v="0"/>
    <n v="1"/>
    <x v="5"/>
    <x v="0"/>
    <n v="8"/>
    <x v="4"/>
    <x v="4"/>
  </r>
  <r>
    <d v="2020-01-17T00:00:00"/>
    <x v="3"/>
    <d v="1920-01-02T00:00:00"/>
    <x v="25"/>
    <x v="0"/>
    <n v="1"/>
    <x v="2"/>
    <x v="0"/>
    <n v="4"/>
    <x v="4"/>
    <x v="4"/>
  </r>
  <r>
    <d v="2020-01-17T00:00:00"/>
    <x v="3"/>
    <d v="1920-01-02T00:00:00"/>
    <x v="25"/>
    <x v="0"/>
    <n v="1"/>
    <x v="6"/>
    <x v="0"/>
    <n v="4"/>
    <x v="4"/>
    <x v="4"/>
  </r>
  <r>
    <d v="2020-01-17T00:00:00"/>
    <x v="3"/>
    <d v="1920-01-02T00:00:00"/>
    <x v="25"/>
    <x v="0"/>
    <n v="1"/>
    <x v="23"/>
    <x v="0"/>
    <n v="5"/>
    <x v="4"/>
    <x v="4"/>
  </r>
  <r>
    <d v="2020-01-17T00:00:00"/>
    <x v="3"/>
    <d v="1920-01-02T00:00:00"/>
    <x v="25"/>
    <x v="0"/>
    <n v="1"/>
    <x v="7"/>
    <x v="0"/>
    <n v="5"/>
    <x v="4"/>
    <x v="4"/>
  </r>
  <r>
    <d v="2020-01-17T00:00:00"/>
    <x v="3"/>
    <d v="1920-01-02T00:00:00"/>
    <x v="25"/>
    <x v="0"/>
    <n v="1"/>
    <x v="13"/>
    <x v="0"/>
    <n v="14"/>
    <x v="4"/>
    <x v="4"/>
  </r>
  <r>
    <d v="2020-01-17T00:00:00"/>
    <x v="3"/>
    <d v="1920-01-02T00:00:00"/>
    <x v="25"/>
    <x v="0"/>
    <n v="1"/>
    <x v="3"/>
    <x v="0"/>
    <n v="9"/>
    <x v="4"/>
    <x v="4"/>
  </r>
  <r>
    <d v="2020-01-17T00:00:00"/>
    <x v="3"/>
    <d v="1920-01-02T00:00:00"/>
    <x v="25"/>
    <x v="0"/>
    <n v="1"/>
    <x v="9"/>
    <x v="0"/>
    <n v="10"/>
    <x v="4"/>
    <x v="4"/>
  </r>
  <r>
    <d v="2020-01-17T00:00:00"/>
    <x v="3"/>
    <d v="1920-01-02T00:00:00"/>
    <x v="25"/>
    <x v="0"/>
    <n v="1"/>
    <x v="19"/>
    <x v="0"/>
    <n v="1"/>
    <x v="4"/>
    <x v="4"/>
  </r>
  <r>
    <d v="2020-01-17T00:00:00"/>
    <x v="3"/>
    <d v="1920-01-02T00:00:00"/>
    <x v="25"/>
    <x v="0"/>
    <n v="1"/>
    <x v="10"/>
    <x v="0"/>
    <n v="3"/>
    <x v="4"/>
    <x v="4"/>
  </r>
  <r>
    <d v="2020-01-17T00:00:00"/>
    <x v="3"/>
    <d v="1920-01-02T00:00:00"/>
    <x v="25"/>
    <x v="0"/>
    <n v="2"/>
    <x v="4"/>
    <x v="0"/>
    <n v="5"/>
    <x v="4"/>
    <x v="4"/>
  </r>
  <r>
    <d v="2020-01-17T00:00:00"/>
    <x v="3"/>
    <d v="1920-01-02T00:00:00"/>
    <x v="25"/>
    <x v="0"/>
    <n v="2"/>
    <x v="11"/>
    <x v="0"/>
    <n v="4"/>
    <x v="4"/>
    <x v="4"/>
  </r>
  <r>
    <d v="2020-01-17T00:00:00"/>
    <x v="3"/>
    <d v="1920-01-02T00:00:00"/>
    <x v="25"/>
    <x v="0"/>
    <n v="2"/>
    <x v="33"/>
    <x v="0"/>
    <n v="1"/>
    <x v="4"/>
    <x v="4"/>
  </r>
  <r>
    <d v="2020-01-17T00:00:00"/>
    <x v="3"/>
    <d v="1920-01-02T00:00:00"/>
    <x v="25"/>
    <x v="0"/>
    <n v="2"/>
    <x v="7"/>
    <x v="0"/>
    <n v="22"/>
    <x v="4"/>
    <x v="4"/>
  </r>
  <r>
    <d v="2020-01-17T00:00:00"/>
    <x v="3"/>
    <d v="1920-01-02T00:00:00"/>
    <x v="25"/>
    <x v="1"/>
    <n v="1"/>
    <x v="4"/>
    <x v="1"/>
    <n v="10"/>
    <x v="4"/>
    <x v="4"/>
  </r>
  <r>
    <d v="2020-01-17T00:00:00"/>
    <x v="3"/>
    <d v="1920-01-02T00:00:00"/>
    <x v="25"/>
    <x v="1"/>
    <n v="1"/>
    <x v="0"/>
    <x v="1"/>
    <n v="2"/>
    <x v="4"/>
    <x v="4"/>
  </r>
  <r>
    <d v="2020-01-17T00:00:00"/>
    <x v="3"/>
    <d v="1920-01-02T00:00:00"/>
    <x v="25"/>
    <x v="1"/>
    <n v="1"/>
    <x v="11"/>
    <x v="1"/>
    <n v="18"/>
    <x v="4"/>
    <x v="4"/>
  </r>
  <r>
    <d v="2020-01-17T00:00:00"/>
    <x v="3"/>
    <d v="1920-01-02T00:00:00"/>
    <x v="25"/>
    <x v="1"/>
    <n v="1"/>
    <x v="5"/>
    <x v="1"/>
    <n v="2"/>
    <x v="4"/>
    <x v="4"/>
  </r>
  <r>
    <d v="2020-01-17T00:00:00"/>
    <x v="3"/>
    <d v="1920-01-02T00:00:00"/>
    <x v="25"/>
    <x v="1"/>
    <n v="1"/>
    <x v="2"/>
    <x v="1"/>
    <n v="3"/>
    <x v="4"/>
    <x v="4"/>
  </r>
  <r>
    <d v="2020-01-17T00:00:00"/>
    <x v="3"/>
    <d v="1920-01-02T00:00:00"/>
    <x v="25"/>
    <x v="1"/>
    <n v="1"/>
    <x v="21"/>
    <x v="1"/>
    <n v="11"/>
    <x v="4"/>
    <x v="4"/>
  </r>
  <r>
    <d v="2020-01-17T00:00:00"/>
    <x v="3"/>
    <d v="1920-01-02T00:00:00"/>
    <x v="25"/>
    <x v="1"/>
    <n v="1"/>
    <x v="13"/>
    <x v="1"/>
    <n v="5"/>
    <x v="4"/>
    <x v="4"/>
  </r>
  <r>
    <d v="2020-01-17T00:00:00"/>
    <x v="3"/>
    <d v="1920-01-02T00:00:00"/>
    <x v="25"/>
    <x v="1"/>
    <n v="1"/>
    <x v="3"/>
    <x v="1"/>
    <n v="2"/>
    <x v="4"/>
    <x v="4"/>
  </r>
  <r>
    <d v="2020-01-17T00:00:00"/>
    <x v="3"/>
    <d v="1920-01-02T00:00:00"/>
    <x v="25"/>
    <x v="1"/>
    <n v="1"/>
    <x v="9"/>
    <x v="1"/>
    <n v="4"/>
    <x v="4"/>
    <x v="4"/>
  </r>
  <r>
    <d v="2020-01-17T00:00:00"/>
    <x v="3"/>
    <d v="1920-01-02T00:00:00"/>
    <x v="25"/>
    <x v="1"/>
    <n v="1"/>
    <x v="10"/>
    <x v="1"/>
    <n v="13"/>
    <x v="4"/>
    <x v="4"/>
  </r>
  <r>
    <d v="2020-01-17T00:00:00"/>
    <x v="3"/>
    <d v="1920-01-02T00:00:00"/>
    <x v="25"/>
    <x v="0"/>
    <n v="1"/>
    <x v="18"/>
    <x v="1"/>
    <n v="16"/>
    <x v="4"/>
    <x v="4"/>
  </r>
  <r>
    <d v="2020-01-17T00:00:00"/>
    <x v="3"/>
    <d v="1920-01-02T00:00:00"/>
    <x v="25"/>
    <x v="0"/>
    <n v="1"/>
    <x v="20"/>
    <x v="1"/>
    <n v="12"/>
    <x v="4"/>
    <x v="4"/>
  </r>
  <r>
    <d v="2020-01-17T00:00:00"/>
    <x v="3"/>
    <d v="1920-01-02T00:00:00"/>
    <x v="25"/>
    <x v="0"/>
    <n v="1"/>
    <x v="23"/>
    <x v="1"/>
    <n v="11"/>
    <x v="4"/>
    <x v="4"/>
  </r>
  <r>
    <d v="2020-01-17T00:00:00"/>
    <x v="3"/>
    <d v="1920-01-02T00:00:00"/>
    <x v="25"/>
    <x v="0"/>
    <n v="1"/>
    <x v="7"/>
    <x v="1"/>
    <n v="29"/>
    <x v="4"/>
    <x v="4"/>
  </r>
  <r>
    <d v="2020-01-17T00:00:00"/>
    <x v="3"/>
    <d v="1920-01-02T00:00:00"/>
    <x v="25"/>
    <x v="0"/>
    <n v="1"/>
    <x v="8"/>
    <x v="1"/>
    <n v="13"/>
    <x v="4"/>
    <x v="4"/>
  </r>
  <r>
    <d v="2020-01-17T00:00:00"/>
    <x v="3"/>
    <d v="1920-01-02T00:00:00"/>
    <x v="25"/>
    <x v="0"/>
    <n v="1"/>
    <x v="13"/>
    <x v="1"/>
    <n v="4"/>
    <x v="4"/>
    <x v="4"/>
  </r>
  <r>
    <d v="2020-01-17T00:00:00"/>
    <x v="3"/>
    <d v="1922-10-03T00:00:00"/>
    <x v="9"/>
    <x v="1"/>
    <n v="1"/>
    <x v="18"/>
    <x v="1"/>
    <n v="10"/>
    <x v="4"/>
    <x v="4"/>
  </r>
  <r>
    <d v="2020-01-17T00:00:00"/>
    <x v="3"/>
    <d v="1922-10-03T00:00:00"/>
    <x v="9"/>
    <x v="1"/>
    <n v="1"/>
    <x v="11"/>
    <x v="1"/>
    <n v="1"/>
    <x v="4"/>
    <x v="4"/>
  </r>
  <r>
    <d v="2020-01-17T00:00:00"/>
    <x v="3"/>
    <d v="1922-10-03T00:00:00"/>
    <x v="9"/>
    <x v="1"/>
    <n v="1"/>
    <x v="1"/>
    <x v="1"/>
    <n v="12"/>
    <x v="4"/>
    <x v="4"/>
  </r>
  <r>
    <d v="2020-01-17T00:00:00"/>
    <x v="3"/>
    <d v="1922-10-03T00:00:00"/>
    <x v="9"/>
    <x v="1"/>
    <n v="1"/>
    <x v="7"/>
    <x v="1"/>
    <n v="3"/>
    <x v="4"/>
    <x v="4"/>
  </r>
  <r>
    <d v="2020-01-17T00:00:00"/>
    <x v="3"/>
    <d v="1922-10-03T00:00:00"/>
    <x v="9"/>
    <x v="1"/>
    <n v="1"/>
    <x v="13"/>
    <x v="1"/>
    <n v="13"/>
    <x v="4"/>
    <x v="4"/>
  </r>
  <r>
    <d v="2020-01-17T00:00:00"/>
    <x v="3"/>
    <d v="1922-10-03T00:00:00"/>
    <x v="9"/>
    <x v="1"/>
    <n v="2"/>
    <x v="0"/>
    <x v="1"/>
    <n v="16"/>
    <x v="4"/>
    <x v="4"/>
  </r>
  <r>
    <d v="2020-01-17T00:00:00"/>
    <x v="3"/>
    <d v="1922-10-05T00:00:00"/>
    <x v="9"/>
    <x v="1"/>
    <n v="1"/>
    <x v="4"/>
    <x v="0"/>
    <n v="9"/>
    <x v="4"/>
    <x v="4"/>
  </r>
  <r>
    <d v="2020-01-17T00:00:00"/>
    <x v="3"/>
    <d v="1922-10-05T00:00:00"/>
    <x v="9"/>
    <x v="1"/>
    <n v="1"/>
    <x v="0"/>
    <x v="0"/>
    <n v="7"/>
    <x v="4"/>
    <x v="4"/>
  </r>
  <r>
    <d v="2020-01-17T00:00:00"/>
    <x v="3"/>
    <d v="1922-10-05T00:00:00"/>
    <x v="9"/>
    <x v="1"/>
    <n v="1"/>
    <x v="11"/>
    <x v="0"/>
    <n v="10"/>
    <x v="4"/>
    <x v="4"/>
  </r>
  <r>
    <d v="2020-01-17T00:00:00"/>
    <x v="3"/>
    <d v="1922-10-05T00:00:00"/>
    <x v="9"/>
    <x v="1"/>
    <n v="1"/>
    <x v="5"/>
    <x v="0"/>
    <n v="2"/>
    <x v="4"/>
    <x v="4"/>
  </r>
  <r>
    <d v="2020-01-17T00:00:00"/>
    <x v="3"/>
    <d v="1922-10-05T00:00:00"/>
    <x v="9"/>
    <x v="1"/>
    <n v="1"/>
    <x v="6"/>
    <x v="0"/>
    <n v="2"/>
    <x v="4"/>
    <x v="4"/>
  </r>
  <r>
    <d v="2020-01-17T00:00:00"/>
    <x v="3"/>
    <d v="1922-10-05T00:00:00"/>
    <x v="9"/>
    <x v="1"/>
    <n v="1"/>
    <x v="13"/>
    <x v="0"/>
    <n v="4"/>
    <x v="4"/>
    <x v="4"/>
  </r>
  <r>
    <d v="2020-01-17T00:00:00"/>
    <x v="3"/>
    <d v="1922-10-05T00:00:00"/>
    <x v="9"/>
    <x v="1"/>
    <n v="1"/>
    <x v="3"/>
    <x v="0"/>
    <n v="4"/>
    <x v="4"/>
    <x v="4"/>
  </r>
  <r>
    <d v="2020-01-17T00:00:00"/>
    <x v="3"/>
    <d v="1922-10-05T00:00:00"/>
    <x v="9"/>
    <x v="1"/>
    <n v="1"/>
    <x v="10"/>
    <x v="0"/>
    <n v="1"/>
    <x v="4"/>
    <x v="4"/>
  </r>
  <r>
    <d v="2020-01-17T00:00:00"/>
    <x v="3"/>
    <d v="1922-10-05T00:00:00"/>
    <x v="9"/>
    <x v="1"/>
    <n v="2"/>
    <x v="0"/>
    <x v="0"/>
    <n v="1"/>
    <x v="4"/>
    <x v="4"/>
  </r>
  <r>
    <d v="2020-01-17T00:00:00"/>
    <x v="3"/>
    <d v="1922-10-05T00:00:00"/>
    <x v="9"/>
    <x v="1"/>
    <n v="2"/>
    <x v="2"/>
    <x v="0"/>
    <n v="1"/>
    <x v="4"/>
    <x v="4"/>
  </r>
  <r>
    <d v="2020-01-17T00:00:00"/>
    <x v="3"/>
    <d v="1922-10-05T00:00:00"/>
    <x v="9"/>
    <x v="1"/>
    <n v="2"/>
    <x v="6"/>
    <x v="0"/>
    <n v="3"/>
    <x v="4"/>
    <x v="4"/>
  </r>
  <r>
    <d v="2020-01-17T00:00:00"/>
    <x v="3"/>
    <d v="1922-10-05T00:00:00"/>
    <x v="9"/>
    <x v="1"/>
    <n v="2"/>
    <x v="3"/>
    <x v="0"/>
    <n v="3"/>
    <x v="4"/>
    <x v="4"/>
  </r>
  <r>
    <d v="2020-01-17T00:00:00"/>
    <x v="3"/>
    <d v="1922-10-05T00:00:00"/>
    <x v="9"/>
    <x v="1"/>
    <n v="2"/>
    <x v="10"/>
    <x v="0"/>
    <n v="8"/>
    <x v="4"/>
    <x v="4"/>
  </r>
  <r>
    <d v="2020-01-17T00:00:00"/>
    <x v="3"/>
    <d v="1922-10-05T00:00:00"/>
    <x v="9"/>
    <x v="0"/>
    <n v="1"/>
    <x v="16"/>
    <x v="0"/>
    <n v="18"/>
    <x v="4"/>
    <x v="4"/>
  </r>
  <r>
    <d v="2020-01-17T00:00:00"/>
    <x v="3"/>
    <d v="1922-10-05T00:00:00"/>
    <x v="9"/>
    <x v="0"/>
    <n v="1"/>
    <x v="17"/>
    <x v="0"/>
    <n v="33"/>
    <x v="4"/>
    <x v="4"/>
  </r>
  <r>
    <d v="2020-01-17T00:00:00"/>
    <x v="3"/>
    <d v="1922-10-05T00:00:00"/>
    <x v="9"/>
    <x v="0"/>
    <n v="1"/>
    <x v="14"/>
    <x v="0"/>
    <n v="13"/>
    <x v="4"/>
    <x v="4"/>
  </r>
  <r>
    <d v="2020-01-17T00:00:00"/>
    <x v="3"/>
    <d v="1925-06-25T00:00:00"/>
    <x v="8"/>
    <x v="1"/>
    <n v="1"/>
    <x v="4"/>
    <x v="0"/>
    <n v="15"/>
    <x v="4"/>
    <x v="4"/>
  </r>
  <r>
    <d v="2020-01-17T00:00:00"/>
    <x v="3"/>
    <d v="1925-06-25T00:00:00"/>
    <x v="8"/>
    <x v="1"/>
    <n v="1"/>
    <x v="11"/>
    <x v="0"/>
    <n v="3"/>
    <x v="4"/>
    <x v="4"/>
  </r>
  <r>
    <d v="2020-01-17T00:00:00"/>
    <x v="3"/>
    <d v="1925-06-25T00:00:00"/>
    <x v="8"/>
    <x v="1"/>
    <n v="1"/>
    <x v="1"/>
    <x v="0"/>
    <n v="5"/>
    <x v="4"/>
    <x v="4"/>
  </r>
  <r>
    <d v="2020-01-17T00:00:00"/>
    <x v="3"/>
    <d v="1925-06-25T00:00:00"/>
    <x v="8"/>
    <x v="1"/>
    <n v="1"/>
    <x v="2"/>
    <x v="0"/>
    <n v="1"/>
    <x v="4"/>
    <x v="4"/>
  </r>
  <r>
    <d v="2020-01-17T00:00:00"/>
    <x v="3"/>
    <d v="1925-06-25T00:00:00"/>
    <x v="8"/>
    <x v="1"/>
    <n v="1"/>
    <x v="26"/>
    <x v="0"/>
    <n v="2"/>
    <x v="4"/>
    <x v="4"/>
  </r>
  <r>
    <d v="2020-01-17T00:00:00"/>
    <x v="3"/>
    <d v="1925-06-25T00:00:00"/>
    <x v="8"/>
    <x v="1"/>
    <n v="1"/>
    <x v="7"/>
    <x v="0"/>
    <n v="11"/>
    <x v="4"/>
    <x v="4"/>
  </r>
  <r>
    <d v="2020-01-17T00:00:00"/>
    <x v="3"/>
    <d v="1925-06-25T00:00:00"/>
    <x v="8"/>
    <x v="1"/>
    <n v="1"/>
    <x v="3"/>
    <x v="0"/>
    <n v="2"/>
    <x v="4"/>
    <x v="4"/>
  </r>
  <r>
    <d v="2020-01-17T00:00:00"/>
    <x v="3"/>
    <d v="1925-06-25T00:00:00"/>
    <x v="8"/>
    <x v="1"/>
    <n v="1"/>
    <x v="9"/>
    <x v="0"/>
    <n v="3"/>
    <x v="4"/>
    <x v="4"/>
  </r>
  <r>
    <d v="2020-01-17T00:00:00"/>
    <x v="3"/>
    <d v="1925-06-25T00:00:00"/>
    <x v="8"/>
    <x v="1"/>
    <n v="1"/>
    <x v="10"/>
    <x v="0"/>
    <n v="2"/>
    <x v="4"/>
    <x v="4"/>
  </r>
  <r>
    <d v="2020-01-17T00:00:00"/>
    <x v="3"/>
    <d v="1925-06-25T00:00:00"/>
    <x v="8"/>
    <x v="1"/>
    <n v="2"/>
    <x v="2"/>
    <x v="0"/>
    <n v="1"/>
    <x v="4"/>
    <x v="4"/>
  </r>
  <r>
    <d v="2020-01-17T00:00:00"/>
    <x v="3"/>
    <d v="1925-06-25T00:00:00"/>
    <x v="8"/>
    <x v="1"/>
    <n v="2"/>
    <x v="9"/>
    <x v="0"/>
    <n v="2"/>
    <x v="4"/>
    <x v="4"/>
  </r>
  <r>
    <d v="2020-01-17T00:00:00"/>
    <x v="3"/>
    <d v="1925-06-25T00:00:00"/>
    <x v="8"/>
    <x v="1"/>
    <n v="2"/>
    <x v="10"/>
    <x v="0"/>
    <n v="7"/>
    <x v="4"/>
    <x v="4"/>
  </r>
  <r>
    <d v="2020-01-17T00:00:00"/>
    <x v="3"/>
    <d v="1925-06-25T00:00:00"/>
    <x v="8"/>
    <x v="0"/>
    <n v="1"/>
    <x v="4"/>
    <x v="0"/>
    <n v="1"/>
    <x v="4"/>
    <x v="4"/>
  </r>
  <r>
    <d v="2020-01-17T00:00:00"/>
    <x v="3"/>
    <d v="1925-06-25T00:00:00"/>
    <x v="8"/>
    <x v="0"/>
    <n v="1"/>
    <x v="0"/>
    <x v="0"/>
    <n v="16"/>
    <x v="4"/>
    <x v="4"/>
  </r>
  <r>
    <d v="2020-01-17T00:00:00"/>
    <x v="3"/>
    <d v="1925-06-25T00:00:00"/>
    <x v="8"/>
    <x v="0"/>
    <n v="1"/>
    <x v="12"/>
    <x v="0"/>
    <n v="3"/>
    <x v="4"/>
    <x v="4"/>
  </r>
  <r>
    <d v="2020-01-17T00:00:00"/>
    <x v="3"/>
    <d v="1925-06-25T00:00:00"/>
    <x v="8"/>
    <x v="0"/>
    <n v="1"/>
    <x v="2"/>
    <x v="0"/>
    <n v="47"/>
    <x v="4"/>
    <x v="4"/>
  </r>
  <r>
    <d v="2020-01-17T00:00:00"/>
    <x v="3"/>
    <d v="1925-06-25T00:00:00"/>
    <x v="8"/>
    <x v="0"/>
    <n v="1"/>
    <x v="26"/>
    <x v="0"/>
    <n v="31"/>
    <x v="4"/>
    <x v="4"/>
  </r>
  <r>
    <d v="2020-01-17T00:00:00"/>
    <x v="3"/>
    <d v="1925-06-25T00:00:00"/>
    <x v="8"/>
    <x v="0"/>
    <n v="1"/>
    <x v="7"/>
    <x v="0"/>
    <n v="2"/>
    <x v="4"/>
    <x v="4"/>
  </r>
  <r>
    <d v="2020-01-17T00:00:00"/>
    <x v="3"/>
    <d v="1925-06-25T00:00:00"/>
    <x v="8"/>
    <x v="0"/>
    <n v="1"/>
    <x v="13"/>
    <x v="0"/>
    <n v="19"/>
    <x v="4"/>
    <x v="4"/>
  </r>
  <r>
    <d v="2020-01-17T00:00:00"/>
    <x v="3"/>
    <d v="1925-06-25T00:00:00"/>
    <x v="8"/>
    <x v="0"/>
    <n v="1"/>
    <x v="3"/>
    <x v="0"/>
    <n v="6"/>
    <x v="4"/>
    <x v="4"/>
  </r>
  <r>
    <d v="2020-01-17T00:00:00"/>
    <x v="3"/>
    <d v="1925-06-25T00:00:00"/>
    <x v="8"/>
    <x v="1"/>
    <n v="1"/>
    <x v="20"/>
    <x v="1"/>
    <n v="33"/>
    <x v="4"/>
    <x v="4"/>
  </r>
  <r>
    <d v="2020-01-17T00:00:00"/>
    <x v="3"/>
    <d v="1925-06-25T00:00:00"/>
    <x v="8"/>
    <x v="1"/>
    <n v="1"/>
    <x v="5"/>
    <x v="1"/>
    <n v="1"/>
    <x v="4"/>
    <x v="4"/>
  </r>
  <r>
    <d v="2020-01-17T00:00:00"/>
    <x v="3"/>
    <d v="1925-06-25T00:00:00"/>
    <x v="8"/>
    <x v="1"/>
    <n v="1"/>
    <x v="2"/>
    <x v="1"/>
    <n v="4"/>
    <x v="4"/>
    <x v="4"/>
  </r>
  <r>
    <d v="2020-01-17T00:00:00"/>
    <x v="3"/>
    <d v="1925-06-25T00:00:00"/>
    <x v="8"/>
    <x v="1"/>
    <n v="2"/>
    <x v="20"/>
    <x v="1"/>
    <n v="13"/>
    <x v="4"/>
    <x v="4"/>
  </r>
  <r>
    <d v="2020-01-17T00:00:00"/>
    <x v="3"/>
    <d v="1925-06-25T00:00:00"/>
    <x v="8"/>
    <x v="1"/>
    <n v="2"/>
    <x v="1"/>
    <x v="1"/>
    <n v="4"/>
    <x v="4"/>
    <x v="4"/>
  </r>
  <r>
    <d v="2020-01-17T00:00:00"/>
    <x v="3"/>
    <d v="1925-06-25T00:00:00"/>
    <x v="8"/>
    <x v="0"/>
    <n v="1"/>
    <x v="4"/>
    <x v="1"/>
    <n v="13"/>
    <x v="4"/>
    <x v="4"/>
  </r>
  <r>
    <d v="2020-01-17T00:00:00"/>
    <x v="3"/>
    <d v="1925-06-25T00:00:00"/>
    <x v="8"/>
    <x v="0"/>
    <n v="1"/>
    <x v="12"/>
    <x v="1"/>
    <n v="8"/>
    <x v="4"/>
    <x v="4"/>
  </r>
  <r>
    <d v="2020-01-17T00:00:00"/>
    <x v="3"/>
    <d v="1925-06-25T00:00:00"/>
    <x v="8"/>
    <x v="0"/>
    <n v="1"/>
    <x v="6"/>
    <x v="1"/>
    <n v="9"/>
    <x v="4"/>
    <x v="4"/>
  </r>
  <r>
    <d v="2020-01-17T00:00:00"/>
    <x v="3"/>
    <d v="1925-06-25T00:00:00"/>
    <x v="8"/>
    <x v="0"/>
    <n v="1"/>
    <x v="7"/>
    <x v="1"/>
    <n v="25"/>
    <x v="4"/>
    <x v="4"/>
  </r>
  <r>
    <d v="2020-01-17T00:00:00"/>
    <x v="3"/>
    <d v="1925-06-25T00:00:00"/>
    <x v="8"/>
    <x v="0"/>
    <n v="1"/>
    <x v="13"/>
    <x v="1"/>
    <n v="4"/>
    <x v="4"/>
    <x v="4"/>
  </r>
  <r>
    <d v="2020-01-17T00:00:00"/>
    <x v="3"/>
    <d v="1925-06-25T00:00:00"/>
    <x v="8"/>
    <x v="0"/>
    <n v="1"/>
    <x v="3"/>
    <x v="1"/>
    <n v="2"/>
    <x v="4"/>
    <x v="4"/>
  </r>
  <r>
    <d v="2020-01-17T00:00:00"/>
    <x v="3"/>
    <d v="1925-06-25T00:00:00"/>
    <x v="8"/>
    <x v="0"/>
    <n v="1"/>
    <x v="9"/>
    <x v="1"/>
    <n v="4"/>
    <x v="4"/>
    <x v="4"/>
  </r>
  <r>
    <d v="2020-01-17T00:00:00"/>
    <x v="3"/>
    <d v="1925-06-25T00:00:00"/>
    <x v="8"/>
    <x v="0"/>
    <n v="1"/>
    <x v="10"/>
    <x v="1"/>
    <n v="7"/>
    <x v="4"/>
    <x v="4"/>
  </r>
  <r>
    <d v="2020-01-17T00:00:00"/>
    <x v="3"/>
    <d v="1925-06-25T00:00:00"/>
    <x v="8"/>
    <x v="0"/>
    <n v="2"/>
    <x v="4"/>
    <x v="1"/>
    <n v="10"/>
    <x v="4"/>
    <x v="4"/>
  </r>
  <r>
    <d v="2020-01-17T00:00:00"/>
    <x v="3"/>
    <d v="1925-06-25T00:00:00"/>
    <x v="8"/>
    <x v="0"/>
    <n v="2"/>
    <x v="0"/>
    <x v="1"/>
    <n v="10"/>
    <x v="4"/>
    <x v="4"/>
  </r>
  <r>
    <d v="2020-01-17T00:00:00"/>
    <x v="3"/>
    <d v="1925-06-25T00:00:00"/>
    <x v="8"/>
    <x v="0"/>
    <n v="2"/>
    <x v="11"/>
    <x v="1"/>
    <n v="12"/>
    <x v="4"/>
    <x v="4"/>
  </r>
  <r>
    <d v="2020-01-17T00:00:00"/>
    <x v="3"/>
    <d v="1925-06-25T00:00:00"/>
    <x v="8"/>
    <x v="0"/>
    <n v="2"/>
    <x v="5"/>
    <x v="1"/>
    <n v="5"/>
    <x v="4"/>
    <x v="4"/>
  </r>
  <r>
    <d v="2020-01-17T00:00:00"/>
    <x v="3"/>
    <d v="1925-06-25T00:00:00"/>
    <x v="8"/>
    <x v="0"/>
    <n v="2"/>
    <x v="13"/>
    <x v="1"/>
    <n v="5"/>
    <x v="4"/>
    <x v="4"/>
  </r>
  <r>
    <d v="2020-01-17T00:00:00"/>
    <x v="3"/>
    <d v="1925-06-25T00:00:00"/>
    <x v="8"/>
    <x v="0"/>
    <n v="2"/>
    <x v="3"/>
    <x v="1"/>
    <n v="11"/>
    <x v="4"/>
    <x v="4"/>
  </r>
  <r>
    <d v="2020-07-17T00:00:00"/>
    <x v="3"/>
    <d v="1925-06-28T00:00:00"/>
    <x v="11"/>
    <x v="1"/>
    <n v="1"/>
    <x v="11"/>
    <x v="0"/>
    <n v="6"/>
    <x v="5"/>
    <x v="5"/>
  </r>
  <r>
    <d v="2020-07-17T00:00:00"/>
    <x v="3"/>
    <d v="1925-06-28T00:00:00"/>
    <x v="11"/>
    <x v="1"/>
    <n v="1"/>
    <x v="5"/>
    <x v="0"/>
    <n v="4"/>
    <x v="5"/>
    <x v="5"/>
  </r>
  <r>
    <d v="2020-07-17T00:00:00"/>
    <x v="3"/>
    <d v="1925-06-28T00:00:00"/>
    <x v="11"/>
    <x v="1"/>
    <n v="1"/>
    <x v="13"/>
    <x v="0"/>
    <n v="5"/>
    <x v="5"/>
    <x v="5"/>
  </r>
  <r>
    <d v="2020-07-17T00:00:00"/>
    <x v="3"/>
    <d v="1925-06-28T00:00:00"/>
    <x v="11"/>
    <x v="1"/>
    <n v="1"/>
    <x v="3"/>
    <x v="0"/>
    <n v="12"/>
    <x v="5"/>
    <x v="5"/>
  </r>
  <r>
    <d v="2020-07-17T00:00:00"/>
    <x v="3"/>
    <d v="1925-06-28T00:00:00"/>
    <x v="11"/>
    <x v="1"/>
    <n v="1"/>
    <x v="9"/>
    <x v="0"/>
    <n v="3"/>
    <x v="5"/>
    <x v="5"/>
  </r>
  <r>
    <d v="2020-07-17T00:00:00"/>
    <x v="3"/>
    <d v="1925-06-28T00:00:00"/>
    <x v="11"/>
    <x v="1"/>
    <n v="2"/>
    <x v="20"/>
    <x v="0"/>
    <n v="8"/>
    <x v="5"/>
    <x v="5"/>
  </r>
  <r>
    <d v="2020-07-17T00:00:00"/>
    <x v="3"/>
    <d v="1925-06-28T00:00:00"/>
    <x v="11"/>
    <x v="0"/>
    <n v="1"/>
    <x v="5"/>
    <x v="0"/>
    <n v="10"/>
    <x v="5"/>
    <x v="5"/>
  </r>
  <r>
    <d v="2020-07-17T00:00:00"/>
    <x v="3"/>
    <d v="1925-06-28T00:00:00"/>
    <x v="11"/>
    <x v="0"/>
    <n v="1"/>
    <x v="21"/>
    <x v="0"/>
    <n v="38"/>
    <x v="5"/>
    <x v="5"/>
  </r>
  <r>
    <d v="2020-07-17T00:00:00"/>
    <x v="3"/>
    <d v="1925-06-28T00:00:00"/>
    <x v="11"/>
    <x v="0"/>
    <n v="1"/>
    <x v="3"/>
    <x v="0"/>
    <n v="10"/>
    <x v="5"/>
    <x v="5"/>
  </r>
  <r>
    <d v="2020-07-17T00:00:00"/>
    <x v="3"/>
    <d v="1925-06-28T00:00:00"/>
    <x v="11"/>
    <x v="0"/>
    <n v="2"/>
    <x v="3"/>
    <x v="0"/>
    <n v="5"/>
    <x v="5"/>
    <x v="5"/>
  </r>
  <r>
    <d v="2020-01-17T00:00:00"/>
    <x v="3"/>
    <d v="1925-06-28T00:00:00"/>
    <x v="11"/>
    <x v="1"/>
    <n v="1"/>
    <x v="18"/>
    <x v="1"/>
    <n v="1"/>
    <x v="4"/>
    <x v="4"/>
  </r>
  <r>
    <d v="2020-01-17T00:00:00"/>
    <x v="3"/>
    <d v="1925-06-28T00:00:00"/>
    <x v="11"/>
    <x v="1"/>
    <n v="1"/>
    <x v="12"/>
    <x v="1"/>
    <n v="20"/>
    <x v="4"/>
    <x v="4"/>
  </r>
  <r>
    <d v="2020-01-17T00:00:00"/>
    <x v="3"/>
    <d v="1925-06-28T00:00:00"/>
    <x v="11"/>
    <x v="1"/>
    <n v="1"/>
    <x v="1"/>
    <x v="1"/>
    <n v="3"/>
    <x v="4"/>
    <x v="4"/>
  </r>
  <r>
    <d v="2020-01-17T00:00:00"/>
    <x v="3"/>
    <d v="1925-06-28T00:00:00"/>
    <x v="11"/>
    <x v="1"/>
    <n v="1"/>
    <x v="2"/>
    <x v="1"/>
    <n v="3"/>
    <x v="4"/>
    <x v="4"/>
  </r>
  <r>
    <d v="2020-01-17T00:00:00"/>
    <x v="3"/>
    <d v="1925-06-28T00:00:00"/>
    <x v="11"/>
    <x v="1"/>
    <n v="1"/>
    <x v="9"/>
    <x v="1"/>
    <n v="1"/>
    <x v="4"/>
    <x v="4"/>
  </r>
  <r>
    <d v="2020-01-17T00:00:00"/>
    <x v="3"/>
    <d v="1925-06-28T00:00:00"/>
    <x v="11"/>
    <x v="1"/>
    <n v="2"/>
    <x v="0"/>
    <x v="1"/>
    <n v="3"/>
    <x v="4"/>
    <x v="4"/>
  </r>
  <r>
    <d v="2020-01-17T00:00:00"/>
    <x v="3"/>
    <d v="1925-06-28T00:00:00"/>
    <x v="11"/>
    <x v="1"/>
    <n v="2"/>
    <x v="5"/>
    <x v="1"/>
    <n v="2"/>
    <x v="4"/>
    <x v="4"/>
  </r>
  <r>
    <d v="2020-01-17T00:00:00"/>
    <x v="3"/>
    <d v="1925-06-28T00:00:00"/>
    <x v="11"/>
    <x v="1"/>
    <n v="2"/>
    <x v="1"/>
    <x v="1"/>
    <n v="2"/>
    <x v="4"/>
    <x v="4"/>
  </r>
  <r>
    <d v="2020-01-17T00:00:00"/>
    <x v="3"/>
    <d v="1925-06-28T00:00:00"/>
    <x v="11"/>
    <x v="1"/>
    <n v="2"/>
    <x v="7"/>
    <x v="1"/>
    <n v="2"/>
    <x v="4"/>
    <x v="4"/>
  </r>
  <r>
    <d v="2020-01-17T00:00:00"/>
    <x v="3"/>
    <d v="1925-06-28T00:00:00"/>
    <x v="11"/>
    <x v="0"/>
    <n v="1"/>
    <x v="4"/>
    <x v="1"/>
    <n v="3"/>
    <x v="4"/>
    <x v="4"/>
  </r>
  <r>
    <d v="2020-01-17T00:00:00"/>
    <x v="3"/>
    <d v="1925-06-28T00:00:00"/>
    <x v="11"/>
    <x v="0"/>
    <n v="1"/>
    <x v="0"/>
    <x v="1"/>
    <n v="18"/>
    <x v="4"/>
    <x v="4"/>
  </r>
  <r>
    <d v="2020-01-17T00:00:00"/>
    <x v="3"/>
    <d v="1925-06-28T00:00:00"/>
    <x v="11"/>
    <x v="0"/>
    <n v="1"/>
    <x v="11"/>
    <x v="1"/>
    <n v="2"/>
    <x v="4"/>
    <x v="4"/>
  </r>
  <r>
    <d v="2020-01-17T00:00:00"/>
    <x v="3"/>
    <d v="1925-06-28T00:00:00"/>
    <x v="11"/>
    <x v="0"/>
    <n v="1"/>
    <x v="5"/>
    <x v="1"/>
    <n v="18"/>
    <x v="4"/>
    <x v="4"/>
  </r>
  <r>
    <d v="2020-01-17T00:00:00"/>
    <x v="3"/>
    <d v="1925-06-28T00:00:00"/>
    <x v="11"/>
    <x v="0"/>
    <n v="1"/>
    <x v="2"/>
    <x v="1"/>
    <n v="2"/>
    <x v="4"/>
    <x v="4"/>
  </r>
  <r>
    <d v="2020-01-17T00:00:00"/>
    <x v="3"/>
    <d v="1925-06-28T00:00:00"/>
    <x v="11"/>
    <x v="0"/>
    <n v="1"/>
    <x v="6"/>
    <x v="1"/>
    <n v="5"/>
    <x v="4"/>
    <x v="4"/>
  </r>
  <r>
    <d v="2020-01-17T00:00:00"/>
    <x v="3"/>
    <d v="1925-06-28T00:00:00"/>
    <x v="11"/>
    <x v="0"/>
    <n v="1"/>
    <x v="7"/>
    <x v="1"/>
    <n v="8"/>
    <x v="4"/>
    <x v="4"/>
  </r>
  <r>
    <d v="2020-01-17T00:00:00"/>
    <x v="3"/>
    <d v="1925-06-28T00:00:00"/>
    <x v="11"/>
    <x v="0"/>
    <n v="1"/>
    <x v="3"/>
    <x v="1"/>
    <n v="2"/>
    <x v="4"/>
    <x v="4"/>
  </r>
  <r>
    <d v="2020-01-17T00:00:00"/>
    <x v="3"/>
    <d v="1925-06-28T00:00:00"/>
    <x v="11"/>
    <x v="0"/>
    <n v="1"/>
    <x v="9"/>
    <x v="1"/>
    <n v="2"/>
    <x v="4"/>
    <x v="4"/>
  </r>
  <r>
    <d v="2020-01-17T00:00:00"/>
    <x v="3"/>
    <d v="1925-06-28T00:00:00"/>
    <x v="11"/>
    <x v="0"/>
    <n v="1"/>
    <x v="10"/>
    <x v="1"/>
    <n v="2"/>
    <x v="4"/>
    <x v="4"/>
  </r>
  <r>
    <d v="2020-01-17T00:00:00"/>
    <x v="3"/>
    <d v="1925-06-28T00:00:00"/>
    <x v="11"/>
    <x v="0"/>
    <n v="2"/>
    <x v="11"/>
    <x v="1"/>
    <n v="1"/>
    <x v="4"/>
    <x v="4"/>
  </r>
  <r>
    <d v="2020-01-17T00:00:00"/>
    <x v="3"/>
    <d v="1925-06-30T00:00:00"/>
    <x v="12"/>
    <x v="1"/>
    <n v="1"/>
    <x v="27"/>
    <x v="0"/>
    <n v="1"/>
    <x v="4"/>
    <x v="4"/>
  </r>
  <r>
    <d v="2020-01-17T00:00:00"/>
    <x v="3"/>
    <d v="1925-06-30T00:00:00"/>
    <x v="12"/>
    <x v="1"/>
    <n v="1"/>
    <x v="11"/>
    <x v="0"/>
    <n v="1"/>
    <x v="4"/>
    <x v="4"/>
  </r>
  <r>
    <d v="2020-01-17T00:00:00"/>
    <x v="3"/>
    <d v="1925-06-30T00:00:00"/>
    <x v="12"/>
    <x v="1"/>
    <n v="1"/>
    <x v="33"/>
    <x v="0"/>
    <n v="2"/>
    <x v="4"/>
    <x v="4"/>
  </r>
  <r>
    <d v="2020-01-17T00:00:00"/>
    <x v="3"/>
    <d v="1925-06-30T00:00:00"/>
    <x v="12"/>
    <x v="1"/>
    <n v="1"/>
    <x v="32"/>
    <x v="0"/>
    <n v="7"/>
    <x v="4"/>
    <x v="4"/>
  </r>
  <r>
    <d v="2020-01-17T00:00:00"/>
    <x v="3"/>
    <d v="1925-06-30T00:00:00"/>
    <x v="12"/>
    <x v="1"/>
    <n v="1"/>
    <x v="5"/>
    <x v="0"/>
    <n v="1"/>
    <x v="4"/>
    <x v="4"/>
  </r>
  <r>
    <d v="2020-01-17T00:00:00"/>
    <x v="3"/>
    <d v="1925-06-30T00:00:00"/>
    <x v="12"/>
    <x v="1"/>
    <n v="1"/>
    <x v="29"/>
    <x v="0"/>
    <n v="2"/>
    <x v="4"/>
    <x v="4"/>
  </r>
  <r>
    <d v="2020-01-17T00:00:00"/>
    <x v="3"/>
    <d v="1925-06-30T00:00:00"/>
    <x v="12"/>
    <x v="1"/>
    <n v="1"/>
    <x v="13"/>
    <x v="0"/>
    <n v="1"/>
    <x v="4"/>
    <x v="4"/>
  </r>
  <r>
    <d v="2020-01-17T00:00:00"/>
    <x v="3"/>
    <d v="1925-06-30T00:00:00"/>
    <x v="12"/>
    <x v="1"/>
    <n v="1"/>
    <x v="3"/>
    <x v="0"/>
    <n v="4"/>
    <x v="4"/>
    <x v="4"/>
  </r>
  <r>
    <d v="2020-01-17T00:00:00"/>
    <x v="3"/>
    <d v="1925-06-30T00:00:00"/>
    <x v="12"/>
    <x v="1"/>
    <n v="1"/>
    <x v="16"/>
    <x v="0"/>
    <n v="5"/>
    <x v="4"/>
    <x v="4"/>
  </r>
  <r>
    <d v="2020-01-17T00:00:00"/>
    <x v="3"/>
    <d v="1925-06-30T00:00:00"/>
    <x v="12"/>
    <x v="1"/>
    <n v="1"/>
    <x v="30"/>
    <x v="0"/>
    <n v="4"/>
    <x v="4"/>
    <x v="4"/>
  </r>
  <r>
    <d v="2020-01-17T00:00:00"/>
    <x v="3"/>
    <d v="1925-06-30T00:00:00"/>
    <x v="12"/>
    <x v="0"/>
    <n v="1"/>
    <x v="20"/>
    <x v="0"/>
    <n v="61"/>
    <x v="4"/>
    <x v="4"/>
  </r>
  <r>
    <d v="2020-01-17T00:00:00"/>
    <x v="3"/>
    <d v="1925-07-05T00:00:00"/>
    <x v="10"/>
    <x v="1"/>
    <n v="1"/>
    <x v="4"/>
    <x v="0"/>
    <n v="6"/>
    <x v="4"/>
    <x v="4"/>
  </r>
  <r>
    <d v="2020-01-17T00:00:00"/>
    <x v="3"/>
    <d v="1925-07-05T00:00:00"/>
    <x v="10"/>
    <x v="1"/>
    <n v="1"/>
    <x v="15"/>
    <x v="0"/>
    <n v="1"/>
    <x v="4"/>
    <x v="4"/>
  </r>
  <r>
    <d v="2020-01-17T00:00:00"/>
    <x v="3"/>
    <d v="1925-07-05T00:00:00"/>
    <x v="10"/>
    <x v="1"/>
    <n v="1"/>
    <x v="7"/>
    <x v="0"/>
    <n v="2"/>
    <x v="4"/>
    <x v="4"/>
  </r>
  <r>
    <d v="2020-01-17T00:00:00"/>
    <x v="3"/>
    <d v="1925-07-05T00:00:00"/>
    <x v="10"/>
    <x v="1"/>
    <n v="1"/>
    <x v="21"/>
    <x v="0"/>
    <n v="6"/>
    <x v="4"/>
    <x v="4"/>
  </r>
  <r>
    <d v="2020-01-17T00:00:00"/>
    <x v="3"/>
    <d v="1925-07-05T00:00:00"/>
    <x v="10"/>
    <x v="1"/>
    <n v="1"/>
    <x v="13"/>
    <x v="0"/>
    <n v="5"/>
    <x v="4"/>
    <x v="4"/>
  </r>
  <r>
    <d v="2020-01-17T00:00:00"/>
    <x v="3"/>
    <d v="1925-07-05T00:00:00"/>
    <x v="10"/>
    <x v="0"/>
    <n v="1"/>
    <x v="22"/>
    <x v="0"/>
    <n v="13"/>
    <x v="4"/>
    <x v="4"/>
  </r>
  <r>
    <d v="2020-01-17T00:00:00"/>
    <x v="3"/>
    <d v="1925-07-05T00:00:00"/>
    <x v="10"/>
    <x v="0"/>
    <n v="1"/>
    <x v="8"/>
    <x v="0"/>
    <n v="10"/>
    <x v="4"/>
    <x v="4"/>
  </r>
  <r>
    <d v="2020-01-17T00:00:00"/>
    <x v="3"/>
    <d v="1925-07-05T00:00:00"/>
    <x v="10"/>
    <x v="1"/>
    <n v="1"/>
    <x v="11"/>
    <x v="1"/>
    <n v="2"/>
    <x v="4"/>
    <x v="4"/>
  </r>
  <r>
    <d v="2020-01-17T00:00:00"/>
    <x v="3"/>
    <d v="1925-07-05T00:00:00"/>
    <x v="10"/>
    <x v="1"/>
    <n v="1"/>
    <x v="22"/>
    <x v="1"/>
    <n v="14"/>
    <x v="4"/>
    <x v="4"/>
  </r>
  <r>
    <d v="2020-01-17T00:00:00"/>
    <x v="3"/>
    <d v="1925-07-05T00:00:00"/>
    <x v="10"/>
    <x v="1"/>
    <n v="1"/>
    <x v="21"/>
    <x v="1"/>
    <n v="2"/>
    <x v="4"/>
    <x v="4"/>
  </r>
  <r>
    <d v="2020-01-17T00:00:00"/>
    <x v="3"/>
    <d v="1925-07-05T00:00:00"/>
    <x v="10"/>
    <x v="1"/>
    <n v="1"/>
    <x v="3"/>
    <x v="1"/>
    <n v="3"/>
    <x v="4"/>
    <x v="4"/>
  </r>
  <r>
    <d v="2020-01-17T00:00:00"/>
    <x v="3"/>
    <d v="1925-07-05T00:00:00"/>
    <x v="10"/>
    <x v="0"/>
    <n v="1"/>
    <x v="4"/>
    <x v="1"/>
    <n v="6"/>
    <x v="4"/>
    <x v="4"/>
  </r>
  <r>
    <d v="2020-01-17T00:00:00"/>
    <x v="3"/>
    <d v="1925-07-05T00:00:00"/>
    <x v="10"/>
    <x v="0"/>
    <n v="1"/>
    <x v="0"/>
    <x v="1"/>
    <n v="1"/>
    <x v="4"/>
    <x v="4"/>
  </r>
  <r>
    <d v="2020-01-17T00:00:00"/>
    <x v="3"/>
    <d v="1925-07-05T00:00:00"/>
    <x v="10"/>
    <x v="0"/>
    <n v="1"/>
    <x v="11"/>
    <x v="1"/>
    <n v="1"/>
    <x v="4"/>
    <x v="4"/>
  </r>
  <r>
    <d v="2020-01-17T00:00:00"/>
    <x v="3"/>
    <d v="1925-07-05T00:00:00"/>
    <x v="10"/>
    <x v="0"/>
    <n v="1"/>
    <x v="15"/>
    <x v="1"/>
    <n v="1"/>
    <x v="4"/>
    <x v="4"/>
  </r>
  <r>
    <d v="2020-01-17T00:00:00"/>
    <x v="3"/>
    <d v="1925-07-05T00:00:00"/>
    <x v="10"/>
    <x v="0"/>
    <n v="1"/>
    <x v="1"/>
    <x v="1"/>
    <n v="3"/>
    <x v="4"/>
    <x v="4"/>
  </r>
  <r>
    <d v="2020-01-17T00:00:00"/>
    <x v="3"/>
    <d v="1925-07-05T00:00:00"/>
    <x v="10"/>
    <x v="0"/>
    <n v="1"/>
    <x v="6"/>
    <x v="1"/>
    <n v="1"/>
    <x v="4"/>
    <x v="4"/>
  </r>
  <r>
    <d v="2020-01-17T00:00:00"/>
    <x v="3"/>
    <d v="1925-07-05T00:00:00"/>
    <x v="10"/>
    <x v="0"/>
    <n v="1"/>
    <x v="7"/>
    <x v="1"/>
    <n v="3"/>
    <x v="4"/>
    <x v="4"/>
  </r>
  <r>
    <d v="2020-01-17T00:00:00"/>
    <x v="3"/>
    <d v="1925-07-05T00:00:00"/>
    <x v="10"/>
    <x v="0"/>
    <n v="1"/>
    <x v="21"/>
    <x v="1"/>
    <n v="3"/>
    <x v="4"/>
    <x v="4"/>
  </r>
  <r>
    <d v="2020-01-17T00:00:00"/>
    <x v="3"/>
    <d v="1925-07-05T00:00:00"/>
    <x v="10"/>
    <x v="0"/>
    <n v="1"/>
    <x v="13"/>
    <x v="1"/>
    <n v="1"/>
    <x v="4"/>
    <x v="4"/>
  </r>
  <r>
    <d v="2020-01-17T00:00:00"/>
    <x v="3"/>
    <d v="1925-07-05T00:00:00"/>
    <x v="10"/>
    <x v="0"/>
    <n v="1"/>
    <x v="9"/>
    <x v="1"/>
    <n v="1"/>
    <x v="4"/>
    <x v="4"/>
  </r>
  <r>
    <d v="2020-01-17T00:00:00"/>
    <x v="3"/>
    <d v="1925-07-05T00:00:00"/>
    <x v="10"/>
    <x v="0"/>
    <n v="1"/>
    <x v="19"/>
    <x v="1"/>
    <n v="2"/>
    <x v="4"/>
    <x v="4"/>
  </r>
  <r>
    <d v="2020-01-17T00:00:00"/>
    <x v="3"/>
    <d v="1902-11-12T00:00:00"/>
    <x v="18"/>
    <x v="1"/>
    <n v="1"/>
    <x v="27"/>
    <x v="0"/>
    <n v="6"/>
    <x v="4"/>
    <x v="4"/>
  </r>
  <r>
    <d v="2020-01-17T00:00:00"/>
    <x v="3"/>
    <d v="1902-11-12T00:00:00"/>
    <x v="18"/>
    <x v="1"/>
    <n v="1"/>
    <x v="33"/>
    <x v="0"/>
    <n v="13"/>
    <x v="4"/>
    <x v="4"/>
  </r>
  <r>
    <d v="2020-01-17T00:00:00"/>
    <x v="3"/>
    <d v="1902-11-12T00:00:00"/>
    <x v="18"/>
    <x v="1"/>
    <n v="1"/>
    <x v="31"/>
    <x v="0"/>
    <n v="3"/>
    <x v="4"/>
    <x v="4"/>
  </r>
  <r>
    <d v="2020-01-17T00:00:00"/>
    <x v="3"/>
    <d v="1902-11-12T00:00:00"/>
    <x v="18"/>
    <x v="1"/>
    <n v="1"/>
    <x v="28"/>
    <x v="0"/>
    <n v="1"/>
    <x v="4"/>
    <x v="4"/>
  </r>
  <r>
    <d v="2020-01-17T00:00:00"/>
    <x v="3"/>
    <d v="1902-11-12T00:00:00"/>
    <x v="18"/>
    <x v="1"/>
    <n v="1"/>
    <x v="15"/>
    <x v="0"/>
    <n v="1"/>
    <x v="4"/>
    <x v="4"/>
  </r>
  <r>
    <d v="2020-01-17T00:00:00"/>
    <x v="3"/>
    <d v="1902-11-12T00:00:00"/>
    <x v="18"/>
    <x v="1"/>
    <n v="1"/>
    <x v="29"/>
    <x v="0"/>
    <n v="5"/>
    <x v="4"/>
    <x v="4"/>
  </r>
  <r>
    <d v="2020-01-17T00:00:00"/>
    <x v="3"/>
    <d v="1902-11-12T00:00:00"/>
    <x v="18"/>
    <x v="1"/>
    <n v="1"/>
    <x v="25"/>
    <x v="0"/>
    <n v="11"/>
    <x v="4"/>
    <x v="4"/>
  </r>
  <r>
    <d v="2020-01-17T00:00:00"/>
    <x v="3"/>
    <d v="1902-11-12T00:00:00"/>
    <x v="18"/>
    <x v="1"/>
    <n v="1"/>
    <x v="19"/>
    <x v="0"/>
    <n v="4"/>
    <x v="4"/>
    <x v="4"/>
  </r>
  <r>
    <d v="2020-01-17T00:00:00"/>
    <x v="3"/>
    <d v="1902-11-12T00:00:00"/>
    <x v="18"/>
    <x v="1"/>
    <n v="1"/>
    <x v="30"/>
    <x v="0"/>
    <n v="1"/>
    <x v="4"/>
    <x v="4"/>
  </r>
  <r>
    <d v="2020-01-17T00:00:00"/>
    <x v="3"/>
    <d v="1902-11-12T00:00:00"/>
    <x v="18"/>
    <x v="0"/>
    <n v="1"/>
    <x v="24"/>
    <x v="0"/>
    <n v="16"/>
    <x v="4"/>
    <x v="4"/>
  </r>
  <r>
    <d v="2020-01-17T00:00:00"/>
    <x v="3"/>
    <d v="1902-11-12T00:00:00"/>
    <x v="18"/>
    <x v="0"/>
    <n v="1"/>
    <x v="2"/>
    <x v="0"/>
    <n v="12"/>
    <x v="4"/>
    <x v="4"/>
  </r>
  <r>
    <d v="2020-01-17T00:00:00"/>
    <x v="3"/>
    <d v="1902-11-12T00:00:00"/>
    <x v="18"/>
    <x v="0"/>
    <n v="1"/>
    <x v="34"/>
    <x v="0"/>
    <n v="6"/>
    <x v="4"/>
    <x v="4"/>
  </r>
  <r>
    <d v="2020-01-17T00:00:00"/>
    <x v="3"/>
    <d v="1902-11-12T00:00:00"/>
    <x v="18"/>
    <x v="0"/>
    <n v="1"/>
    <x v="16"/>
    <x v="0"/>
    <n v="1"/>
    <x v="4"/>
    <x v="4"/>
  </r>
  <r>
    <d v="2020-01-17T00:00:00"/>
    <x v="3"/>
    <d v="1904-10-16T00:00:00"/>
    <x v="15"/>
    <x v="0"/>
    <n v="1"/>
    <x v="0"/>
    <x v="1"/>
    <n v="2"/>
    <x v="4"/>
    <x v="4"/>
  </r>
  <r>
    <d v="2020-01-17T00:00:00"/>
    <x v="3"/>
    <d v="1904-10-16T00:00:00"/>
    <x v="15"/>
    <x v="0"/>
    <n v="1"/>
    <x v="2"/>
    <x v="1"/>
    <n v="13"/>
    <x v="4"/>
    <x v="4"/>
  </r>
  <r>
    <d v="2020-01-17T00:00:00"/>
    <x v="3"/>
    <d v="1904-10-16T00:00:00"/>
    <x v="15"/>
    <x v="0"/>
    <n v="1"/>
    <x v="21"/>
    <x v="1"/>
    <n v="18"/>
    <x v="4"/>
    <x v="4"/>
  </r>
  <r>
    <d v="2020-01-17T00:00:00"/>
    <x v="3"/>
    <d v="1904-10-16T00:00:00"/>
    <x v="15"/>
    <x v="0"/>
    <n v="1"/>
    <x v="8"/>
    <x v="1"/>
    <n v="15"/>
    <x v="4"/>
    <x v="4"/>
  </r>
  <r>
    <d v="2020-01-17T00:00:00"/>
    <x v="3"/>
    <d v="1904-10-16T00:00:00"/>
    <x v="15"/>
    <x v="1"/>
    <n v="1"/>
    <x v="29"/>
    <x v="1"/>
    <n v="5"/>
    <x v="4"/>
    <x v="4"/>
  </r>
  <r>
    <d v="2020-01-17T00:00:00"/>
    <x v="3"/>
    <d v="1904-10-16T00:00:00"/>
    <x v="15"/>
    <x v="1"/>
    <n v="1"/>
    <x v="21"/>
    <x v="1"/>
    <n v="4"/>
    <x v="4"/>
    <x v="4"/>
  </r>
  <r>
    <d v="2020-01-17T00:00:00"/>
    <x v="3"/>
    <d v="1904-10-16T00:00:00"/>
    <x v="15"/>
    <x v="1"/>
    <n v="1"/>
    <x v="13"/>
    <x v="1"/>
    <n v="16"/>
    <x v="4"/>
    <x v="4"/>
  </r>
  <r>
    <d v="2020-01-17T00:00:00"/>
    <x v="3"/>
    <d v="1904-10-16T00:00:00"/>
    <x v="15"/>
    <x v="1"/>
    <n v="1"/>
    <x v="3"/>
    <x v="1"/>
    <n v="24"/>
    <x v="4"/>
    <x v="4"/>
  </r>
  <r>
    <d v="2020-01-17T00:00:00"/>
    <x v="3"/>
    <d v="1904-10-16T00:00:00"/>
    <x v="15"/>
    <x v="0"/>
    <n v="1"/>
    <x v="0"/>
    <x v="1"/>
    <n v="5"/>
    <x v="4"/>
    <x v="4"/>
  </r>
  <r>
    <d v="2020-01-17T00:00:00"/>
    <x v="3"/>
    <d v="1904-10-16T00:00:00"/>
    <x v="15"/>
    <x v="0"/>
    <n v="1"/>
    <x v="27"/>
    <x v="1"/>
    <n v="1"/>
    <x v="4"/>
    <x v="4"/>
  </r>
  <r>
    <d v="2020-01-17T00:00:00"/>
    <x v="3"/>
    <d v="1904-10-16T00:00:00"/>
    <x v="15"/>
    <x v="0"/>
    <n v="1"/>
    <x v="11"/>
    <x v="1"/>
    <n v="5"/>
    <x v="4"/>
    <x v="4"/>
  </r>
  <r>
    <d v="2020-01-17T00:00:00"/>
    <x v="3"/>
    <d v="1904-10-16T00:00:00"/>
    <x v="15"/>
    <x v="0"/>
    <n v="1"/>
    <x v="33"/>
    <x v="1"/>
    <n v="3"/>
    <x v="4"/>
    <x v="4"/>
  </r>
  <r>
    <d v="2020-01-17T00:00:00"/>
    <x v="3"/>
    <d v="1904-10-16T00:00:00"/>
    <x v="15"/>
    <x v="0"/>
    <n v="1"/>
    <x v="31"/>
    <x v="1"/>
    <n v="1"/>
    <x v="4"/>
    <x v="4"/>
  </r>
  <r>
    <d v="2020-01-17T00:00:00"/>
    <x v="3"/>
    <d v="1904-10-16T00:00:00"/>
    <x v="15"/>
    <x v="0"/>
    <n v="1"/>
    <x v="28"/>
    <x v="1"/>
    <n v="3"/>
    <x v="4"/>
    <x v="4"/>
  </r>
  <r>
    <d v="2020-01-17T00:00:00"/>
    <x v="3"/>
    <d v="1904-10-16T00:00:00"/>
    <x v="15"/>
    <x v="0"/>
    <n v="1"/>
    <x v="15"/>
    <x v="1"/>
    <n v="2"/>
    <x v="4"/>
    <x v="4"/>
  </r>
  <r>
    <d v="2020-01-17T00:00:00"/>
    <x v="3"/>
    <d v="1904-10-16T00:00:00"/>
    <x v="15"/>
    <x v="0"/>
    <n v="1"/>
    <x v="24"/>
    <x v="1"/>
    <n v="3"/>
    <x v="4"/>
    <x v="4"/>
  </r>
  <r>
    <d v="2020-01-17T00:00:00"/>
    <x v="3"/>
    <d v="1904-10-16T00:00:00"/>
    <x v="15"/>
    <x v="0"/>
    <n v="1"/>
    <x v="1"/>
    <x v="1"/>
    <n v="1"/>
    <x v="4"/>
    <x v="4"/>
  </r>
  <r>
    <d v="2020-01-17T00:00:00"/>
    <x v="3"/>
    <d v="1904-10-16T00:00:00"/>
    <x v="15"/>
    <x v="0"/>
    <n v="1"/>
    <x v="29"/>
    <x v="1"/>
    <n v="7"/>
    <x v="4"/>
    <x v="4"/>
  </r>
  <r>
    <d v="2020-01-17T00:00:00"/>
    <x v="3"/>
    <d v="1904-10-16T00:00:00"/>
    <x v="15"/>
    <x v="0"/>
    <n v="1"/>
    <x v="13"/>
    <x v="1"/>
    <n v="3"/>
    <x v="4"/>
    <x v="4"/>
  </r>
  <r>
    <d v="2020-01-17T00:00:00"/>
    <x v="3"/>
    <d v="1904-10-16T00:00:00"/>
    <x v="15"/>
    <x v="0"/>
    <n v="1"/>
    <x v="3"/>
    <x v="1"/>
    <n v="5"/>
    <x v="4"/>
    <x v="4"/>
  </r>
  <r>
    <d v="2020-01-17T00:00:00"/>
    <x v="3"/>
    <d v="1904-10-16T00:00:00"/>
    <x v="15"/>
    <x v="0"/>
    <n v="1"/>
    <x v="9"/>
    <x v="1"/>
    <n v="3"/>
    <x v="4"/>
    <x v="4"/>
  </r>
  <r>
    <d v="2020-01-17T00:00:00"/>
    <x v="3"/>
    <d v="1904-10-16T00:00:00"/>
    <x v="15"/>
    <x v="0"/>
    <n v="1"/>
    <x v="16"/>
    <x v="1"/>
    <n v="6"/>
    <x v="4"/>
    <x v="4"/>
  </r>
  <r>
    <d v="2020-01-17T00:00:00"/>
    <x v="3"/>
    <d v="1904-10-19T00:00:00"/>
    <x v="19"/>
    <x v="1"/>
    <n v="1"/>
    <x v="27"/>
    <x v="0"/>
    <n v="3"/>
    <x v="4"/>
    <x v="4"/>
  </r>
  <r>
    <d v="2020-01-17T00:00:00"/>
    <x v="3"/>
    <d v="1904-10-19T00:00:00"/>
    <x v="19"/>
    <x v="1"/>
    <n v="1"/>
    <x v="33"/>
    <x v="0"/>
    <n v="2"/>
    <x v="4"/>
    <x v="4"/>
  </r>
  <r>
    <d v="2020-01-17T00:00:00"/>
    <x v="3"/>
    <d v="1904-10-19T00:00:00"/>
    <x v="19"/>
    <x v="1"/>
    <n v="1"/>
    <x v="31"/>
    <x v="0"/>
    <n v="6"/>
    <x v="4"/>
    <x v="4"/>
  </r>
  <r>
    <d v="2020-01-17T00:00:00"/>
    <x v="3"/>
    <d v="1904-10-19T00:00:00"/>
    <x v="19"/>
    <x v="1"/>
    <n v="1"/>
    <x v="15"/>
    <x v="0"/>
    <n v="12"/>
    <x v="4"/>
    <x v="4"/>
  </r>
  <r>
    <d v="2020-01-17T00:00:00"/>
    <x v="3"/>
    <d v="1904-10-19T00:00:00"/>
    <x v="19"/>
    <x v="1"/>
    <n v="1"/>
    <x v="24"/>
    <x v="0"/>
    <n v="1"/>
    <x v="4"/>
    <x v="4"/>
  </r>
  <r>
    <d v="2020-01-17T00:00:00"/>
    <x v="3"/>
    <d v="1904-10-19T00:00:00"/>
    <x v="19"/>
    <x v="1"/>
    <n v="1"/>
    <x v="34"/>
    <x v="0"/>
    <n v="10"/>
    <x v="4"/>
    <x v="4"/>
  </r>
  <r>
    <d v="2020-01-17T00:00:00"/>
    <x v="3"/>
    <d v="1904-10-19T00:00:00"/>
    <x v="19"/>
    <x v="1"/>
    <n v="1"/>
    <x v="23"/>
    <x v="0"/>
    <n v="3"/>
    <x v="4"/>
    <x v="4"/>
  </r>
  <r>
    <d v="2020-01-17T00:00:00"/>
    <x v="3"/>
    <d v="1904-10-19T00:00:00"/>
    <x v="19"/>
    <x v="1"/>
    <n v="1"/>
    <x v="26"/>
    <x v="0"/>
    <n v="3"/>
    <x v="4"/>
    <x v="4"/>
  </r>
  <r>
    <d v="2020-01-17T00:00:00"/>
    <x v="3"/>
    <d v="1904-10-19T00:00:00"/>
    <x v="19"/>
    <x v="1"/>
    <n v="2"/>
    <x v="20"/>
    <x v="0"/>
    <n v="17"/>
    <x v="4"/>
    <x v="4"/>
  </r>
  <r>
    <d v="2020-01-17T00:00:00"/>
    <x v="3"/>
    <d v="1904-10-19T00:00:00"/>
    <x v="19"/>
    <x v="1"/>
    <n v="2"/>
    <x v="15"/>
    <x v="0"/>
    <n v="3"/>
    <x v="4"/>
    <x v="4"/>
  </r>
  <r>
    <d v="2020-01-17T00:00:00"/>
    <x v="3"/>
    <d v="1904-10-19T00:00:00"/>
    <x v="19"/>
    <x v="1"/>
    <n v="2"/>
    <x v="5"/>
    <x v="0"/>
    <n v="1"/>
    <x v="4"/>
    <x v="4"/>
  </r>
  <r>
    <d v="2020-01-17T00:00:00"/>
    <x v="3"/>
    <d v="1904-10-19T00:00:00"/>
    <x v="19"/>
    <x v="1"/>
    <n v="2"/>
    <x v="2"/>
    <x v="0"/>
    <n v="6"/>
    <x v="4"/>
    <x v="4"/>
  </r>
  <r>
    <d v="2020-01-17T00:00:00"/>
    <x v="3"/>
    <d v="1904-10-19T00:00:00"/>
    <x v="19"/>
    <x v="1"/>
    <n v="2"/>
    <x v="26"/>
    <x v="0"/>
    <n v="1"/>
    <x v="4"/>
    <x v="4"/>
  </r>
  <r>
    <d v="2020-01-17T00:00:00"/>
    <x v="3"/>
    <d v="1904-10-19T00:00:00"/>
    <x v="19"/>
    <x v="1"/>
    <n v="2"/>
    <x v="21"/>
    <x v="0"/>
    <n v="12"/>
    <x v="4"/>
    <x v="4"/>
  </r>
  <r>
    <d v="2020-01-17T00:00:00"/>
    <x v="3"/>
    <d v="1904-10-19T00:00:00"/>
    <x v="19"/>
    <x v="0"/>
    <n v="1"/>
    <x v="12"/>
    <x v="0"/>
    <n v="4"/>
    <x v="4"/>
    <x v="4"/>
  </r>
  <r>
    <d v="2020-01-17T00:00:00"/>
    <x v="3"/>
    <d v="1904-10-19T00:00:00"/>
    <x v="19"/>
    <x v="0"/>
    <n v="1"/>
    <x v="20"/>
    <x v="0"/>
    <n v="26"/>
    <x v="4"/>
    <x v="4"/>
  </r>
  <r>
    <d v="2020-01-17T00:00:00"/>
    <x v="3"/>
    <d v="1904-10-19T00:00:00"/>
    <x v="19"/>
    <x v="0"/>
    <n v="1"/>
    <x v="26"/>
    <x v="0"/>
    <n v="1"/>
    <x v="4"/>
    <x v="4"/>
  </r>
  <r>
    <d v="2020-01-17T00:00:00"/>
    <x v="3"/>
    <d v="1904-10-19T00:00:00"/>
    <x v="19"/>
    <x v="0"/>
    <n v="1"/>
    <x v="16"/>
    <x v="0"/>
    <n v="21"/>
    <x v="4"/>
    <x v="4"/>
  </r>
  <r>
    <d v="2020-01-17T00:00:00"/>
    <x v="3"/>
    <d v="1904-10-19T00:00:00"/>
    <x v="19"/>
    <x v="0"/>
    <n v="2"/>
    <x v="15"/>
    <x v="0"/>
    <n v="20"/>
    <x v="4"/>
    <x v="4"/>
  </r>
  <r>
    <d v="2020-01-17T00:00:00"/>
    <x v="3"/>
    <d v="1904-10-19T00:00:00"/>
    <x v="19"/>
    <x v="0"/>
    <n v="2"/>
    <x v="34"/>
    <x v="0"/>
    <n v="8"/>
    <x v="4"/>
    <x v="4"/>
  </r>
  <r>
    <d v="2020-01-17T00:00:00"/>
    <x v="3"/>
    <d v="1904-10-19T00:00:00"/>
    <x v="19"/>
    <x v="0"/>
    <n v="2"/>
    <x v="23"/>
    <x v="0"/>
    <n v="14"/>
    <x v="4"/>
    <x v="4"/>
  </r>
  <r>
    <d v="2020-01-17T00:00:00"/>
    <x v="3"/>
    <d v="1904-10-19T00:00:00"/>
    <x v="19"/>
    <x v="0"/>
    <n v="2"/>
    <x v="21"/>
    <x v="0"/>
    <n v="10"/>
    <x v="4"/>
    <x v="4"/>
  </r>
  <r>
    <d v="2020-01-17T00:00:00"/>
    <x v="3"/>
    <d v="1904-10-19T00:00:00"/>
    <x v="19"/>
    <x v="1"/>
    <n v="1"/>
    <x v="27"/>
    <x v="1"/>
    <n v="3"/>
    <x v="4"/>
    <x v="4"/>
  </r>
  <r>
    <d v="2020-01-17T00:00:00"/>
    <x v="3"/>
    <d v="1904-10-19T00:00:00"/>
    <x v="19"/>
    <x v="1"/>
    <n v="1"/>
    <x v="33"/>
    <x v="1"/>
    <n v="2"/>
    <x v="4"/>
    <x v="4"/>
  </r>
  <r>
    <d v="2020-01-17T00:00:00"/>
    <x v="3"/>
    <d v="1904-10-19T00:00:00"/>
    <x v="19"/>
    <x v="1"/>
    <n v="1"/>
    <x v="31"/>
    <x v="1"/>
    <n v="6"/>
    <x v="4"/>
    <x v="4"/>
  </r>
  <r>
    <d v="2020-01-17T00:00:00"/>
    <x v="3"/>
    <d v="1904-10-19T00:00:00"/>
    <x v="19"/>
    <x v="1"/>
    <n v="1"/>
    <x v="15"/>
    <x v="1"/>
    <n v="12"/>
    <x v="4"/>
    <x v="4"/>
  </r>
  <r>
    <d v="2020-01-17T00:00:00"/>
    <x v="3"/>
    <d v="1904-10-19T00:00:00"/>
    <x v="19"/>
    <x v="1"/>
    <n v="1"/>
    <x v="24"/>
    <x v="1"/>
    <n v="1"/>
    <x v="4"/>
    <x v="4"/>
  </r>
  <r>
    <d v="2020-01-17T00:00:00"/>
    <x v="3"/>
    <d v="1904-10-19T00:00:00"/>
    <x v="19"/>
    <x v="1"/>
    <n v="1"/>
    <x v="34"/>
    <x v="1"/>
    <n v="10"/>
    <x v="4"/>
    <x v="4"/>
  </r>
  <r>
    <d v="2020-01-17T00:00:00"/>
    <x v="3"/>
    <d v="1904-10-19T00:00:00"/>
    <x v="19"/>
    <x v="1"/>
    <n v="1"/>
    <x v="23"/>
    <x v="1"/>
    <n v="4"/>
    <x v="4"/>
    <x v="4"/>
  </r>
  <r>
    <d v="2020-01-17T00:00:00"/>
    <x v="3"/>
    <d v="1904-10-19T00:00:00"/>
    <x v="19"/>
    <x v="1"/>
    <n v="1"/>
    <x v="19"/>
    <x v="1"/>
    <n v="3"/>
    <x v="4"/>
    <x v="4"/>
  </r>
  <r>
    <d v="2020-01-17T00:00:00"/>
    <x v="3"/>
    <d v="1904-10-19T00:00:00"/>
    <x v="19"/>
    <x v="1"/>
    <n v="2"/>
    <x v="33"/>
    <x v="1"/>
    <n v="2"/>
    <x v="4"/>
    <x v="4"/>
  </r>
  <r>
    <d v="2020-01-17T00:00:00"/>
    <x v="3"/>
    <d v="1904-10-19T00:00:00"/>
    <x v="19"/>
    <x v="1"/>
    <n v="2"/>
    <x v="20"/>
    <x v="1"/>
    <n v="17"/>
    <x v="4"/>
    <x v="4"/>
  </r>
  <r>
    <d v="2020-01-17T00:00:00"/>
    <x v="3"/>
    <d v="1904-10-19T00:00:00"/>
    <x v="19"/>
    <x v="1"/>
    <n v="2"/>
    <x v="15"/>
    <x v="1"/>
    <n v="3"/>
    <x v="4"/>
    <x v="4"/>
  </r>
  <r>
    <d v="2020-01-17T00:00:00"/>
    <x v="3"/>
    <d v="1904-10-19T00:00:00"/>
    <x v="19"/>
    <x v="1"/>
    <n v="2"/>
    <x v="5"/>
    <x v="1"/>
    <n v="1"/>
    <x v="4"/>
    <x v="4"/>
  </r>
  <r>
    <d v="2020-01-17T00:00:00"/>
    <x v="3"/>
    <d v="1904-10-19T00:00:00"/>
    <x v="19"/>
    <x v="1"/>
    <n v="2"/>
    <x v="2"/>
    <x v="1"/>
    <n v="6"/>
    <x v="4"/>
    <x v="4"/>
  </r>
  <r>
    <d v="2020-01-17T00:00:00"/>
    <x v="3"/>
    <d v="1904-10-19T00:00:00"/>
    <x v="19"/>
    <x v="1"/>
    <n v="2"/>
    <x v="26"/>
    <x v="1"/>
    <n v="1"/>
    <x v="4"/>
    <x v="4"/>
  </r>
  <r>
    <d v="2020-01-17T00:00:00"/>
    <x v="3"/>
    <d v="1904-10-19T00:00:00"/>
    <x v="19"/>
    <x v="1"/>
    <n v="2"/>
    <x v="21"/>
    <x v="1"/>
    <n v="12"/>
    <x v="4"/>
    <x v="4"/>
  </r>
  <r>
    <d v="2020-01-17T00:00:00"/>
    <x v="3"/>
    <d v="1902-11-12T00:00:00"/>
    <x v="18"/>
    <x v="1"/>
    <n v="2"/>
    <x v="20"/>
    <x v="1"/>
    <n v="24"/>
    <x v="4"/>
    <x v="4"/>
  </r>
  <r>
    <d v="2020-01-17T00:00:00"/>
    <x v="3"/>
    <d v="1902-11-12T00:00:00"/>
    <x v="18"/>
    <x v="1"/>
    <n v="2"/>
    <x v="15"/>
    <x v="1"/>
    <n v="4"/>
    <x v="4"/>
    <x v="4"/>
  </r>
  <r>
    <d v="2020-01-17T00:00:00"/>
    <x v="3"/>
    <d v="1902-11-12T00:00:00"/>
    <x v="18"/>
    <x v="1"/>
    <n v="2"/>
    <x v="23"/>
    <x v="1"/>
    <n v="5"/>
    <x v="4"/>
    <x v="4"/>
  </r>
  <r>
    <d v="2020-01-17T00:00:00"/>
    <x v="3"/>
    <d v="1902-11-12T00:00:00"/>
    <x v="18"/>
    <x v="1"/>
    <n v="2"/>
    <x v="16"/>
    <x v="1"/>
    <n v="11"/>
    <x v="4"/>
    <x v="4"/>
  </r>
  <r>
    <d v="2020-01-17T00:00:00"/>
    <x v="3"/>
    <d v="1902-11-12T00:00:00"/>
    <x v="18"/>
    <x v="0"/>
    <n v="2"/>
    <x v="27"/>
    <x v="1"/>
    <n v="5"/>
    <x v="4"/>
    <x v="4"/>
  </r>
  <r>
    <d v="2020-01-17T00:00:00"/>
    <x v="3"/>
    <d v="1902-11-12T00:00:00"/>
    <x v="18"/>
    <x v="0"/>
    <n v="2"/>
    <x v="33"/>
    <x v="1"/>
    <n v="2"/>
    <x v="4"/>
    <x v="4"/>
  </r>
  <r>
    <d v="2020-01-17T00:00:00"/>
    <x v="3"/>
    <d v="1902-11-12T00:00:00"/>
    <x v="18"/>
    <x v="0"/>
    <n v="2"/>
    <x v="28"/>
    <x v="1"/>
    <n v="7"/>
    <x v="4"/>
    <x v="4"/>
  </r>
  <r>
    <d v="2020-01-17T00:00:00"/>
    <x v="3"/>
    <d v="1902-11-12T00:00:00"/>
    <x v="18"/>
    <x v="0"/>
    <n v="2"/>
    <x v="15"/>
    <x v="1"/>
    <n v="3"/>
    <x v="4"/>
    <x v="4"/>
  </r>
  <r>
    <d v="2020-01-17T00:00:00"/>
    <x v="3"/>
    <d v="1902-11-12T00:00:00"/>
    <x v="18"/>
    <x v="0"/>
    <n v="2"/>
    <x v="24"/>
    <x v="1"/>
    <n v="2"/>
    <x v="4"/>
    <x v="4"/>
  </r>
  <r>
    <d v="2020-01-17T00:00:00"/>
    <x v="3"/>
    <d v="1902-11-12T00:00:00"/>
    <x v="18"/>
    <x v="0"/>
    <n v="2"/>
    <x v="23"/>
    <x v="1"/>
    <n v="3"/>
    <x v="4"/>
    <x v="4"/>
  </r>
  <r>
    <d v="2020-01-17T00:00:00"/>
    <x v="3"/>
    <d v="1902-11-12T00:00:00"/>
    <x v="18"/>
    <x v="0"/>
    <n v="2"/>
    <x v="16"/>
    <x v="1"/>
    <n v="6"/>
    <x v="4"/>
    <x v="4"/>
  </r>
  <r>
    <d v="2020-01-17T00:00:00"/>
    <x v="3"/>
    <d v="1902-11-12T00:00:00"/>
    <x v="18"/>
    <x v="0"/>
    <n v="2"/>
    <x v="19"/>
    <x v="1"/>
    <n v="2"/>
    <x v="4"/>
    <x v="4"/>
  </r>
  <r>
    <d v="2020-01-17T00:00:00"/>
    <x v="3"/>
    <d v="1902-11-12T00:00:00"/>
    <x v="18"/>
    <x v="0"/>
    <n v="2"/>
    <x v="30"/>
    <x v="1"/>
    <n v="4"/>
    <x v="4"/>
    <x v="4"/>
  </r>
  <r>
    <d v="2020-01-17T00:00:00"/>
    <x v="3"/>
    <d v="1902-11-12T00:00:00"/>
    <x v="18"/>
    <x v="0"/>
    <n v="2"/>
    <x v="35"/>
    <x v="1"/>
    <n v="1"/>
    <x v="4"/>
    <x v="4"/>
  </r>
  <r>
    <d v="2020-01-17T00:00:00"/>
    <x v="3"/>
    <d v="1917-12-06T00:00:00"/>
    <x v="17"/>
    <x v="1"/>
    <n v="1"/>
    <x v="27"/>
    <x v="0"/>
    <n v="2"/>
    <x v="4"/>
    <x v="4"/>
  </r>
  <r>
    <d v="2020-01-17T00:00:00"/>
    <x v="3"/>
    <d v="1917-12-06T00:00:00"/>
    <x v="17"/>
    <x v="1"/>
    <n v="1"/>
    <x v="33"/>
    <x v="0"/>
    <n v="19"/>
    <x v="4"/>
    <x v="4"/>
  </r>
  <r>
    <d v="2020-01-17T00:00:00"/>
    <x v="3"/>
    <d v="1917-12-06T00:00:00"/>
    <x v="17"/>
    <x v="1"/>
    <n v="1"/>
    <x v="32"/>
    <x v="0"/>
    <n v="2"/>
    <x v="4"/>
    <x v="4"/>
  </r>
  <r>
    <d v="2020-01-17T00:00:00"/>
    <x v="3"/>
    <d v="1917-12-06T00:00:00"/>
    <x v="17"/>
    <x v="1"/>
    <n v="1"/>
    <x v="28"/>
    <x v="0"/>
    <n v="5"/>
    <x v="4"/>
    <x v="4"/>
  </r>
  <r>
    <d v="2020-01-17T00:00:00"/>
    <x v="3"/>
    <d v="1917-12-06T00:00:00"/>
    <x v="17"/>
    <x v="1"/>
    <n v="1"/>
    <x v="15"/>
    <x v="0"/>
    <n v="14"/>
    <x v="4"/>
    <x v="4"/>
  </r>
  <r>
    <d v="2020-01-17T00:00:00"/>
    <x v="3"/>
    <d v="1917-12-06T00:00:00"/>
    <x v="17"/>
    <x v="1"/>
    <n v="1"/>
    <x v="29"/>
    <x v="0"/>
    <n v="6"/>
    <x v="4"/>
    <x v="4"/>
  </r>
  <r>
    <d v="2020-01-17T00:00:00"/>
    <x v="3"/>
    <d v="1917-12-06T00:00:00"/>
    <x v="17"/>
    <x v="1"/>
    <n v="1"/>
    <x v="25"/>
    <x v="0"/>
    <n v="10"/>
    <x v="4"/>
    <x v="4"/>
  </r>
  <r>
    <d v="2020-01-17T00:00:00"/>
    <x v="3"/>
    <d v="1917-12-06T00:00:00"/>
    <x v="17"/>
    <x v="1"/>
    <n v="1"/>
    <x v="23"/>
    <x v="0"/>
    <n v="4"/>
    <x v="4"/>
    <x v="4"/>
  </r>
  <r>
    <d v="2020-01-17T00:00:00"/>
    <x v="3"/>
    <d v="1917-12-06T00:00:00"/>
    <x v="17"/>
    <x v="1"/>
    <n v="1"/>
    <x v="21"/>
    <x v="0"/>
    <n v="1"/>
    <x v="4"/>
    <x v="4"/>
  </r>
  <r>
    <d v="2020-01-17T00:00:00"/>
    <x v="3"/>
    <d v="1917-12-06T00:00:00"/>
    <x v="17"/>
    <x v="1"/>
    <n v="1"/>
    <x v="16"/>
    <x v="0"/>
    <n v="3"/>
    <x v="4"/>
    <x v="4"/>
  </r>
  <r>
    <d v="2020-01-17T00:00:00"/>
    <x v="3"/>
    <d v="1917-12-06T00:00:00"/>
    <x v="17"/>
    <x v="1"/>
    <n v="1"/>
    <x v="19"/>
    <x v="0"/>
    <n v="3"/>
    <x v="4"/>
    <x v="4"/>
  </r>
  <r>
    <d v="2020-01-17T00:00:00"/>
    <x v="3"/>
    <d v="1917-12-06T00:00:00"/>
    <x v="17"/>
    <x v="1"/>
    <n v="2"/>
    <x v="30"/>
    <x v="0"/>
    <n v="1"/>
    <x v="4"/>
    <x v="4"/>
  </r>
  <r>
    <d v="2020-01-17T00:00:00"/>
    <x v="3"/>
    <d v="1917-12-06T00:00:00"/>
    <x v="17"/>
    <x v="0"/>
    <n v="1"/>
    <x v="20"/>
    <x v="0"/>
    <n v="47"/>
    <x v="4"/>
    <x v="4"/>
  </r>
  <r>
    <d v="2020-01-17T00:00:00"/>
    <x v="3"/>
    <d v="1917-12-06T00:00:00"/>
    <x v="17"/>
    <x v="0"/>
    <n v="2"/>
    <x v="21"/>
    <x v="0"/>
    <n v="26"/>
    <x v="4"/>
    <x v="4"/>
  </r>
  <r>
    <d v="2020-01-17T00:00:00"/>
    <x v="3"/>
    <d v="1917-12-06T00:00:00"/>
    <x v="17"/>
    <x v="1"/>
    <n v="1"/>
    <x v="36"/>
    <x v="1"/>
    <n v="18"/>
    <x v="4"/>
    <x v="4"/>
  </r>
  <r>
    <d v="2020-01-17T00:00:00"/>
    <x v="3"/>
    <d v="1917-12-06T00:00:00"/>
    <x v="17"/>
    <x v="1"/>
    <n v="1"/>
    <x v="2"/>
    <x v="1"/>
    <n v="18"/>
    <x v="4"/>
    <x v="4"/>
  </r>
  <r>
    <d v="2020-01-17T00:00:00"/>
    <x v="3"/>
    <d v="1917-12-06T00:00:00"/>
    <x v="17"/>
    <x v="1"/>
    <n v="1"/>
    <x v="21"/>
    <x v="1"/>
    <n v="8"/>
    <x v="4"/>
    <x v="4"/>
  </r>
  <r>
    <d v="2020-01-17T00:00:00"/>
    <x v="3"/>
    <d v="1917-12-06T00:00:00"/>
    <x v="17"/>
    <x v="1"/>
    <n v="1"/>
    <x v="16"/>
    <x v="1"/>
    <n v="5"/>
    <x v="4"/>
    <x v="4"/>
  </r>
  <r>
    <d v="2020-01-17T00:00:00"/>
    <x v="3"/>
    <d v="1917-12-06T00:00:00"/>
    <x v="17"/>
    <x v="1"/>
    <n v="1"/>
    <x v="17"/>
    <x v="1"/>
    <n v="30"/>
    <x v="4"/>
    <x v="4"/>
  </r>
  <r>
    <d v="2020-01-17T00:00:00"/>
    <x v="3"/>
    <d v="1917-12-06T00:00:00"/>
    <x v="17"/>
    <x v="1"/>
    <n v="2"/>
    <x v="0"/>
    <x v="1"/>
    <n v="7"/>
    <x v="4"/>
    <x v="4"/>
  </r>
  <r>
    <d v="2020-01-17T00:00:00"/>
    <x v="3"/>
    <d v="1917-12-06T00:00:00"/>
    <x v="17"/>
    <x v="0"/>
    <n v="1"/>
    <x v="27"/>
    <x v="1"/>
    <n v="8"/>
    <x v="4"/>
    <x v="4"/>
  </r>
  <r>
    <d v="2020-01-17T00:00:00"/>
    <x v="3"/>
    <d v="1917-12-06T00:00:00"/>
    <x v="17"/>
    <x v="0"/>
    <n v="1"/>
    <x v="33"/>
    <x v="1"/>
    <n v="8"/>
    <x v="4"/>
    <x v="4"/>
  </r>
  <r>
    <d v="2020-01-17T00:00:00"/>
    <x v="3"/>
    <d v="1917-12-06T00:00:00"/>
    <x v="17"/>
    <x v="0"/>
    <n v="1"/>
    <x v="32"/>
    <x v="1"/>
    <n v="4"/>
    <x v="4"/>
    <x v="4"/>
  </r>
  <r>
    <d v="2020-01-17T00:00:00"/>
    <x v="3"/>
    <d v="1917-12-06T00:00:00"/>
    <x v="17"/>
    <x v="0"/>
    <n v="1"/>
    <x v="28"/>
    <x v="1"/>
    <n v="3"/>
    <x v="4"/>
    <x v="4"/>
  </r>
  <r>
    <d v="2020-01-17T00:00:00"/>
    <x v="3"/>
    <d v="1917-12-06T00:00:00"/>
    <x v="17"/>
    <x v="0"/>
    <n v="1"/>
    <x v="20"/>
    <x v="1"/>
    <n v="3"/>
    <x v="4"/>
    <x v="4"/>
  </r>
  <r>
    <d v="2020-01-17T00:00:00"/>
    <x v="3"/>
    <d v="1917-12-06T00:00:00"/>
    <x v="17"/>
    <x v="0"/>
    <n v="1"/>
    <x v="29"/>
    <x v="1"/>
    <n v="3"/>
    <x v="4"/>
    <x v="4"/>
  </r>
  <r>
    <d v="2020-01-17T00:00:00"/>
    <x v="3"/>
    <d v="1917-12-06T00:00:00"/>
    <x v="17"/>
    <x v="0"/>
    <n v="1"/>
    <x v="23"/>
    <x v="1"/>
    <n v="2"/>
    <x v="4"/>
    <x v="4"/>
  </r>
  <r>
    <d v="2020-01-17T00:00:00"/>
    <x v="3"/>
    <d v="1917-12-06T00:00:00"/>
    <x v="17"/>
    <x v="0"/>
    <n v="1"/>
    <x v="21"/>
    <x v="1"/>
    <n v="7"/>
    <x v="4"/>
    <x v="4"/>
  </r>
  <r>
    <d v="2020-01-17T00:00:00"/>
    <x v="3"/>
    <d v="1917-12-06T00:00:00"/>
    <x v="17"/>
    <x v="0"/>
    <n v="1"/>
    <x v="19"/>
    <x v="1"/>
    <n v="4"/>
    <x v="4"/>
    <x v="4"/>
  </r>
  <r>
    <d v="2020-01-17T00:00:00"/>
    <x v="3"/>
    <d v="1917-12-06T00:00:00"/>
    <x v="17"/>
    <x v="0"/>
    <n v="1"/>
    <x v="30"/>
    <x v="1"/>
    <n v="1"/>
    <x v="4"/>
    <x v="4"/>
  </r>
  <r>
    <d v="2020-01-17T00:00:00"/>
    <x v="3"/>
    <d v="1917-12-06T00:00:00"/>
    <x v="17"/>
    <x v="0"/>
    <n v="2"/>
    <x v="27"/>
    <x v="1"/>
    <n v="2"/>
    <x v="4"/>
    <x v="4"/>
  </r>
  <r>
    <d v="2020-01-17T00:00:00"/>
    <x v="3"/>
    <d v="1917-12-06T00:00:00"/>
    <x v="17"/>
    <x v="0"/>
    <n v="2"/>
    <x v="33"/>
    <x v="1"/>
    <n v="5"/>
    <x v="4"/>
    <x v="4"/>
  </r>
  <r>
    <d v="2020-01-17T00:00:00"/>
    <x v="3"/>
    <d v="1917-12-06T00:00:00"/>
    <x v="17"/>
    <x v="0"/>
    <n v="2"/>
    <x v="24"/>
    <x v="1"/>
    <n v="2"/>
    <x v="4"/>
    <x v="4"/>
  </r>
  <r>
    <d v="2020-01-17T00:00:00"/>
    <x v="3"/>
    <d v="1917-12-06T00:00:00"/>
    <x v="17"/>
    <x v="0"/>
    <n v="2"/>
    <x v="29"/>
    <x v="1"/>
    <n v="1"/>
    <x v="4"/>
    <x v="4"/>
  </r>
  <r>
    <d v="2020-01-17T00:00:00"/>
    <x v="3"/>
    <d v="1917-12-06T00:00:00"/>
    <x v="17"/>
    <x v="0"/>
    <n v="2"/>
    <x v="19"/>
    <x v="1"/>
    <n v="3"/>
    <x v="4"/>
    <x v="4"/>
  </r>
  <r>
    <d v="2020-01-17T00:00:00"/>
    <x v="3"/>
    <d v="1917-12-09T00:00:00"/>
    <x v="20"/>
    <x v="1"/>
    <n v="1"/>
    <x v="4"/>
    <x v="0"/>
    <n v="15"/>
    <x v="4"/>
    <x v="4"/>
  </r>
  <r>
    <d v="2020-01-17T00:00:00"/>
    <x v="3"/>
    <d v="1917-12-09T00:00:00"/>
    <x v="20"/>
    <x v="1"/>
    <n v="1"/>
    <x v="0"/>
    <x v="0"/>
    <n v="6"/>
    <x v="4"/>
    <x v="4"/>
  </r>
  <r>
    <d v="2020-01-17T00:00:00"/>
    <x v="3"/>
    <d v="1917-12-09T00:00:00"/>
    <x v="20"/>
    <x v="1"/>
    <n v="1"/>
    <x v="27"/>
    <x v="0"/>
    <n v="9"/>
    <x v="4"/>
    <x v="4"/>
  </r>
  <r>
    <d v="2020-01-17T00:00:00"/>
    <x v="3"/>
    <d v="1917-12-09T00:00:00"/>
    <x v="20"/>
    <x v="1"/>
    <n v="1"/>
    <x v="11"/>
    <x v="0"/>
    <n v="11"/>
    <x v="4"/>
    <x v="4"/>
  </r>
  <r>
    <d v="2020-01-17T00:00:00"/>
    <x v="3"/>
    <d v="1917-12-09T00:00:00"/>
    <x v="20"/>
    <x v="1"/>
    <n v="1"/>
    <x v="31"/>
    <x v="0"/>
    <n v="9"/>
    <x v="4"/>
    <x v="4"/>
  </r>
  <r>
    <d v="2020-01-17T00:00:00"/>
    <x v="3"/>
    <d v="1917-12-09T00:00:00"/>
    <x v="20"/>
    <x v="1"/>
    <n v="1"/>
    <x v="24"/>
    <x v="0"/>
    <n v="2"/>
    <x v="4"/>
    <x v="4"/>
  </r>
  <r>
    <d v="2020-01-17T00:00:00"/>
    <x v="3"/>
    <d v="1917-12-09T00:00:00"/>
    <x v="20"/>
    <x v="1"/>
    <n v="1"/>
    <x v="21"/>
    <x v="0"/>
    <n v="1"/>
    <x v="4"/>
    <x v="4"/>
  </r>
  <r>
    <d v="2020-01-17T00:00:00"/>
    <x v="3"/>
    <d v="1917-12-09T00:00:00"/>
    <x v="20"/>
    <x v="1"/>
    <n v="1"/>
    <x v="13"/>
    <x v="0"/>
    <n v="10"/>
    <x v="4"/>
    <x v="4"/>
  </r>
  <r>
    <d v="2020-01-17T00:00:00"/>
    <x v="3"/>
    <d v="1917-12-09T00:00:00"/>
    <x v="20"/>
    <x v="0"/>
    <n v="1"/>
    <x v="20"/>
    <x v="0"/>
    <n v="9"/>
    <x v="4"/>
    <x v="4"/>
  </r>
  <r>
    <d v="2020-01-17T00:00:00"/>
    <x v="3"/>
    <d v="1917-12-09T00:00:00"/>
    <x v="20"/>
    <x v="0"/>
    <n v="1"/>
    <x v="3"/>
    <x v="0"/>
    <n v="4"/>
    <x v="4"/>
    <x v="4"/>
  </r>
  <r>
    <d v="2020-01-17T00:00:00"/>
    <x v="3"/>
    <d v="1917-12-09T00:00:00"/>
    <x v="20"/>
    <x v="0"/>
    <n v="1"/>
    <x v="16"/>
    <x v="0"/>
    <n v="1"/>
    <x v="4"/>
    <x v="4"/>
  </r>
  <r>
    <d v="2020-01-17T00:00:00"/>
    <x v="3"/>
    <d v="1917-12-09T00:00:00"/>
    <x v="20"/>
    <x v="0"/>
    <n v="1"/>
    <x v="19"/>
    <x v="0"/>
    <n v="28"/>
    <x v="4"/>
    <x v="4"/>
  </r>
  <r>
    <d v="2020-01-17T00:00:00"/>
    <x v="3"/>
    <d v="1917-12-09T00:00:00"/>
    <x v="20"/>
    <x v="0"/>
    <n v="1"/>
    <x v="17"/>
    <x v="0"/>
    <n v="3"/>
    <x v="4"/>
    <x v="4"/>
  </r>
  <r>
    <d v="2020-01-17T00:00:00"/>
    <x v="3"/>
    <d v="1917-12-09T00:00:00"/>
    <x v="20"/>
    <x v="0"/>
    <n v="2"/>
    <x v="20"/>
    <x v="0"/>
    <n v="1"/>
    <x v="4"/>
    <x v="4"/>
  </r>
  <r>
    <d v="2020-01-17T00:00:00"/>
    <x v="3"/>
    <d v="1917-12-09T00:00:00"/>
    <x v="20"/>
    <x v="1"/>
    <n v="1"/>
    <x v="12"/>
    <x v="1"/>
    <n v="4"/>
    <x v="4"/>
    <x v="4"/>
  </r>
  <r>
    <d v="2020-01-17T00:00:00"/>
    <x v="3"/>
    <d v="1917-12-09T00:00:00"/>
    <x v="20"/>
    <x v="1"/>
    <n v="1"/>
    <x v="24"/>
    <x v="1"/>
    <n v="4"/>
    <x v="4"/>
    <x v="4"/>
  </r>
  <r>
    <d v="2020-01-17T00:00:00"/>
    <x v="3"/>
    <d v="1917-12-09T00:00:00"/>
    <x v="20"/>
    <x v="1"/>
    <n v="1"/>
    <x v="21"/>
    <x v="1"/>
    <n v="44"/>
    <x v="4"/>
    <x v="4"/>
  </r>
  <r>
    <d v="2020-01-17T00:00:00"/>
    <x v="3"/>
    <d v="1917-12-09T00:00:00"/>
    <x v="20"/>
    <x v="1"/>
    <n v="1"/>
    <x v="19"/>
    <x v="1"/>
    <n v="11"/>
    <x v="4"/>
    <x v="4"/>
  </r>
  <r>
    <d v="2020-01-17T00:00:00"/>
    <x v="3"/>
    <d v="1917-12-09T00:00:00"/>
    <x v="20"/>
    <x v="0"/>
    <n v="1"/>
    <x v="0"/>
    <x v="1"/>
    <n v="1"/>
    <x v="4"/>
    <x v="4"/>
  </r>
  <r>
    <d v="2020-01-17T00:00:00"/>
    <x v="3"/>
    <d v="1917-12-09T00:00:00"/>
    <x v="20"/>
    <x v="0"/>
    <n v="1"/>
    <x v="31"/>
    <x v="1"/>
    <n v="2"/>
    <x v="4"/>
    <x v="4"/>
  </r>
  <r>
    <d v="2020-01-17T00:00:00"/>
    <x v="3"/>
    <d v="1917-12-09T00:00:00"/>
    <x v="20"/>
    <x v="0"/>
    <n v="1"/>
    <x v="32"/>
    <x v="1"/>
    <n v="1"/>
    <x v="4"/>
    <x v="4"/>
  </r>
  <r>
    <d v="2020-01-17T00:00:00"/>
    <x v="3"/>
    <d v="1917-12-09T00:00:00"/>
    <x v="20"/>
    <x v="0"/>
    <n v="1"/>
    <x v="28"/>
    <x v="1"/>
    <n v="1"/>
    <x v="4"/>
    <x v="4"/>
  </r>
  <r>
    <d v="2020-01-17T00:00:00"/>
    <x v="3"/>
    <d v="1917-12-09T00:00:00"/>
    <x v="20"/>
    <x v="0"/>
    <n v="1"/>
    <x v="15"/>
    <x v="1"/>
    <n v="26"/>
    <x v="4"/>
    <x v="4"/>
  </r>
  <r>
    <d v="2020-01-17T00:00:00"/>
    <x v="3"/>
    <d v="1917-12-09T00:00:00"/>
    <x v="20"/>
    <x v="0"/>
    <n v="1"/>
    <x v="24"/>
    <x v="1"/>
    <n v="2"/>
    <x v="4"/>
    <x v="4"/>
  </r>
  <r>
    <d v="2020-01-17T00:00:00"/>
    <x v="3"/>
    <d v="1917-12-09T00:00:00"/>
    <x v="20"/>
    <x v="0"/>
    <n v="1"/>
    <x v="16"/>
    <x v="1"/>
    <n v="2"/>
    <x v="4"/>
    <x v="4"/>
  </r>
  <r>
    <d v="2020-01-17T00:00:00"/>
    <x v="3"/>
    <d v="1917-12-09T00:00:00"/>
    <x v="20"/>
    <x v="0"/>
    <n v="1"/>
    <x v="30"/>
    <x v="1"/>
    <n v="1"/>
    <x v="4"/>
    <x v="4"/>
  </r>
  <r>
    <d v="2020-01-17T00:00:00"/>
    <x v="3"/>
    <d v="1917-12-09T00:00:00"/>
    <x v="20"/>
    <x v="0"/>
    <n v="2"/>
    <x v="0"/>
    <x v="1"/>
    <n v="1"/>
    <x v="4"/>
    <x v="4"/>
  </r>
  <r>
    <d v="2020-01-17T00:00:00"/>
    <x v="3"/>
    <d v="1917-12-09T00:00:00"/>
    <x v="20"/>
    <x v="0"/>
    <n v="2"/>
    <x v="31"/>
    <x v="1"/>
    <n v="1"/>
    <x v="4"/>
    <x v="4"/>
  </r>
  <r>
    <d v="2020-01-17T00:00:00"/>
    <x v="3"/>
    <d v="1917-12-09T00:00:00"/>
    <x v="20"/>
    <x v="0"/>
    <n v="2"/>
    <x v="32"/>
    <x v="1"/>
    <n v="1"/>
    <x v="4"/>
    <x v="4"/>
  </r>
  <r>
    <d v="2020-01-17T00:00:00"/>
    <x v="3"/>
    <d v="1917-12-09T00:00:00"/>
    <x v="20"/>
    <x v="0"/>
    <n v="2"/>
    <x v="28"/>
    <x v="1"/>
    <n v="1"/>
    <x v="4"/>
    <x v="4"/>
  </r>
  <r>
    <d v="2020-01-17T00:00:00"/>
    <x v="3"/>
    <d v="1917-12-09T00:00:00"/>
    <x v="20"/>
    <x v="0"/>
    <n v="2"/>
    <x v="24"/>
    <x v="1"/>
    <n v="1"/>
    <x v="4"/>
    <x v="4"/>
  </r>
  <r>
    <d v="2020-01-17T00:00:00"/>
    <x v="3"/>
    <d v="1917-12-09T00:00:00"/>
    <x v="20"/>
    <x v="0"/>
    <n v="2"/>
    <x v="3"/>
    <x v="1"/>
    <n v="1"/>
    <x v="4"/>
    <x v="4"/>
  </r>
  <r>
    <d v="2020-01-17T00:00:00"/>
    <x v="3"/>
    <d v="1917-12-09T00:00:00"/>
    <x v="20"/>
    <x v="0"/>
    <n v="2"/>
    <x v="16"/>
    <x v="1"/>
    <n v="2"/>
    <x v="4"/>
    <x v="4"/>
  </r>
  <r>
    <d v="2020-01-17T00:00:00"/>
    <x v="3"/>
    <d v="1917-12-09T00:00:00"/>
    <x v="20"/>
    <x v="0"/>
    <n v="2"/>
    <x v="30"/>
    <x v="1"/>
    <n v="2"/>
    <x v="4"/>
    <x v="4"/>
  </r>
  <r>
    <d v="2020-01-17T00:00:00"/>
    <x v="3"/>
    <d v="1925-06-22T00:00:00"/>
    <x v="22"/>
    <x v="1"/>
    <n v="1"/>
    <x v="27"/>
    <x v="0"/>
    <n v="3"/>
    <x v="4"/>
    <x v="4"/>
  </r>
  <r>
    <d v="2020-01-17T00:00:00"/>
    <x v="3"/>
    <d v="1925-06-22T00:00:00"/>
    <x v="22"/>
    <x v="1"/>
    <n v="1"/>
    <x v="31"/>
    <x v="0"/>
    <n v="3"/>
    <x v="4"/>
    <x v="4"/>
  </r>
  <r>
    <d v="2020-01-17T00:00:00"/>
    <x v="3"/>
    <d v="1925-06-22T00:00:00"/>
    <x v="22"/>
    <x v="1"/>
    <n v="1"/>
    <x v="28"/>
    <x v="0"/>
    <n v="2"/>
    <x v="4"/>
    <x v="4"/>
  </r>
  <r>
    <d v="2020-01-17T00:00:00"/>
    <x v="3"/>
    <d v="1925-06-22T00:00:00"/>
    <x v="22"/>
    <x v="1"/>
    <n v="1"/>
    <x v="24"/>
    <x v="0"/>
    <n v="11"/>
    <x v="4"/>
    <x v="4"/>
  </r>
  <r>
    <d v="2020-01-17T00:00:00"/>
    <x v="3"/>
    <d v="1925-06-22T00:00:00"/>
    <x v="22"/>
    <x v="1"/>
    <n v="1"/>
    <x v="6"/>
    <x v="0"/>
    <n v="1"/>
    <x v="4"/>
    <x v="4"/>
  </r>
  <r>
    <d v="2020-01-17T00:00:00"/>
    <x v="3"/>
    <d v="1925-06-22T00:00:00"/>
    <x v="22"/>
    <x v="1"/>
    <n v="1"/>
    <x v="25"/>
    <x v="0"/>
    <n v="4"/>
    <x v="4"/>
    <x v="4"/>
  </r>
  <r>
    <d v="2020-01-17T00:00:00"/>
    <x v="3"/>
    <d v="1925-06-22T00:00:00"/>
    <x v="22"/>
    <x v="1"/>
    <n v="1"/>
    <x v="34"/>
    <x v="0"/>
    <n v="1"/>
    <x v="4"/>
    <x v="4"/>
  </r>
  <r>
    <d v="2020-01-17T00:00:00"/>
    <x v="3"/>
    <d v="1925-06-22T00:00:00"/>
    <x v="22"/>
    <x v="1"/>
    <n v="1"/>
    <x v="23"/>
    <x v="0"/>
    <n v="3"/>
    <x v="4"/>
    <x v="4"/>
  </r>
  <r>
    <d v="2020-01-17T00:00:00"/>
    <x v="3"/>
    <d v="1925-06-22T00:00:00"/>
    <x v="22"/>
    <x v="1"/>
    <n v="1"/>
    <x v="21"/>
    <x v="0"/>
    <n v="1"/>
    <x v="4"/>
    <x v="4"/>
  </r>
  <r>
    <d v="2020-01-17T00:00:00"/>
    <x v="3"/>
    <d v="1925-06-22T00:00:00"/>
    <x v="22"/>
    <x v="1"/>
    <n v="1"/>
    <x v="3"/>
    <x v="0"/>
    <n v="20"/>
    <x v="4"/>
    <x v="4"/>
  </r>
  <r>
    <d v="2020-01-17T00:00:00"/>
    <x v="3"/>
    <d v="1925-06-22T00:00:00"/>
    <x v="22"/>
    <x v="1"/>
    <n v="1"/>
    <x v="16"/>
    <x v="0"/>
    <n v="7"/>
    <x v="4"/>
    <x v="4"/>
  </r>
  <r>
    <d v="2020-01-17T00:00:00"/>
    <x v="3"/>
    <d v="1925-06-22T00:00:00"/>
    <x v="22"/>
    <x v="1"/>
    <n v="1"/>
    <x v="30"/>
    <x v="0"/>
    <n v="7"/>
    <x v="4"/>
    <x v="4"/>
  </r>
  <r>
    <d v="2020-01-17T00:00:00"/>
    <x v="3"/>
    <d v="1925-06-22T00:00:00"/>
    <x v="22"/>
    <x v="0"/>
    <n v="1"/>
    <x v="18"/>
    <x v="0"/>
    <n v="4"/>
    <x v="4"/>
    <x v="4"/>
  </r>
  <r>
    <d v="2020-01-17T00:00:00"/>
    <x v="3"/>
    <d v="1925-06-22T00:00:00"/>
    <x v="22"/>
    <x v="0"/>
    <n v="1"/>
    <x v="20"/>
    <x v="0"/>
    <n v="56"/>
    <x v="4"/>
    <x v="4"/>
  </r>
  <r>
    <d v="2020-01-17T00:00:00"/>
    <x v="3"/>
    <d v="1925-06-22T00:00:00"/>
    <x v="22"/>
    <x v="0"/>
    <n v="1"/>
    <x v="5"/>
    <x v="0"/>
    <n v="8"/>
    <x v="4"/>
    <x v="4"/>
  </r>
  <r>
    <d v="2020-01-17T00:00:00"/>
    <x v="3"/>
    <d v="1925-06-22T00:00:00"/>
    <x v="22"/>
    <x v="0"/>
    <n v="2"/>
    <x v="17"/>
    <x v="0"/>
    <n v="2"/>
    <x v="4"/>
    <x v="4"/>
  </r>
  <r>
    <d v="2020-01-17T00:00:00"/>
    <x v="3"/>
    <d v="1925-06-22T00:00:00"/>
    <x v="22"/>
    <x v="1"/>
    <n v="1"/>
    <x v="20"/>
    <x v="1"/>
    <n v="9"/>
    <x v="4"/>
    <x v="4"/>
  </r>
  <r>
    <d v="2020-01-17T00:00:00"/>
    <x v="3"/>
    <d v="1925-06-22T00:00:00"/>
    <x v="22"/>
    <x v="1"/>
    <n v="1"/>
    <x v="19"/>
    <x v="1"/>
    <n v="5"/>
    <x v="4"/>
    <x v="4"/>
  </r>
  <r>
    <d v="2020-01-17T00:00:00"/>
    <x v="3"/>
    <d v="1925-06-22T00:00:00"/>
    <x v="22"/>
    <x v="1"/>
    <n v="2"/>
    <x v="15"/>
    <x v="1"/>
    <n v="1"/>
    <x v="4"/>
    <x v="4"/>
  </r>
  <r>
    <d v="2020-01-17T00:00:00"/>
    <x v="3"/>
    <d v="1925-06-22T00:00:00"/>
    <x v="22"/>
    <x v="1"/>
    <n v="2"/>
    <x v="34"/>
    <x v="1"/>
    <n v="2"/>
    <x v="4"/>
    <x v="4"/>
  </r>
  <r>
    <d v="2020-01-17T00:00:00"/>
    <x v="3"/>
    <d v="1925-06-22T00:00:00"/>
    <x v="22"/>
    <x v="1"/>
    <n v="2"/>
    <x v="21"/>
    <x v="1"/>
    <n v="1"/>
    <x v="4"/>
    <x v="4"/>
  </r>
  <r>
    <d v="2020-01-17T00:00:00"/>
    <x v="3"/>
    <d v="1925-06-22T00:00:00"/>
    <x v="22"/>
    <x v="1"/>
    <n v="2"/>
    <x v="13"/>
    <x v="1"/>
    <n v="9"/>
    <x v="4"/>
    <x v="4"/>
  </r>
  <r>
    <d v="2020-01-17T00:00:00"/>
    <x v="3"/>
    <d v="1925-06-22T00:00:00"/>
    <x v="22"/>
    <x v="1"/>
    <n v="2"/>
    <x v="16"/>
    <x v="1"/>
    <n v="36"/>
    <x v="4"/>
    <x v="4"/>
  </r>
  <r>
    <d v="2020-01-17T00:00:00"/>
    <x v="3"/>
    <d v="1925-06-22T00:00:00"/>
    <x v="22"/>
    <x v="0"/>
    <n v="1"/>
    <x v="4"/>
    <x v="1"/>
    <n v="7"/>
    <x v="4"/>
    <x v="4"/>
  </r>
  <r>
    <d v="2020-01-17T00:00:00"/>
    <x v="3"/>
    <d v="1925-06-22T00:00:00"/>
    <x v="22"/>
    <x v="0"/>
    <n v="1"/>
    <x v="0"/>
    <x v="1"/>
    <n v="1"/>
    <x v="4"/>
    <x v="4"/>
  </r>
  <r>
    <d v="2020-01-17T00:00:00"/>
    <x v="3"/>
    <d v="1925-06-22T00:00:00"/>
    <x v="22"/>
    <x v="0"/>
    <n v="1"/>
    <x v="27"/>
    <x v="1"/>
    <n v="9"/>
    <x v="4"/>
    <x v="4"/>
  </r>
  <r>
    <d v="2020-01-17T00:00:00"/>
    <x v="3"/>
    <d v="1925-06-22T00:00:00"/>
    <x v="22"/>
    <x v="0"/>
    <n v="1"/>
    <x v="28"/>
    <x v="1"/>
    <n v="9"/>
    <x v="4"/>
    <x v="4"/>
  </r>
  <r>
    <d v="2020-01-17T00:00:00"/>
    <x v="3"/>
    <d v="1925-06-22T00:00:00"/>
    <x v="22"/>
    <x v="0"/>
    <n v="1"/>
    <x v="24"/>
    <x v="1"/>
    <n v="9"/>
    <x v="4"/>
    <x v="4"/>
  </r>
  <r>
    <d v="2020-01-17T00:00:00"/>
    <x v="3"/>
    <d v="1925-06-22T00:00:00"/>
    <x v="22"/>
    <x v="0"/>
    <n v="1"/>
    <x v="2"/>
    <x v="1"/>
    <n v="6"/>
    <x v="4"/>
    <x v="4"/>
  </r>
  <r>
    <d v="2020-01-17T00:00:00"/>
    <x v="3"/>
    <d v="1925-06-22T00:00:00"/>
    <x v="22"/>
    <x v="0"/>
    <n v="1"/>
    <x v="34"/>
    <x v="1"/>
    <n v="2"/>
    <x v="4"/>
    <x v="4"/>
  </r>
  <r>
    <d v="2020-01-17T00:00:00"/>
    <x v="3"/>
    <d v="1925-06-22T00:00:00"/>
    <x v="22"/>
    <x v="0"/>
    <n v="1"/>
    <x v="23"/>
    <x v="1"/>
    <n v="2"/>
    <x v="4"/>
    <x v="4"/>
  </r>
  <r>
    <d v="2020-01-17T00:00:00"/>
    <x v="3"/>
    <d v="1925-06-22T00:00:00"/>
    <x v="22"/>
    <x v="0"/>
    <n v="1"/>
    <x v="21"/>
    <x v="1"/>
    <n v="13"/>
    <x v="4"/>
    <x v="4"/>
  </r>
  <r>
    <d v="2020-01-17T00:00:00"/>
    <x v="3"/>
    <d v="1925-06-22T00:00:00"/>
    <x v="22"/>
    <x v="0"/>
    <n v="1"/>
    <x v="3"/>
    <x v="1"/>
    <n v="2"/>
    <x v="4"/>
    <x v="4"/>
  </r>
  <r>
    <d v="2020-01-17T00:00:00"/>
    <x v="3"/>
    <d v="1925-06-22T00:00:00"/>
    <x v="22"/>
    <x v="0"/>
    <n v="1"/>
    <x v="9"/>
    <x v="1"/>
    <n v="10"/>
    <x v="4"/>
    <x v="4"/>
  </r>
  <r>
    <d v="2020-01-17T00:00:00"/>
    <x v="3"/>
    <d v="1925-06-22T00:00:00"/>
    <x v="22"/>
    <x v="0"/>
    <n v="2"/>
    <x v="33"/>
    <x v="1"/>
    <n v="1"/>
    <x v="4"/>
    <x v="4"/>
  </r>
  <r>
    <d v="2020-01-17T00:00:00"/>
    <x v="3"/>
    <d v="1925-06-22T00:00:00"/>
    <x v="22"/>
    <x v="0"/>
    <n v="2"/>
    <x v="25"/>
    <x v="1"/>
    <n v="1"/>
    <x v="4"/>
    <x v="4"/>
  </r>
  <r>
    <d v="2020-01-17T00:00:00"/>
    <x v="3"/>
    <d v="1922-10-02T00:00:00"/>
    <x v="24"/>
    <x v="1"/>
    <n v="1"/>
    <x v="4"/>
    <x v="0"/>
    <n v="6"/>
    <x v="4"/>
    <x v="4"/>
  </r>
  <r>
    <d v="2020-01-17T00:00:00"/>
    <x v="3"/>
    <d v="1922-10-02T00:00:00"/>
    <x v="24"/>
    <x v="1"/>
    <n v="1"/>
    <x v="27"/>
    <x v="0"/>
    <n v="1"/>
    <x v="4"/>
    <x v="4"/>
  </r>
  <r>
    <d v="2020-01-17T00:00:00"/>
    <x v="3"/>
    <d v="1922-10-02T00:00:00"/>
    <x v="24"/>
    <x v="1"/>
    <n v="1"/>
    <x v="33"/>
    <x v="0"/>
    <n v="6"/>
    <x v="4"/>
    <x v="4"/>
  </r>
  <r>
    <d v="2020-01-17T00:00:00"/>
    <x v="3"/>
    <d v="1922-10-02T00:00:00"/>
    <x v="24"/>
    <x v="1"/>
    <n v="1"/>
    <x v="15"/>
    <x v="0"/>
    <n v="3"/>
    <x v="4"/>
    <x v="4"/>
  </r>
  <r>
    <d v="2020-01-17T00:00:00"/>
    <x v="3"/>
    <d v="1922-10-02T00:00:00"/>
    <x v="24"/>
    <x v="1"/>
    <n v="1"/>
    <x v="5"/>
    <x v="0"/>
    <n v="7"/>
    <x v="4"/>
    <x v="4"/>
  </r>
  <r>
    <d v="2020-01-17T00:00:00"/>
    <x v="3"/>
    <d v="1922-10-02T00:00:00"/>
    <x v="24"/>
    <x v="1"/>
    <n v="1"/>
    <x v="2"/>
    <x v="0"/>
    <n v="5"/>
    <x v="4"/>
    <x v="4"/>
  </r>
  <r>
    <d v="2020-01-17T00:00:00"/>
    <x v="3"/>
    <d v="1922-10-02T00:00:00"/>
    <x v="24"/>
    <x v="1"/>
    <n v="1"/>
    <x v="21"/>
    <x v="0"/>
    <n v="3"/>
    <x v="4"/>
    <x v="4"/>
  </r>
  <r>
    <d v="2020-01-17T00:00:00"/>
    <x v="3"/>
    <d v="1922-10-02T00:00:00"/>
    <x v="24"/>
    <x v="1"/>
    <n v="1"/>
    <x v="13"/>
    <x v="0"/>
    <n v="3"/>
    <x v="4"/>
    <x v="4"/>
  </r>
  <r>
    <d v="2020-01-17T00:00:00"/>
    <x v="3"/>
    <d v="1922-10-02T00:00:00"/>
    <x v="24"/>
    <x v="1"/>
    <n v="1"/>
    <x v="16"/>
    <x v="0"/>
    <n v="2"/>
    <x v="4"/>
    <x v="4"/>
  </r>
  <r>
    <d v="2020-01-17T00:00:00"/>
    <x v="3"/>
    <d v="1922-10-02T00:00:00"/>
    <x v="24"/>
    <x v="1"/>
    <n v="1"/>
    <x v="19"/>
    <x v="0"/>
    <n v="2"/>
    <x v="4"/>
    <x v="4"/>
  </r>
  <r>
    <d v="2020-01-17T00:00:00"/>
    <x v="3"/>
    <d v="1922-10-02T00:00:00"/>
    <x v="24"/>
    <x v="1"/>
    <n v="2"/>
    <x v="4"/>
    <x v="0"/>
    <n v="2"/>
    <x v="4"/>
    <x v="4"/>
  </r>
  <r>
    <d v="2020-01-17T00:00:00"/>
    <x v="3"/>
    <d v="1922-10-02T00:00:00"/>
    <x v="24"/>
    <x v="1"/>
    <n v="2"/>
    <x v="5"/>
    <x v="0"/>
    <n v="3"/>
    <x v="4"/>
    <x v="4"/>
  </r>
  <r>
    <d v="2020-01-17T00:00:00"/>
    <x v="3"/>
    <d v="1922-10-02T00:00:00"/>
    <x v="24"/>
    <x v="1"/>
    <n v="2"/>
    <x v="21"/>
    <x v="0"/>
    <n v="3"/>
    <x v="4"/>
    <x v="4"/>
  </r>
  <r>
    <d v="2020-01-17T00:00:00"/>
    <x v="3"/>
    <d v="1922-10-02T00:00:00"/>
    <x v="24"/>
    <x v="1"/>
    <n v="2"/>
    <x v="13"/>
    <x v="0"/>
    <n v="1"/>
    <x v="4"/>
    <x v="4"/>
  </r>
  <r>
    <d v="2020-01-17T00:00:00"/>
    <x v="3"/>
    <d v="1922-10-02T00:00:00"/>
    <x v="24"/>
    <x v="0"/>
    <n v="1"/>
    <x v="21"/>
    <x v="0"/>
    <n v="32"/>
    <x v="4"/>
    <x v="4"/>
  </r>
  <r>
    <d v="2020-01-17T00:00:00"/>
    <x v="3"/>
    <d v="1922-10-02T00:00:00"/>
    <x v="24"/>
    <x v="0"/>
    <n v="1"/>
    <x v="19"/>
    <x v="0"/>
    <n v="35"/>
    <x v="4"/>
    <x v="4"/>
  </r>
  <r>
    <d v="2020-01-17T00:00:00"/>
    <x v="3"/>
    <d v="1922-10-02T00:00:00"/>
    <x v="24"/>
    <x v="0"/>
    <n v="2"/>
    <x v="21"/>
    <x v="0"/>
    <n v="5"/>
    <x v="4"/>
    <x v="4"/>
  </r>
  <r>
    <d v="2020-01-17T00:00:00"/>
    <x v="3"/>
    <d v="1922-10-02T00:00:00"/>
    <x v="21"/>
    <x v="1"/>
    <n v="1"/>
    <x v="0"/>
    <x v="0"/>
    <n v="7"/>
    <x v="4"/>
    <x v="4"/>
  </r>
  <r>
    <d v="2020-01-17T00:00:00"/>
    <x v="3"/>
    <d v="1922-10-02T00:00:00"/>
    <x v="21"/>
    <x v="1"/>
    <n v="1"/>
    <x v="20"/>
    <x v="0"/>
    <n v="6"/>
    <x v="4"/>
    <x v="4"/>
  </r>
  <r>
    <d v="2020-01-17T00:00:00"/>
    <x v="3"/>
    <d v="1922-10-02T00:00:00"/>
    <x v="21"/>
    <x v="1"/>
    <n v="1"/>
    <x v="5"/>
    <x v="0"/>
    <n v="2"/>
    <x v="4"/>
    <x v="4"/>
  </r>
  <r>
    <d v="2020-01-17T00:00:00"/>
    <x v="3"/>
    <d v="1922-10-02T00:00:00"/>
    <x v="21"/>
    <x v="1"/>
    <n v="1"/>
    <x v="21"/>
    <x v="0"/>
    <n v="26"/>
    <x v="4"/>
    <x v="4"/>
  </r>
  <r>
    <d v="2020-01-17T00:00:00"/>
    <x v="3"/>
    <d v="1922-10-02T00:00:00"/>
    <x v="21"/>
    <x v="1"/>
    <n v="1"/>
    <x v="19"/>
    <x v="0"/>
    <n v="9"/>
    <x v="4"/>
    <x v="4"/>
  </r>
  <r>
    <d v="2020-01-17T00:00:00"/>
    <x v="3"/>
    <d v="1922-10-02T00:00:00"/>
    <x v="21"/>
    <x v="1"/>
    <n v="2"/>
    <x v="21"/>
    <x v="0"/>
    <n v="1"/>
    <x v="4"/>
    <x v="4"/>
  </r>
  <r>
    <d v="2020-01-17T00:00:00"/>
    <x v="3"/>
    <d v="1922-10-02T00:00:00"/>
    <x v="21"/>
    <x v="0"/>
    <n v="1"/>
    <x v="11"/>
    <x v="0"/>
    <n v="29"/>
    <x v="4"/>
    <x v="4"/>
  </r>
  <r>
    <d v="2020-01-17T00:00:00"/>
    <x v="3"/>
    <d v="1922-10-02T00:00:00"/>
    <x v="21"/>
    <x v="0"/>
    <n v="1"/>
    <x v="25"/>
    <x v="0"/>
    <n v="10"/>
    <x v="4"/>
    <x v="4"/>
  </r>
  <r>
    <d v="2020-01-17T00:00:00"/>
    <x v="3"/>
    <d v="1922-10-02T00:00:00"/>
    <x v="21"/>
    <x v="0"/>
    <n v="1"/>
    <x v="34"/>
    <x v="0"/>
    <n v="1"/>
    <x v="4"/>
    <x v="4"/>
  </r>
  <r>
    <d v="2020-01-17T00:00:00"/>
    <x v="3"/>
    <d v="1922-10-02T00:00:00"/>
    <x v="21"/>
    <x v="0"/>
    <n v="1"/>
    <x v="23"/>
    <x v="0"/>
    <n v="10"/>
    <x v="4"/>
    <x v="4"/>
  </r>
  <r>
    <d v="2020-01-17T00:00:00"/>
    <x v="3"/>
    <d v="1922-10-02T00:00:00"/>
    <x v="21"/>
    <x v="0"/>
    <n v="1"/>
    <x v="21"/>
    <x v="0"/>
    <n v="8"/>
    <x v="4"/>
    <x v="4"/>
  </r>
  <r>
    <d v="2020-01-17T00:00:00"/>
    <x v="3"/>
    <d v="1922-10-02T00:00:00"/>
    <x v="21"/>
    <x v="0"/>
    <n v="1"/>
    <x v="16"/>
    <x v="0"/>
    <n v="11"/>
    <x v="4"/>
    <x v="4"/>
  </r>
  <r>
    <d v="2020-01-17T00:00:00"/>
    <x v="3"/>
    <d v="1922-10-02T00:00:00"/>
    <x v="21"/>
    <x v="0"/>
    <n v="1"/>
    <x v="19"/>
    <x v="0"/>
    <n v="3"/>
    <x v="4"/>
    <x v="4"/>
  </r>
  <r>
    <d v="2020-01-17T00:00:00"/>
    <x v="3"/>
    <d v="1925-07-07T00:00:00"/>
    <x v="24"/>
    <x v="1"/>
    <n v="1"/>
    <x v="27"/>
    <x v="0"/>
    <n v="1"/>
    <x v="4"/>
    <x v="4"/>
  </r>
  <r>
    <d v="2020-01-17T00:00:00"/>
    <x v="3"/>
    <d v="1925-07-07T00:00:00"/>
    <x v="24"/>
    <x v="1"/>
    <n v="1"/>
    <x v="33"/>
    <x v="0"/>
    <n v="2"/>
    <x v="4"/>
    <x v="4"/>
  </r>
  <r>
    <d v="2020-01-17T00:00:00"/>
    <x v="3"/>
    <d v="1925-07-07T00:00:00"/>
    <x v="24"/>
    <x v="1"/>
    <n v="1"/>
    <x v="15"/>
    <x v="0"/>
    <n v="11"/>
    <x v="4"/>
    <x v="4"/>
  </r>
  <r>
    <d v="2020-01-17T00:00:00"/>
    <x v="3"/>
    <d v="1925-07-07T00:00:00"/>
    <x v="24"/>
    <x v="1"/>
    <n v="1"/>
    <x v="24"/>
    <x v="0"/>
    <n v="2"/>
    <x v="4"/>
    <x v="4"/>
  </r>
  <r>
    <d v="2020-01-17T00:00:00"/>
    <x v="3"/>
    <d v="1925-07-07T00:00:00"/>
    <x v="24"/>
    <x v="1"/>
    <n v="1"/>
    <x v="23"/>
    <x v="0"/>
    <n v="2"/>
    <x v="4"/>
    <x v="4"/>
  </r>
  <r>
    <d v="2020-01-17T00:00:00"/>
    <x v="3"/>
    <d v="1925-07-07T00:00:00"/>
    <x v="24"/>
    <x v="1"/>
    <n v="1"/>
    <x v="21"/>
    <x v="0"/>
    <n v="6"/>
    <x v="4"/>
    <x v="4"/>
  </r>
  <r>
    <d v="2020-01-17T00:00:00"/>
    <x v="3"/>
    <d v="1925-07-07T00:00:00"/>
    <x v="24"/>
    <x v="1"/>
    <n v="1"/>
    <x v="19"/>
    <x v="0"/>
    <n v="5"/>
    <x v="4"/>
    <x v="4"/>
  </r>
  <r>
    <d v="2020-01-17T00:00:00"/>
    <x v="3"/>
    <d v="1925-07-07T00:00:00"/>
    <x v="24"/>
    <x v="0"/>
    <n v="1"/>
    <x v="0"/>
    <x v="0"/>
    <n v="11"/>
    <x v="4"/>
    <x v="4"/>
  </r>
  <r>
    <d v="2020-01-17T00:00:00"/>
    <x v="3"/>
    <d v="1925-07-07T00:00:00"/>
    <x v="24"/>
    <x v="0"/>
    <n v="1"/>
    <x v="20"/>
    <x v="0"/>
    <n v="2"/>
    <x v="4"/>
    <x v="4"/>
  </r>
  <r>
    <d v="2020-01-12T00:00:00"/>
    <x v="3"/>
    <d v="1925-07-07T00:00:00"/>
    <x v="24"/>
    <x v="1"/>
    <n v="1"/>
    <x v="18"/>
    <x v="1"/>
    <n v="1"/>
    <x v="4"/>
    <x v="4"/>
  </r>
  <r>
    <d v="2020-01-12T00:00:00"/>
    <x v="3"/>
    <d v="1925-07-07T00:00:00"/>
    <x v="24"/>
    <x v="1"/>
    <n v="1"/>
    <x v="21"/>
    <x v="1"/>
    <n v="7"/>
    <x v="4"/>
    <x v="4"/>
  </r>
  <r>
    <d v="2020-01-12T00:00:00"/>
    <x v="3"/>
    <d v="1925-07-07T00:00:00"/>
    <x v="24"/>
    <x v="1"/>
    <n v="1"/>
    <x v="13"/>
    <x v="1"/>
    <n v="2"/>
    <x v="4"/>
    <x v="4"/>
  </r>
  <r>
    <d v="2020-01-12T00:00:00"/>
    <x v="3"/>
    <d v="1925-07-07T00:00:00"/>
    <x v="24"/>
    <x v="1"/>
    <n v="1"/>
    <x v="14"/>
    <x v="1"/>
    <n v="19"/>
    <x v="4"/>
    <x v="4"/>
  </r>
  <r>
    <d v="2020-01-12T00:00:00"/>
    <x v="3"/>
    <d v="1925-07-07T00:00:00"/>
    <x v="24"/>
    <x v="0"/>
    <n v="1"/>
    <x v="33"/>
    <x v="1"/>
    <n v="1"/>
    <x v="4"/>
    <x v="4"/>
  </r>
  <r>
    <d v="2020-01-12T00:00:00"/>
    <x v="3"/>
    <d v="1925-07-07T00:00:00"/>
    <x v="24"/>
    <x v="0"/>
    <n v="1"/>
    <x v="32"/>
    <x v="1"/>
    <n v="1"/>
    <x v="4"/>
    <x v="4"/>
  </r>
  <r>
    <d v="2020-01-12T00:00:00"/>
    <x v="3"/>
    <d v="1925-07-07T00:00:00"/>
    <x v="24"/>
    <x v="0"/>
    <n v="1"/>
    <x v="28"/>
    <x v="1"/>
    <n v="4"/>
    <x v="4"/>
    <x v="4"/>
  </r>
  <r>
    <d v="2020-01-12T00:00:00"/>
    <x v="3"/>
    <d v="1925-07-07T00:00:00"/>
    <x v="24"/>
    <x v="0"/>
    <n v="1"/>
    <x v="15"/>
    <x v="1"/>
    <n v="2"/>
    <x v="4"/>
    <x v="4"/>
  </r>
  <r>
    <d v="2020-01-12T00:00:00"/>
    <x v="3"/>
    <d v="1925-07-07T00:00:00"/>
    <x v="24"/>
    <x v="0"/>
    <n v="1"/>
    <x v="23"/>
    <x v="1"/>
    <n v="1"/>
    <x v="4"/>
    <x v="4"/>
  </r>
  <r>
    <d v="2020-01-12T00:00:00"/>
    <x v="3"/>
    <d v="1925-07-07T00:00:00"/>
    <x v="24"/>
    <x v="0"/>
    <n v="1"/>
    <x v="21"/>
    <x v="1"/>
    <n v="1"/>
    <x v="4"/>
    <x v="4"/>
  </r>
  <r>
    <d v="2020-01-12T00:00:00"/>
    <x v="3"/>
    <d v="1925-07-07T00:00:00"/>
    <x v="24"/>
    <x v="0"/>
    <n v="1"/>
    <x v="30"/>
    <x v="1"/>
    <n v="3"/>
    <x v="4"/>
    <x v="4"/>
  </r>
  <r>
    <d v="2020-01-17T00:00:00"/>
    <x v="3"/>
    <d v="1917-12-07T00:00:00"/>
    <x v="13"/>
    <x v="1"/>
    <n v="1"/>
    <x v="0"/>
    <x v="0"/>
    <n v="5"/>
    <x v="4"/>
    <x v="4"/>
  </r>
  <r>
    <d v="2020-01-17T00:00:00"/>
    <x v="3"/>
    <d v="1917-12-07T00:00:00"/>
    <x v="13"/>
    <x v="1"/>
    <n v="1"/>
    <x v="11"/>
    <x v="0"/>
    <n v="11"/>
    <x v="4"/>
    <x v="4"/>
  </r>
  <r>
    <d v="2020-01-17T00:00:00"/>
    <x v="3"/>
    <d v="1917-12-07T00:00:00"/>
    <x v="13"/>
    <x v="1"/>
    <n v="1"/>
    <x v="32"/>
    <x v="0"/>
    <n v="13"/>
    <x v="4"/>
    <x v="4"/>
  </r>
  <r>
    <d v="2020-01-17T00:00:00"/>
    <x v="3"/>
    <d v="1917-12-07T00:00:00"/>
    <x v="13"/>
    <x v="1"/>
    <n v="1"/>
    <x v="15"/>
    <x v="0"/>
    <n v="2"/>
    <x v="4"/>
    <x v="4"/>
  </r>
  <r>
    <d v="2020-01-17T00:00:00"/>
    <x v="3"/>
    <d v="1917-12-07T00:00:00"/>
    <x v="13"/>
    <x v="1"/>
    <n v="1"/>
    <x v="1"/>
    <x v="0"/>
    <n v="2"/>
    <x v="4"/>
    <x v="4"/>
  </r>
  <r>
    <d v="2020-01-17T00:00:00"/>
    <x v="3"/>
    <d v="1917-12-07T00:00:00"/>
    <x v="13"/>
    <x v="1"/>
    <n v="1"/>
    <x v="2"/>
    <x v="0"/>
    <n v="14"/>
    <x v="4"/>
    <x v="4"/>
  </r>
  <r>
    <d v="2020-01-17T00:00:00"/>
    <x v="3"/>
    <d v="1917-12-07T00:00:00"/>
    <x v="13"/>
    <x v="1"/>
    <n v="1"/>
    <x v="23"/>
    <x v="0"/>
    <n v="15"/>
    <x v="4"/>
    <x v="4"/>
  </r>
  <r>
    <d v="2020-01-17T00:00:00"/>
    <x v="3"/>
    <d v="1917-12-07T00:00:00"/>
    <x v="13"/>
    <x v="1"/>
    <n v="1"/>
    <x v="21"/>
    <x v="0"/>
    <n v="1"/>
    <x v="4"/>
    <x v="4"/>
  </r>
  <r>
    <d v="2020-01-17T00:00:00"/>
    <x v="3"/>
    <d v="1917-12-07T00:00:00"/>
    <x v="13"/>
    <x v="1"/>
    <n v="1"/>
    <x v="13"/>
    <x v="0"/>
    <n v="1"/>
    <x v="4"/>
    <x v="4"/>
  </r>
  <r>
    <d v="2020-01-17T00:00:00"/>
    <x v="3"/>
    <d v="1917-12-07T00:00:00"/>
    <x v="13"/>
    <x v="1"/>
    <n v="1"/>
    <x v="9"/>
    <x v="0"/>
    <n v="3"/>
    <x v="4"/>
    <x v="4"/>
  </r>
  <r>
    <d v="2020-01-17T00:00:00"/>
    <x v="3"/>
    <d v="1917-12-07T00:00:00"/>
    <x v="13"/>
    <x v="1"/>
    <n v="1"/>
    <x v="16"/>
    <x v="0"/>
    <n v="6"/>
    <x v="4"/>
    <x v="4"/>
  </r>
  <r>
    <d v="2020-01-17T00:00:00"/>
    <x v="3"/>
    <d v="1917-12-07T00:00:00"/>
    <x v="13"/>
    <x v="1"/>
    <n v="2"/>
    <x v="23"/>
    <x v="0"/>
    <n v="5"/>
    <x v="4"/>
    <x v="4"/>
  </r>
  <r>
    <d v="2020-01-17T00:00:00"/>
    <x v="3"/>
    <d v="1917-12-07T00:00:00"/>
    <x v="13"/>
    <x v="1"/>
    <n v="2"/>
    <x v="21"/>
    <x v="0"/>
    <n v="5"/>
    <x v="4"/>
    <x v="4"/>
  </r>
  <r>
    <d v="2020-01-17T00:00:00"/>
    <x v="3"/>
    <d v="1917-12-07T00:00:00"/>
    <x v="13"/>
    <x v="0"/>
    <n v="1"/>
    <x v="20"/>
    <x v="0"/>
    <n v="5"/>
    <x v="4"/>
    <x v="4"/>
  </r>
  <r>
    <d v="2020-01-17T00:00:00"/>
    <x v="3"/>
    <d v="1917-12-07T00:00:00"/>
    <x v="13"/>
    <x v="0"/>
    <n v="1"/>
    <x v="13"/>
    <x v="0"/>
    <n v="4"/>
    <x v="4"/>
    <x v="4"/>
  </r>
  <r>
    <d v="2020-01-17T00:00:00"/>
    <x v="3"/>
    <d v="1917-12-07T00:00:00"/>
    <x v="13"/>
    <x v="0"/>
    <n v="1"/>
    <x v="16"/>
    <x v="0"/>
    <n v="5"/>
    <x v="4"/>
    <x v="4"/>
  </r>
  <r>
    <d v="2020-01-17T00:00:00"/>
    <x v="3"/>
    <d v="1917-12-07T00:00:00"/>
    <x v="13"/>
    <x v="0"/>
    <n v="1"/>
    <x v="14"/>
    <x v="0"/>
    <n v="25"/>
    <x v="4"/>
    <x v="4"/>
  </r>
  <r>
    <d v="2020-01-17T00:00:00"/>
    <x v="3"/>
    <d v="1917-12-07T00:00:00"/>
    <x v="13"/>
    <x v="0"/>
    <n v="2"/>
    <x v="13"/>
    <x v="0"/>
    <n v="4"/>
    <x v="4"/>
    <x v="4"/>
  </r>
  <r>
    <d v="2020-01-17T00:00:00"/>
    <x v="3"/>
    <d v="1917-12-07T00:00:00"/>
    <x v="13"/>
    <x v="0"/>
    <n v="2"/>
    <x v="16"/>
    <x v="0"/>
    <n v="28"/>
    <x v="4"/>
    <x v="4"/>
  </r>
  <r>
    <d v="2020-01-17T00:00:00"/>
    <x v="3"/>
    <d v="1917-12-07T00:00:00"/>
    <x v="13"/>
    <x v="0"/>
    <n v="2"/>
    <x v="14"/>
    <x v="0"/>
    <n v="4"/>
    <x v="4"/>
    <x v="4"/>
  </r>
  <r>
    <d v="2020-01-17T00:00:00"/>
    <x v="3"/>
    <d v="1917-12-07T00:00:00"/>
    <x v="13"/>
    <x v="1"/>
    <n v="1"/>
    <x v="20"/>
    <x v="1"/>
    <n v="11"/>
    <x v="4"/>
    <x v="4"/>
  </r>
  <r>
    <d v="2020-01-17T00:00:00"/>
    <x v="3"/>
    <d v="1917-12-07T00:00:00"/>
    <x v="13"/>
    <x v="1"/>
    <n v="1"/>
    <x v="15"/>
    <x v="1"/>
    <n v="9"/>
    <x v="4"/>
    <x v="4"/>
  </r>
  <r>
    <d v="2020-01-17T00:00:00"/>
    <x v="3"/>
    <d v="1917-12-07T00:00:00"/>
    <x v="13"/>
    <x v="1"/>
    <n v="1"/>
    <x v="23"/>
    <x v="1"/>
    <n v="5"/>
    <x v="4"/>
    <x v="4"/>
  </r>
  <r>
    <d v="2020-01-17T00:00:00"/>
    <x v="3"/>
    <d v="1917-12-07T00:00:00"/>
    <x v="13"/>
    <x v="1"/>
    <n v="1"/>
    <x v="21"/>
    <x v="1"/>
    <n v="10"/>
    <x v="4"/>
    <x v="4"/>
  </r>
  <r>
    <d v="2020-01-17T00:00:00"/>
    <x v="3"/>
    <d v="1917-12-07T00:00:00"/>
    <x v="13"/>
    <x v="1"/>
    <n v="1"/>
    <x v="16"/>
    <x v="1"/>
    <n v="5"/>
    <x v="4"/>
    <x v="4"/>
  </r>
  <r>
    <d v="2020-01-17T00:00:00"/>
    <x v="3"/>
    <d v="1917-12-07T00:00:00"/>
    <x v="13"/>
    <x v="1"/>
    <n v="1"/>
    <x v="17"/>
    <x v="1"/>
    <n v="21"/>
    <x v="4"/>
    <x v="4"/>
  </r>
  <r>
    <d v="2020-01-17T00:00:00"/>
    <x v="3"/>
    <d v="1917-12-07T00:00:00"/>
    <x v="13"/>
    <x v="1"/>
    <n v="2"/>
    <x v="28"/>
    <x v="1"/>
    <n v="6"/>
    <x v="4"/>
    <x v="4"/>
  </r>
  <r>
    <d v="2020-01-17T00:00:00"/>
    <x v="3"/>
    <d v="1917-12-07T00:00:00"/>
    <x v="13"/>
    <x v="1"/>
    <n v="2"/>
    <x v="16"/>
    <x v="1"/>
    <n v="5"/>
    <x v="4"/>
    <x v="4"/>
  </r>
  <r>
    <d v="2020-01-17T00:00:00"/>
    <x v="3"/>
    <d v="1917-12-07T00:00:00"/>
    <x v="13"/>
    <x v="0"/>
    <n v="1"/>
    <x v="27"/>
    <x v="1"/>
    <n v="9"/>
    <x v="4"/>
    <x v="4"/>
  </r>
  <r>
    <d v="2020-01-17T00:00:00"/>
    <x v="3"/>
    <d v="1917-12-07T00:00:00"/>
    <x v="13"/>
    <x v="0"/>
    <n v="1"/>
    <x v="33"/>
    <x v="1"/>
    <n v="5"/>
    <x v="4"/>
    <x v="4"/>
  </r>
  <r>
    <d v="2020-01-17T00:00:00"/>
    <x v="3"/>
    <d v="1917-12-07T00:00:00"/>
    <x v="13"/>
    <x v="0"/>
    <n v="1"/>
    <x v="28"/>
    <x v="1"/>
    <n v="5"/>
    <x v="4"/>
    <x v="4"/>
  </r>
  <r>
    <d v="2020-01-17T00:00:00"/>
    <x v="3"/>
    <d v="1917-12-07T00:00:00"/>
    <x v="13"/>
    <x v="0"/>
    <n v="1"/>
    <x v="20"/>
    <x v="1"/>
    <n v="2"/>
    <x v="4"/>
    <x v="4"/>
  </r>
  <r>
    <d v="2020-01-17T00:00:00"/>
    <x v="3"/>
    <d v="1917-12-07T00:00:00"/>
    <x v="13"/>
    <x v="0"/>
    <n v="1"/>
    <x v="15"/>
    <x v="1"/>
    <n v="6"/>
    <x v="4"/>
    <x v="4"/>
  </r>
  <r>
    <d v="2020-01-17T00:00:00"/>
    <x v="3"/>
    <d v="1917-12-07T00:00:00"/>
    <x v="13"/>
    <x v="0"/>
    <n v="1"/>
    <x v="24"/>
    <x v="1"/>
    <n v="2"/>
    <x v="4"/>
    <x v="4"/>
  </r>
  <r>
    <d v="2020-01-17T00:00:00"/>
    <x v="3"/>
    <d v="1917-12-07T00:00:00"/>
    <x v="13"/>
    <x v="0"/>
    <n v="1"/>
    <x v="29"/>
    <x v="1"/>
    <n v="2"/>
    <x v="4"/>
    <x v="4"/>
  </r>
  <r>
    <d v="2020-01-17T00:00:00"/>
    <x v="3"/>
    <d v="1917-12-07T00:00:00"/>
    <x v="13"/>
    <x v="0"/>
    <n v="1"/>
    <x v="22"/>
    <x v="1"/>
    <n v="7"/>
    <x v="4"/>
    <x v="4"/>
  </r>
  <r>
    <d v="2020-01-17T00:00:00"/>
    <x v="3"/>
    <d v="1917-12-07T00:00:00"/>
    <x v="13"/>
    <x v="0"/>
    <n v="1"/>
    <x v="25"/>
    <x v="1"/>
    <n v="6"/>
    <x v="4"/>
    <x v="4"/>
  </r>
  <r>
    <d v="2020-01-17T00:00:00"/>
    <x v="3"/>
    <d v="1917-12-07T00:00:00"/>
    <x v="13"/>
    <x v="0"/>
    <n v="1"/>
    <x v="23"/>
    <x v="1"/>
    <n v="2"/>
    <x v="4"/>
    <x v="4"/>
  </r>
  <r>
    <d v="2020-01-17T00:00:00"/>
    <x v="3"/>
    <d v="1917-12-07T00:00:00"/>
    <x v="13"/>
    <x v="0"/>
    <n v="1"/>
    <x v="21"/>
    <x v="1"/>
    <n v="2"/>
    <x v="4"/>
    <x v="4"/>
  </r>
  <r>
    <d v="2020-01-17T00:00:00"/>
    <x v="3"/>
    <d v="1917-12-07T00:00:00"/>
    <x v="13"/>
    <x v="0"/>
    <n v="1"/>
    <x v="13"/>
    <x v="1"/>
    <n v="3"/>
    <x v="4"/>
    <x v="4"/>
  </r>
  <r>
    <d v="2020-01-17T00:00:00"/>
    <x v="3"/>
    <d v="1917-12-07T00:00:00"/>
    <x v="13"/>
    <x v="0"/>
    <n v="1"/>
    <x v="19"/>
    <x v="1"/>
    <n v="9"/>
    <x v="4"/>
    <x v="4"/>
  </r>
  <r>
    <d v="2020-01-17T00:00:00"/>
    <x v="3"/>
    <d v="1917-12-07T00:00:00"/>
    <x v="13"/>
    <x v="0"/>
    <n v="2"/>
    <x v="27"/>
    <x v="1"/>
    <n v="1"/>
    <x v="4"/>
    <x v="4"/>
  </r>
  <r>
    <d v="2020-01-17T00:00:00"/>
    <x v="3"/>
    <d v="1917-12-07T00:00:00"/>
    <x v="13"/>
    <x v="0"/>
    <n v="2"/>
    <x v="15"/>
    <x v="1"/>
    <n v="5"/>
    <x v="4"/>
    <x v="4"/>
  </r>
  <r>
    <d v="2020-01-17T00:00:00"/>
    <x v="3"/>
    <d v="1917-12-07T00:00:00"/>
    <x v="13"/>
    <x v="0"/>
    <n v="2"/>
    <x v="25"/>
    <x v="1"/>
    <n v="1"/>
    <x v="4"/>
    <x v="4"/>
  </r>
  <r>
    <d v="2020-01-17T00:00:00"/>
    <x v="3"/>
    <d v="1917-12-07T00:00:00"/>
    <x v="13"/>
    <x v="0"/>
    <n v="2"/>
    <x v="23"/>
    <x v="1"/>
    <n v="3"/>
    <x v="4"/>
    <x v="4"/>
  </r>
  <r>
    <d v="2020-01-17T00:00:00"/>
    <x v="3"/>
    <d v="1917-12-07T00:00:00"/>
    <x v="13"/>
    <x v="0"/>
    <n v="2"/>
    <x v="21"/>
    <x v="1"/>
    <n v="5"/>
    <x v="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rowHeaderCaption="Shuttle Route" colHeaderCaption="Day of Week">
  <location ref="N50:S84" firstHeaderRow="1" firstDataRow="2" firstDataCol="1" rowPageCount="4" colPageCount="1"/>
  <pivotFields count="11">
    <pivotField showAll="0"/>
    <pivotField axis="axisCol" showAll="0">
      <items count="7">
        <item m="1" x="5"/>
        <item m="1" x="4"/>
        <item x="0"/>
        <item x="1"/>
        <item x="2"/>
        <item x="3"/>
        <item t="default"/>
      </items>
    </pivotField>
    <pivotField showAll="0"/>
    <pivotField showAll="0"/>
    <pivotField axis="axisPage" showAll="0">
      <items count="4">
        <item x="1"/>
        <item x="0"/>
        <item m="1" x="2"/>
        <item t="default"/>
      </items>
    </pivotField>
    <pivotField showAll="0"/>
    <pivotField axis="axisRow" showAll="0">
      <items count="93">
        <item m="1" x="67"/>
        <item m="1" x="53"/>
        <item m="1" x="83"/>
        <item m="1" x="72"/>
        <item x="18"/>
        <item x="4"/>
        <item x="0"/>
        <item m="1" x="42"/>
        <item m="1" x="54"/>
        <item m="1" x="61"/>
        <item m="1" x="87"/>
        <item m="1" x="75"/>
        <item m="1" x="64"/>
        <item m="1" x="55"/>
        <item m="1" x="71"/>
        <item m="1" x="49"/>
        <item x="11"/>
        <item m="1" x="74"/>
        <item m="1" x="89"/>
        <item m="1" x="76"/>
        <item m="1" x="59"/>
        <item m="1" x="82"/>
        <item m="1" x="84"/>
        <item x="33"/>
        <item x="12"/>
        <item x="20"/>
        <item m="1" x="85"/>
        <item m="1" x="70"/>
        <item m="1" x="56"/>
        <item m="1" x="50"/>
        <item x="5"/>
        <item m="1" x="81"/>
        <item m="1" x="57"/>
        <item x="1"/>
        <item m="1" x="62"/>
        <item x="29"/>
        <item m="1" x="46"/>
        <item x="22"/>
        <item m="1" x="78"/>
        <item m="1" x="73"/>
        <item m="1" x="66"/>
        <item x="23"/>
        <item x="26"/>
        <item x="7"/>
        <item x="21"/>
        <item x="13"/>
        <item x="3"/>
        <item x="9"/>
        <item m="1" x="63"/>
        <item m="1" x="80"/>
        <item x="19"/>
        <item m="1" x="52"/>
        <item m="1" x="51"/>
        <item m="1" x="91"/>
        <item m="1" x="79"/>
        <item m="1" x="77"/>
        <item m="1" x="47"/>
        <item m="1" x="38"/>
        <item m="1" x="68"/>
        <item m="1" x="37"/>
        <item m="1" x="69"/>
        <item m="1" x="41"/>
        <item m="1" x="43"/>
        <item m="1" x="90"/>
        <item m="1" x="60"/>
        <item m="1" x="48"/>
        <item m="1" x="39"/>
        <item m="1" x="44"/>
        <item m="1" x="58"/>
        <item m="1" x="88"/>
        <item m="1" x="45"/>
        <item m="1" x="40"/>
        <item m="1" x="86"/>
        <item m="1" x="65"/>
        <item x="2"/>
        <item x="6"/>
        <item x="8"/>
        <item x="10"/>
        <item x="14"/>
        <item x="15"/>
        <item x="16"/>
        <item x="17"/>
        <item x="24"/>
        <item x="25"/>
        <item x="27"/>
        <item x="28"/>
        <item x="30"/>
        <item x="31"/>
        <item x="32"/>
        <item x="34"/>
        <item x="35"/>
        <item x="36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dataField="1" showAll="0"/>
    <pivotField axis="axisPage" showAll="0" defaultSubtotal="0">
      <items count="15">
        <item m="1" x="6"/>
        <item m="1" x="10"/>
        <item m="1" x="11"/>
        <item x="1"/>
        <item x="2"/>
        <item m="1" x="14"/>
        <item x="4"/>
        <item m="1" x="9"/>
        <item m="1" x="13"/>
        <item m="1" x="7"/>
        <item m="1" x="8"/>
        <item m="1" x="12"/>
        <item x="0"/>
        <item x="3"/>
        <item x="5"/>
      </items>
    </pivotField>
    <pivotField axis="axisPage" showAll="0" defaultSubtotal="0">
      <items count="11">
        <item m="1" x="7"/>
        <item x="0"/>
        <item x="1"/>
        <item x="2"/>
        <item x="3"/>
        <item x="4"/>
        <item m="1" x="9"/>
        <item m="1" x="6"/>
        <item m="1" x="8"/>
        <item m="1" x="10"/>
        <item x="5"/>
      </items>
    </pivotField>
  </pivotFields>
  <rowFields count="1">
    <field x="6"/>
  </rowFields>
  <rowItems count="33">
    <i>
      <x v="4"/>
    </i>
    <i>
      <x v="5"/>
    </i>
    <i>
      <x v="6"/>
    </i>
    <i>
      <x v="16"/>
    </i>
    <i>
      <x v="23"/>
    </i>
    <i>
      <x v="24"/>
    </i>
    <i>
      <x v="25"/>
    </i>
    <i>
      <x v="30"/>
    </i>
    <i>
      <x v="33"/>
    </i>
    <i>
      <x v="35"/>
    </i>
    <i>
      <x v="37"/>
    </i>
    <i>
      <x v="41"/>
    </i>
    <i>
      <x v="42"/>
    </i>
    <i>
      <x v="43"/>
    </i>
    <i>
      <x v="44"/>
    </i>
    <i>
      <x v="45"/>
    </i>
    <i>
      <x v="46"/>
    </i>
    <i>
      <x v="47"/>
    </i>
    <i>
      <x v="50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9"/>
    </i>
    <i>
      <x v="91"/>
    </i>
    <i t="grand">
      <x/>
    </i>
  </rowItems>
  <colFields count="1">
    <field x="1"/>
  </colFields>
  <colItems count="5">
    <i>
      <x v="2"/>
    </i>
    <i>
      <x v="3"/>
    </i>
    <i>
      <x v="4"/>
    </i>
    <i>
      <x v="5"/>
    </i>
    <i t="grand">
      <x/>
    </i>
  </colItems>
  <pageFields count="4">
    <pageField fld="7" item="1" hier="-1"/>
    <pageField fld="4" item="1" hier="-1"/>
    <pageField fld="10" hier="-1"/>
    <pageField fld="9" hier="-1"/>
  </pageFields>
  <dataFields count="1">
    <dataField name="Ridership Average" fld="8" subtotal="average" baseField="6" baseItem="7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rowHeaderCaption="Shuttle Route" colHeaderCaption="Day of Week">
  <location ref="N5:S41" firstHeaderRow="1" firstDataRow="2" firstDataCol="1" rowPageCount="3" colPageCount="1"/>
  <pivotFields count="11">
    <pivotField showAll="0"/>
    <pivotField axis="axisCol" showAll="0">
      <items count="7">
        <item m="1" x="5"/>
        <item m="1" x="4"/>
        <item x="0"/>
        <item x="1"/>
        <item x="2"/>
        <item x="3"/>
        <item t="default"/>
      </items>
    </pivotField>
    <pivotField showAll="0"/>
    <pivotField showAll="0"/>
    <pivotField axis="axisPage" showAll="0">
      <items count="4">
        <item x="1"/>
        <item x="0"/>
        <item m="1" x="2"/>
        <item t="default"/>
      </items>
    </pivotField>
    <pivotField showAll="0"/>
    <pivotField axis="axisRow" showAll="0">
      <items count="93">
        <item m="1" x="67"/>
        <item m="1" x="53"/>
        <item m="1" x="83"/>
        <item m="1" x="72"/>
        <item x="18"/>
        <item x="4"/>
        <item x="0"/>
        <item m="1" x="42"/>
        <item m="1" x="54"/>
        <item m="1" x="61"/>
        <item m="1" x="87"/>
        <item m="1" x="75"/>
        <item m="1" x="64"/>
        <item m="1" x="55"/>
        <item m="1" x="71"/>
        <item m="1" x="49"/>
        <item x="11"/>
        <item m="1" x="74"/>
        <item m="1" x="89"/>
        <item m="1" x="76"/>
        <item m="1" x="59"/>
        <item m="1" x="82"/>
        <item m="1" x="84"/>
        <item x="33"/>
        <item x="12"/>
        <item x="20"/>
        <item m="1" x="85"/>
        <item m="1" x="70"/>
        <item m="1" x="56"/>
        <item m="1" x="50"/>
        <item x="5"/>
        <item m="1" x="81"/>
        <item m="1" x="57"/>
        <item x="1"/>
        <item m="1" x="62"/>
        <item x="29"/>
        <item m="1" x="46"/>
        <item x="22"/>
        <item m="1" x="78"/>
        <item m="1" x="73"/>
        <item m="1" x="66"/>
        <item x="23"/>
        <item x="26"/>
        <item x="7"/>
        <item x="21"/>
        <item x="13"/>
        <item x="3"/>
        <item x="9"/>
        <item m="1" x="63"/>
        <item m="1" x="80"/>
        <item x="19"/>
        <item m="1" x="52"/>
        <item m="1" x="51"/>
        <item m="1" x="91"/>
        <item m="1" x="79"/>
        <item m="1" x="77"/>
        <item m="1" x="47"/>
        <item m="1" x="38"/>
        <item m="1" x="68"/>
        <item m="1" x="37"/>
        <item m="1" x="69"/>
        <item m="1" x="41"/>
        <item m="1" x="43"/>
        <item m="1" x="90"/>
        <item m="1" x="60"/>
        <item m="1" x="48"/>
        <item m="1" x="39"/>
        <item m="1" x="44"/>
        <item m="1" x="58"/>
        <item m="1" x="88"/>
        <item m="1" x="45"/>
        <item m="1" x="40"/>
        <item m="1" x="86"/>
        <item m="1" x="65"/>
        <item x="2"/>
        <item x="6"/>
        <item x="8"/>
        <item x="10"/>
        <item x="14"/>
        <item x="15"/>
        <item x="16"/>
        <item x="17"/>
        <item x="24"/>
        <item x="25"/>
        <item x="27"/>
        <item x="28"/>
        <item x="30"/>
        <item x="31"/>
        <item x="32"/>
        <item x="34"/>
        <item x="35"/>
        <item x="36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dataField="1" showAll="0"/>
    <pivotField showAll="0" defaultSubtotal="0"/>
    <pivotField axis="axisPage" showAll="0" defaultSubtotal="0">
      <items count="11">
        <item m="1" x="7"/>
        <item x="0"/>
        <item x="1"/>
        <item x="2"/>
        <item x="3"/>
        <item x="4"/>
        <item m="1" x="9"/>
        <item m="1" x="6"/>
        <item m="1" x="8"/>
        <item m="1" x="10"/>
        <item x="5"/>
      </items>
    </pivotField>
  </pivotFields>
  <rowFields count="1">
    <field x="6"/>
  </rowFields>
  <rowItems count="35">
    <i>
      <x v="4"/>
    </i>
    <i>
      <x v="5"/>
    </i>
    <i>
      <x v="6"/>
    </i>
    <i>
      <x v="16"/>
    </i>
    <i>
      <x v="23"/>
    </i>
    <i>
      <x v="24"/>
    </i>
    <i>
      <x v="25"/>
    </i>
    <i>
      <x v="30"/>
    </i>
    <i>
      <x v="33"/>
    </i>
    <i>
      <x v="35"/>
    </i>
    <i>
      <x v="37"/>
    </i>
    <i>
      <x v="41"/>
    </i>
    <i>
      <x v="42"/>
    </i>
    <i>
      <x v="43"/>
    </i>
    <i>
      <x v="44"/>
    </i>
    <i>
      <x v="45"/>
    </i>
    <i>
      <x v="46"/>
    </i>
    <i>
      <x v="47"/>
    </i>
    <i>
      <x v="50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4"/>
    </i>
    <i>
      <x v="85"/>
    </i>
    <i>
      <x v="86"/>
    </i>
    <i>
      <x v="87"/>
    </i>
    <i>
      <x v="89"/>
    </i>
    <i>
      <x v="91"/>
    </i>
    <i t="grand">
      <x/>
    </i>
  </rowItems>
  <colFields count="1">
    <field x="1"/>
  </colFields>
  <colItems count="5">
    <i>
      <x v="2"/>
    </i>
    <i>
      <x v="3"/>
    </i>
    <i>
      <x v="4"/>
    </i>
    <i>
      <x v="5"/>
    </i>
    <i t="grand">
      <x/>
    </i>
  </colItems>
  <pageFields count="3">
    <pageField fld="7" item="0" hier="-1"/>
    <pageField fld="4" item="0" hier="-1"/>
    <pageField fld="10" hier="-1"/>
  </pageFields>
  <dataFields count="1">
    <dataField name="Ridership Average" fld="8" subtotal="average" baseField="6" baseItem="7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rowHeaderCaption="Shuttle Route" colHeaderCaption="Day of Week">
  <location ref="V5:AA32" firstHeaderRow="1" firstDataRow="2" firstDataCol="1" rowPageCount="3" colPageCount="1"/>
  <pivotFields count="11">
    <pivotField showAll="0"/>
    <pivotField axis="axisCol" showAll="0">
      <items count="7">
        <item m="1" x="5"/>
        <item m="1" x="4"/>
        <item x="0"/>
        <item x="1"/>
        <item x="2"/>
        <item x="3"/>
        <item t="default"/>
      </items>
    </pivotField>
    <pivotField showAll="0"/>
    <pivotField axis="axisRow" showAll="0">
      <items count="71">
        <item x="16"/>
        <item m="1" x="44"/>
        <item m="1" x="32"/>
        <item m="1" x="57"/>
        <item m="1" x="51"/>
        <item m="1" x="28"/>
        <item m="1" x="41"/>
        <item m="1" x="42"/>
        <item m="1" x="50"/>
        <item m="1" x="46"/>
        <item m="1" x="55"/>
        <item m="1" x="39"/>
        <item m="1" x="31"/>
        <item m="1" x="56"/>
        <item m="1" x="37"/>
        <item m="1" x="53"/>
        <item m="1" x="68"/>
        <item m="1" x="64"/>
        <item m="1" x="61"/>
        <item m="1" x="59"/>
        <item m="1" x="66"/>
        <item m="1" x="54"/>
        <item m="1" x="29"/>
        <item m="1" x="34"/>
        <item m="1" x="38"/>
        <item m="1" x="45"/>
        <item m="1" x="36"/>
        <item m="1" x="62"/>
        <item m="1" x="48"/>
        <item m="1" x="35"/>
        <item m="1" x="65"/>
        <item m="1" x="47"/>
        <item m="1" x="40"/>
        <item m="1" x="58"/>
        <item m="1" x="67"/>
        <item m="1" x="60"/>
        <item m="1" x="52"/>
        <item m="1" x="43"/>
        <item m="1" x="33"/>
        <item m="1" x="69"/>
        <item m="1" x="30"/>
        <item m="1" x="63"/>
        <item m="1"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showAll="0"/>
    <pivotField showAll="0"/>
    <pivotField axis="axisPage" showAll="0">
      <items count="4">
        <item x="1"/>
        <item x="0"/>
        <item m="1" x="2"/>
        <item t="default"/>
      </items>
    </pivotField>
    <pivotField dataField="1" showAll="0"/>
    <pivotField showAll="0" defaultSubtotal="0"/>
    <pivotField axis="axisPage" showAll="0" defaultSubtotal="0">
      <items count="11">
        <item m="1" x="7"/>
        <item x="0"/>
        <item x="1"/>
        <item x="2"/>
        <item x="3"/>
        <item x="4"/>
        <item m="1" x="9"/>
        <item m="1" x="6"/>
        <item m="1" x="8"/>
        <item m="1" x="10"/>
        <item x="5"/>
      </items>
    </pivotField>
  </pivotFields>
  <rowFields count="1">
    <field x="3"/>
  </rowFields>
  <rowItems count="26">
    <i>
      <x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9"/>
    </i>
    <i t="grand">
      <x/>
    </i>
  </rowItems>
  <colFields count="1">
    <field x="1"/>
  </colFields>
  <colItems count="5">
    <i>
      <x v="2"/>
    </i>
    <i>
      <x v="3"/>
    </i>
    <i>
      <x v="4"/>
    </i>
    <i>
      <x v="5"/>
    </i>
    <i t="grand">
      <x/>
    </i>
  </colItems>
  <pageFields count="3">
    <pageField fld="7" item="0" hier="-1"/>
    <pageField fld="4" item="0" hier="-1"/>
    <pageField fld="10" hier="-1"/>
  </pageFields>
  <dataFields count="1">
    <dataField name="Ridership Total" fld="8" baseField="3" baseItem="33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rowHeaderCaption="Shuttle Route" colHeaderCaption="Day of Week">
  <location ref="AD5:AI41" firstHeaderRow="1" firstDataRow="2" firstDataCol="1" rowPageCount="3" colPageCount="1"/>
  <pivotFields count="11">
    <pivotField showAll="0"/>
    <pivotField axis="axisCol" showAll="0">
      <items count="7">
        <item m="1" x="5"/>
        <item m="1" x="4"/>
        <item x="0"/>
        <item x="1"/>
        <item x="2"/>
        <item x="3"/>
        <item t="default"/>
      </items>
    </pivotField>
    <pivotField showAll="0"/>
    <pivotField showAll="0"/>
    <pivotField axis="axisPage" showAll="0">
      <items count="4">
        <item x="1"/>
        <item x="0"/>
        <item m="1" x="2"/>
        <item t="default"/>
      </items>
    </pivotField>
    <pivotField showAll="0"/>
    <pivotField axis="axisRow" showAll="0">
      <items count="93">
        <item m="1" x="67"/>
        <item m="1" x="53"/>
        <item m="1" x="83"/>
        <item m="1" x="72"/>
        <item x="18"/>
        <item x="4"/>
        <item x="0"/>
        <item m="1" x="42"/>
        <item m="1" x="54"/>
        <item m="1" x="61"/>
        <item m="1" x="87"/>
        <item m="1" x="75"/>
        <item m="1" x="64"/>
        <item m="1" x="55"/>
        <item m="1" x="71"/>
        <item m="1" x="49"/>
        <item x="11"/>
        <item m="1" x="74"/>
        <item m="1" x="89"/>
        <item m="1" x="76"/>
        <item m="1" x="59"/>
        <item m="1" x="82"/>
        <item m="1" x="84"/>
        <item x="33"/>
        <item x="12"/>
        <item x="20"/>
        <item m="1" x="85"/>
        <item m="1" x="70"/>
        <item m="1" x="56"/>
        <item m="1" x="50"/>
        <item x="5"/>
        <item m="1" x="81"/>
        <item m="1" x="57"/>
        <item x="1"/>
        <item m="1" x="62"/>
        <item x="29"/>
        <item m="1" x="46"/>
        <item x="22"/>
        <item m="1" x="78"/>
        <item m="1" x="73"/>
        <item m="1" x="66"/>
        <item x="23"/>
        <item x="26"/>
        <item x="7"/>
        <item x="21"/>
        <item x="13"/>
        <item x="3"/>
        <item x="9"/>
        <item m="1" x="63"/>
        <item m="1" x="80"/>
        <item x="19"/>
        <item m="1" x="52"/>
        <item m="1" x="51"/>
        <item m="1" x="91"/>
        <item m="1" x="79"/>
        <item m="1" x="77"/>
        <item m="1" x="47"/>
        <item m="1" x="38"/>
        <item m="1" x="68"/>
        <item m="1" x="37"/>
        <item m="1" x="69"/>
        <item m="1" x="41"/>
        <item m="1" x="43"/>
        <item m="1" x="90"/>
        <item m="1" x="60"/>
        <item m="1" x="48"/>
        <item m="1" x="39"/>
        <item m="1" x="44"/>
        <item m="1" x="58"/>
        <item m="1" x="88"/>
        <item m="1" x="45"/>
        <item m="1" x="40"/>
        <item m="1" x="86"/>
        <item m="1" x="65"/>
        <item x="2"/>
        <item x="6"/>
        <item x="8"/>
        <item x="10"/>
        <item x="14"/>
        <item x="15"/>
        <item x="16"/>
        <item x="17"/>
        <item x="24"/>
        <item x="25"/>
        <item x="27"/>
        <item x="28"/>
        <item x="30"/>
        <item x="31"/>
        <item x="32"/>
        <item x="34"/>
        <item x="35"/>
        <item x="36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dataField="1" showAll="0"/>
    <pivotField showAll="0" defaultSubtotal="0"/>
    <pivotField axis="axisPage" showAll="0" defaultSubtotal="0">
      <items count="11">
        <item m="1" x="7"/>
        <item x="0"/>
        <item x="1"/>
        <item x="2"/>
        <item x="3"/>
        <item x="4"/>
        <item m="1" x="9"/>
        <item m="1" x="6"/>
        <item m="1" x="8"/>
        <item m="1" x="10"/>
        <item x="5"/>
      </items>
    </pivotField>
  </pivotFields>
  <rowFields count="1">
    <field x="6"/>
  </rowFields>
  <rowItems count="35">
    <i>
      <x v="4"/>
    </i>
    <i>
      <x v="5"/>
    </i>
    <i>
      <x v="6"/>
    </i>
    <i>
      <x v="16"/>
    </i>
    <i>
      <x v="23"/>
    </i>
    <i>
      <x v="24"/>
    </i>
    <i>
      <x v="25"/>
    </i>
    <i>
      <x v="30"/>
    </i>
    <i>
      <x v="33"/>
    </i>
    <i>
      <x v="35"/>
    </i>
    <i>
      <x v="37"/>
    </i>
    <i>
      <x v="41"/>
    </i>
    <i>
      <x v="42"/>
    </i>
    <i>
      <x v="43"/>
    </i>
    <i>
      <x v="44"/>
    </i>
    <i>
      <x v="45"/>
    </i>
    <i>
      <x v="46"/>
    </i>
    <i>
      <x v="47"/>
    </i>
    <i>
      <x v="50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4"/>
    </i>
    <i>
      <x v="85"/>
    </i>
    <i>
      <x v="86"/>
    </i>
    <i>
      <x v="87"/>
    </i>
    <i>
      <x v="89"/>
    </i>
    <i>
      <x v="91"/>
    </i>
    <i t="grand">
      <x/>
    </i>
  </rowItems>
  <colFields count="1">
    <field x="1"/>
  </colFields>
  <colItems count="5">
    <i>
      <x v="2"/>
    </i>
    <i>
      <x v="3"/>
    </i>
    <i>
      <x v="4"/>
    </i>
    <i>
      <x v="5"/>
    </i>
    <i t="grand">
      <x/>
    </i>
  </colItems>
  <pageFields count="3">
    <pageField fld="7" item="0" hier="-1"/>
    <pageField fld="4" item="0" hier="-1"/>
    <pageField fld="10" hier="-1"/>
  </pageFields>
  <dataFields count="1">
    <dataField name="Ridership Total" fld="8" baseField="6" baseItem="56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rowHeaderCaption="Shuttle Route" colHeaderCaption="Day of Week">
  <location ref="A5:F32" firstHeaderRow="1" firstDataRow="2" firstDataCol="1" rowPageCount="3" colPageCount="1"/>
  <pivotFields count="11">
    <pivotField showAll="0"/>
    <pivotField axis="axisCol" showAll="0">
      <items count="7">
        <item m="1" x="5"/>
        <item m="1" x="4"/>
        <item x="0"/>
        <item x="1"/>
        <item x="2"/>
        <item x="3"/>
        <item t="default"/>
      </items>
    </pivotField>
    <pivotField showAll="0"/>
    <pivotField axis="axisRow" showAll="0">
      <items count="71">
        <item x="16"/>
        <item m="1" x="44"/>
        <item m="1" x="32"/>
        <item m="1" x="57"/>
        <item m="1" x="51"/>
        <item m="1" x="28"/>
        <item m="1" x="41"/>
        <item m="1" x="42"/>
        <item m="1" x="50"/>
        <item m="1" x="46"/>
        <item m="1" x="55"/>
        <item m="1" x="39"/>
        <item m="1" x="31"/>
        <item m="1" x="56"/>
        <item m="1" x="37"/>
        <item m="1" x="53"/>
        <item m="1" x="68"/>
        <item m="1" x="64"/>
        <item m="1" x="61"/>
        <item m="1" x="59"/>
        <item m="1" x="66"/>
        <item m="1" x="54"/>
        <item m="1" x="29"/>
        <item m="1" x="34"/>
        <item m="1" x="38"/>
        <item m="1" x="45"/>
        <item m="1" x="36"/>
        <item m="1" x="62"/>
        <item m="1" x="48"/>
        <item m="1" x="35"/>
        <item m="1" x="65"/>
        <item m="1" x="47"/>
        <item m="1" x="40"/>
        <item m="1" x="58"/>
        <item m="1" x="67"/>
        <item m="1" x="60"/>
        <item m="1" x="52"/>
        <item m="1" x="43"/>
        <item m="1" x="33"/>
        <item m="1" x="69"/>
        <item m="1" x="30"/>
        <item m="1" x="63"/>
        <item m="1"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showAll="0"/>
    <pivotField showAll="0"/>
    <pivotField axis="axisPage" showAll="0">
      <items count="4">
        <item x="1"/>
        <item x="0"/>
        <item m="1" x="2"/>
        <item t="default"/>
      </items>
    </pivotField>
    <pivotField dataField="1" showAll="0"/>
    <pivotField showAll="0" defaultSubtotal="0"/>
    <pivotField axis="axisPage" showAll="0" defaultSubtotal="0">
      <items count="11">
        <item m="1" x="7"/>
        <item x="0"/>
        <item x="1"/>
        <item x="2"/>
        <item x="3"/>
        <item x="4"/>
        <item m="1" x="9"/>
        <item m="1" x="6"/>
        <item m="1" x="8"/>
        <item m="1" x="10"/>
        <item x="5"/>
      </items>
    </pivotField>
  </pivotFields>
  <rowFields count="1">
    <field x="3"/>
  </rowFields>
  <rowItems count="26">
    <i>
      <x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9"/>
    </i>
    <i t="grand">
      <x/>
    </i>
  </rowItems>
  <colFields count="1">
    <field x="1"/>
  </colFields>
  <colItems count="5">
    <i>
      <x v="2"/>
    </i>
    <i>
      <x v="3"/>
    </i>
    <i>
      <x v="4"/>
    </i>
    <i>
      <x v="5"/>
    </i>
    <i t="grand">
      <x/>
    </i>
  </colItems>
  <pageFields count="3">
    <pageField fld="7" item="0" hier="-1"/>
    <pageField fld="4" item="0" hier="-1"/>
    <pageField fld="10" hier="-1"/>
  </pageFields>
  <dataFields count="1">
    <dataField name="Ridership Average" fld="8" subtotal="average" baseField="3" baseItem="32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rowHeaderCaption="Shuttle Route" colHeaderCaption="Day of Week">
  <location ref="A50:F77" firstHeaderRow="1" firstDataRow="2" firstDataCol="1" rowPageCount="4" colPageCount="1"/>
  <pivotFields count="11">
    <pivotField showAll="0"/>
    <pivotField axis="axisCol" showAll="0">
      <items count="7">
        <item m="1" x="5"/>
        <item m="1" x="4"/>
        <item x="0"/>
        <item x="1"/>
        <item x="2"/>
        <item x="3"/>
        <item t="default"/>
      </items>
    </pivotField>
    <pivotField showAll="0"/>
    <pivotField axis="axisRow" showAll="0">
      <items count="71">
        <item x="16"/>
        <item m="1" x="44"/>
        <item m="1" x="32"/>
        <item m="1" x="57"/>
        <item m="1" x="51"/>
        <item m="1" x="28"/>
        <item m="1" x="41"/>
        <item m="1" x="42"/>
        <item m="1" x="50"/>
        <item m="1" x="46"/>
        <item m="1" x="55"/>
        <item m="1" x="39"/>
        <item m="1" x="31"/>
        <item m="1" x="56"/>
        <item m="1" x="37"/>
        <item m="1" x="53"/>
        <item m="1" x="68"/>
        <item m="1" x="64"/>
        <item m="1" x="61"/>
        <item m="1" x="59"/>
        <item m="1" x="66"/>
        <item m="1" x="54"/>
        <item m="1" x="29"/>
        <item m="1" x="34"/>
        <item m="1" x="38"/>
        <item m="1" x="45"/>
        <item m="1" x="36"/>
        <item m="1" x="62"/>
        <item m="1" x="48"/>
        <item m="1" x="35"/>
        <item m="1" x="65"/>
        <item m="1" x="47"/>
        <item m="1" x="40"/>
        <item m="1" x="58"/>
        <item m="1" x="67"/>
        <item m="1" x="60"/>
        <item m="1" x="52"/>
        <item m="1" x="43"/>
        <item m="1" x="33"/>
        <item m="1" x="69"/>
        <item m="1" x="30"/>
        <item m="1" x="63"/>
        <item m="1"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showAll="0"/>
    <pivotField showAll="0"/>
    <pivotField axis="axisPage" showAll="0">
      <items count="4">
        <item x="1"/>
        <item x="0"/>
        <item m="1" x="2"/>
        <item t="default"/>
      </items>
    </pivotField>
    <pivotField dataField="1" showAll="0"/>
    <pivotField axis="axisPage" showAll="0" defaultSubtotal="0">
      <items count="15">
        <item m="1" x="6"/>
        <item m="1" x="10"/>
        <item m="1" x="11"/>
        <item x="1"/>
        <item x="2"/>
        <item m="1" x="14"/>
        <item x="4"/>
        <item m="1" x="9"/>
        <item m="1" x="13"/>
        <item m="1" x="7"/>
        <item m="1" x="8"/>
        <item m="1" x="12"/>
        <item x="0"/>
        <item x="3"/>
        <item x="5"/>
      </items>
    </pivotField>
    <pivotField axis="axisPage" showAll="0" defaultSubtotal="0">
      <items count="11">
        <item m="1" x="7"/>
        <item x="0"/>
        <item x="1"/>
        <item x="2"/>
        <item x="3"/>
        <item x="4"/>
        <item m="1" x="9"/>
        <item m="1" x="6"/>
        <item m="1" x="8"/>
        <item m="1" x="10"/>
        <item x="5"/>
      </items>
    </pivotField>
  </pivotFields>
  <rowFields count="1">
    <field x="3"/>
  </rowFields>
  <rowItems count="26">
    <i>
      <x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9"/>
    </i>
    <i t="grand">
      <x/>
    </i>
  </rowItems>
  <colFields count="1">
    <field x="1"/>
  </colFields>
  <colItems count="5">
    <i>
      <x v="2"/>
    </i>
    <i>
      <x v="3"/>
    </i>
    <i>
      <x v="4"/>
    </i>
    <i>
      <x v="5"/>
    </i>
    <i t="grand">
      <x/>
    </i>
  </colItems>
  <pageFields count="4">
    <pageField fld="7" item="0" hier="-1"/>
    <pageField fld="4" item="0" hier="-1"/>
    <pageField fld="10" hier="-1"/>
    <pageField fld="9" hier="-1"/>
  </pageFields>
  <dataFields count="1">
    <dataField name="Ridership Average" fld="8" subtotal="average" baseField="3" baseItem="32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blRidershipData" displayName="tblRidershipData" ref="A1:K3142" totalsRowShown="0">
  <autoFilter ref="A1:K3142"/>
  <tableColumns count="11">
    <tableColumn id="1" name="MeasurementDate"/>
    <tableColumn id="2" name="DayofWeek"/>
    <tableColumn id="3" name="BusNumber"/>
    <tableColumn id="4" name="ShuttleRoute"/>
    <tableColumn id="5" name="AMPM"/>
    <tableColumn id="6" name="Cycle"/>
    <tableColumn id="7" name="Location"/>
    <tableColumn id="8" name="OnOff"/>
    <tableColumn id="9" name="Count"/>
    <tableColumn id="10" name="Week" dataDxfId="1">
      <calculatedColumnFormula>WEEKNUM(tblRidershipData[[#This Row],[MeasurementDate]])</calculatedColumnFormula>
    </tableColumn>
    <tableColumn id="12" name="Month" dataDxfId="0">
      <calculatedColumnFormula>MONTH(tblRidershipData[[#This Row],[MeasurementDate]])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58"/>
  <sheetViews>
    <sheetView zoomScale="124" zoomScaleNormal="124" workbookViewId="0">
      <selection activeCell="J54" sqref="J54"/>
    </sheetView>
  </sheetViews>
  <sheetFormatPr defaultRowHeight="15" x14ac:dyDescent="0.25"/>
  <cols>
    <col min="1" max="1" width="3.140625" customWidth="1"/>
    <col min="2" max="2" width="36.140625" bestFit="1" customWidth="1"/>
    <col min="3" max="3" width="2.85546875" customWidth="1"/>
    <col min="4" max="5" width="10.7109375" bestFit="1" customWidth="1"/>
    <col min="6" max="6" width="2.85546875" customWidth="1"/>
    <col min="7" max="8" width="10.7109375" customWidth="1"/>
    <col min="9" max="9" width="5.7109375" customWidth="1"/>
    <col min="10" max="11" width="10.5703125" customWidth="1"/>
    <col min="12" max="12" width="2.85546875" customWidth="1"/>
    <col min="13" max="14" width="10.5703125" customWidth="1"/>
  </cols>
  <sheetData>
    <row r="1" spans="1:20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x14ac:dyDescent="0.25">
      <c r="A2" s="4"/>
      <c r="B2" s="10" t="s">
        <v>14</v>
      </c>
      <c r="C2" s="38"/>
      <c r="D2" s="39"/>
      <c r="E2" s="40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</row>
    <row r="3" spans="1:20" x14ac:dyDescent="0.25">
      <c r="A3" s="4"/>
      <c r="B3" s="10" t="s">
        <v>18</v>
      </c>
      <c r="C3" s="32"/>
      <c r="D3" s="33"/>
      <c r="E3" s="3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 x14ac:dyDescent="0.25">
      <c r="A4" s="4"/>
      <c r="B4" s="10" t="s">
        <v>12</v>
      </c>
      <c r="C4" s="41"/>
      <c r="D4" s="42"/>
      <c r="E4" s="43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spans="1:20" x14ac:dyDescent="0.25">
      <c r="A5" s="4"/>
      <c r="B5" s="10" t="s">
        <v>13</v>
      </c>
      <c r="C5" s="32"/>
      <c r="D5" s="33"/>
      <c r="E5" s="34"/>
      <c r="F5" s="4"/>
      <c r="G5" s="12"/>
      <c r="H5" s="12"/>
      <c r="I5" s="13"/>
      <c r="J5" s="13"/>
      <c r="K5" s="13"/>
      <c r="L5" s="13"/>
      <c r="M5" s="13"/>
      <c r="N5" s="13"/>
      <c r="O5" s="4"/>
      <c r="P5" s="4"/>
      <c r="Q5" s="4"/>
      <c r="R5" s="4"/>
      <c r="S5" s="4"/>
      <c r="T5" s="4"/>
    </row>
    <row r="6" spans="1:20" x14ac:dyDescent="0.25">
      <c r="A6" s="4"/>
      <c r="B6" s="4"/>
      <c r="C6" s="4"/>
      <c r="D6" s="11"/>
      <c r="E6" s="11"/>
      <c r="F6" s="11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 ht="21" customHeight="1" x14ac:dyDescent="0.25">
      <c r="A7" s="4"/>
      <c r="B7" s="4"/>
      <c r="C7" s="4"/>
      <c r="D7" s="35" t="s">
        <v>16</v>
      </c>
      <c r="E7" s="36"/>
      <c r="F7" s="36"/>
      <c r="G7" s="36"/>
      <c r="H7" s="37"/>
      <c r="I7" s="4"/>
      <c r="J7" s="35" t="s">
        <v>17</v>
      </c>
      <c r="K7" s="36"/>
      <c r="L7" s="36"/>
      <c r="M7" s="36"/>
      <c r="N7" s="37"/>
      <c r="O7" s="4"/>
      <c r="P7" s="4"/>
      <c r="Q7" s="4"/>
      <c r="R7" s="4"/>
      <c r="S7" s="4"/>
      <c r="T7" s="4"/>
    </row>
    <row r="8" spans="1:20" x14ac:dyDescent="0.25">
      <c r="A8" s="4"/>
      <c r="B8" s="8" t="s">
        <v>0</v>
      </c>
      <c r="C8" s="6"/>
      <c r="D8" s="9" t="s">
        <v>7</v>
      </c>
      <c r="E8" s="9" t="s">
        <v>8</v>
      </c>
      <c r="F8" s="5"/>
      <c r="G8" s="9" t="s">
        <v>33</v>
      </c>
      <c r="H8" s="9" t="s">
        <v>10</v>
      </c>
      <c r="I8" s="4"/>
      <c r="J8" s="9" t="s">
        <v>7</v>
      </c>
      <c r="K8" s="9" t="s">
        <v>8</v>
      </c>
      <c r="L8" s="5"/>
      <c r="M8" s="9" t="s">
        <v>9</v>
      </c>
      <c r="N8" s="9" t="s">
        <v>10</v>
      </c>
      <c r="O8" s="4"/>
      <c r="P8" s="4"/>
      <c r="Q8" s="4"/>
      <c r="R8" s="4"/>
      <c r="S8" s="4"/>
      <c r="T8" s="4"/>
    </row>
    <row r="9" spans="1:20" x14ac:dyDescent="0.25">
      <c r="A9" s="4"/>
      <c r="B9" s="14" t="s">
        <v>42</v>
      </c>
      <c r="C9" s="7"/>
      <c r="D9" s="15"/>
      <c r="E9" s="15"/>
      <c r="F9" s="16"/>
      <c r="G9" s="15"/>
      <c r="H9" s="15"/>
      <c r="I9" s="16"/>
      <c r="J9" s="15"/>
      <c r="K9" s="15"/>
      <c r="L9" s="16"/>
      <c r="M9" s="15"/>
      <c r="N9" s="15"/>
      <c r="O9" s="3"/>
      <c r="P9" s="4"/>
      <c r="Q9" s="4"/>
      <c r="R9" s="4"/>
      <c r="S9" s="4"/>
      <c r="T9" s="4"/>
    </row>
    <row r="10" spans="1:20" x14ac:dyDescent="0.25">
      <c r="A10" s="4"/>
      <c r="B10" s="20" t="s">
        <v>43</v>
      </c>
      <c r="C10" s="7"/>
      <c r="D10" s="21"/>
      <c r="E10" s="21"/>
      <c r="F10" s="16"/>
      <c r="G10" s="21"/>
      <c r="H10" s="21"/>
      <c r="I10" s="16"/>
      <c r="J10" s="21"/>
      <c r="K10" s="21"/>
      <c r="L10" s="16"/>
      <c r="M10" s="21"/>
      <c r="N10" s="21"/>
      <c r="O10" s="3"/>
      <c r="P10" s="4"/>
      <c r="Q10" s="4"/>
      <c r="R10" s="4"/>
      <c r="S10" s="4"/>
      <c r="T10" s="4"/>
    </row>
    <row r="11" spans="1:20" x14ac:dyDescent="0.25">
      <c r="A11" s="4"/>
      <c r="B11" s="14" t="s">
        <v>44</v>
      </c>
      <c r="C11" s="7"/>
      <c r="D11" s="15"/>
      <c r="E11" s="15"/>
      <c r="F11" s="16"/>
      <c r="G11" s="15"/>
      <c r="H11" s="15"/>
      <c r="I11" s="16"/>
      <c r="J11" s="15"/>
      <c r="K11" s="15"/>
      <c r="L11" s="16"/>
      <c r="M11" s="15"/>
      <c r="N11" s="15"/>
      <c r="O11" s="3"/>
      <c r="P11" s="4"/>
      <c r="Q11" s="4"/>
      <c r="R11" s="4"/>
      <c r="S11" s="4"/>
      <c r="T11" s="4"/>
    </row>
    <row r="12" spans="1:20" x14ac:dyDescent="0.25">
      <c r="A12" s="4"/>
      <c r="B12" s="20" t="s">
        <v>45</v>
      </c>
      <c r="C12" s="7"/>
      <c r="D12" s="21"/>
      <c r="E12" s="21"/>
      <c r="F12" s="16"/>
      <c r="G12" s="21"/>
      <c r="H12" s="21"/>
      <c r="I12" s="16"/>
      <c r="J12" s="21"/>
      <c r="K12" s="21"/>
      <c r="L12" s="16"/>
      <c r="M12" s="21"/>
      <c r="N12" s="21"/>
      <c r="O12" s="3"/>
      <c r="P12" s="4"/>
      <c r="Q12" s="4"/>
      <c r="R12" s="4"/>
      <c r="S12" s="4"/>
      <c r="T12" s="4"/>
    </row>
    <row r="13" spans="1:20" x14ac:dyDescent="0.25">
      <c r="A13" s="4"/>
      <c r="B13" s="14" t="s">
        <v>46</v>
      </c>
      <c r="C13" s="7"/>
      <c r="D13" s="15"/>
      <c r="E13" s="15"/>
      <c r="F13" s="16"/>
      <c r="G13" s="15"/>
      <c r="H13" s="15"/>
      <c r="I13" s="16"/>
      <c r="J13" s="15"/>
      <c r="K13" s="15"/>
      <c r="L13" s="16"/>
      <c r="M13" s="15"/>
      <c r="N13" s="15"/>
      <c r="O13" s="3"/>
      <c r="P13" s="4"/>
      <c r="Q13" s="4"/>
      <c r="R13" s="4"/>
      <c r="S13" s="4"/>
      <c r="T13" s="4"/>
    </row>
    <row r="14" spans="1:20" x14ac:dyDescent="0.25">
      <c r="A14" s="4"/>
      <c r="B14" s="20" t="s">
        <v>47</v>
      </c>
      <c r="C14" s="7"/>
      <c r="D14" s="21"/>
      <c r="E14" s="21"/>
      <c r="F14" s="16"/>
      <c r="G14" s="21"/>
      <c r="H14" s="21"/>
      <c r="I14" s="16"/>
      <c r="J14" s="21"/>
      <c r="K14" s="21"/>
      <c r="L14" s="16"/>
      <c r="M14" s="21"/>
      <c r="N14" s="21"/>
      <c r="O14" s="3"/>
      <c r="P14" s="4"/>
      <c r="Q14" s="4"/>
      <c r="R14" s="4"/>
      <c r="S14" s="4"/>
      <c r="T14" s="4"/>
    </row>
    <row r="15" spans="1:20" x14ac:dyDescent="0.25">
      <c r="A15" s="4"/>
      <c r="B15" s="14" t="s">
        <v>48</v>
      </c>
      <c r="C15" s="7"/>
      <c r="D15" s="15"/>
      <c r="E15" s="15"/>
      <c r="F15" s="16"/>
      <c r="G15" s="15"/>
      <c r="H15" s="15"/>
      <c r="I15" s="16"/>
      <c r="J15" s="15"/>
      <c r="K15" s="15"/>
      <c r="L15" s="16"/>
      <c r="M15" s="15"/>
      <c r="N15" s="15"/>
      <c r="O15" s="3"/>
      <c r="P15" s="4"/>
      <c r="Q15" s="4"/>
      <c r="R15" s="4"/>
      <c r="S15" s="4"/>
      <c r="T15" s="4"/>
    </row>
    <row r="16" spans="1:20" x14ac:dyDescent="0.25">
      <c r="A16" s="4"/>
      <c r="B16" s="20" t="s">
        <v>49</v>
      </c>
      <c r="C16" s="7"/>
      <c r="D16" s="21"/>
      <c r="E16" s="21"/>
      <c r="F16" s="16"/>
      <c r="G16" s="21"/>
      <c r="H16" s="21"/>
      <c r="I16" s="16"/>
      <c r="J16" s="21"/>
      <c r="K16" s="21"/>
      <c r="L16" s="16"/>
      <c r="M16" s="21"/>
      <c r="N16" s="21"/>
      <c r="O16" s="3"/>
      <c r="P16" s="4"/>
      <c r="Q16" s="4"/>
      <c r="R16" s="4"/>
      <c r="S16" s="4"/>
      <c r="T16" s="4"/>
    </row>
    <row r="17" spans="1:20" x14ac:dyDescent="0.25">
      <c r="A17" s="4"/>
      <c r="B17" s="14" t="s">
        <v>50</v>
      </c>
      <c r="C17" s="7"/>
      <c r="D17" s="15"/>
      <c r="E17" s="15"/>
      <c r="F17" s="16"/>
      <c r="G17" s="15"/>
      <c r="H17" s="15"/>
      <c r="I17" s="16"/>
      <c r="J17" s="15"/>
      <c r="K17" s="15"/>
      <c r="L17" s="16"/>
      <c r="M17" s="15"/>
      <c r="N17" s="15"/>
      <c r="O17" s="3"/>
      <c r="P17" s="4"/>
      <c r="Q17" s="4"/>
      <c r="R17" s="4"/>
      <c r="S17" s="4"/>
      <c r="T17" s="4"/>
    </row>
    <row r="18" spans="1:20" x14ac:dyDescent="0.25">
      <c r="A18" s="4"/>
      <c r="B18" s="20" t="s">
        <v>51</v>
      </c>
      <c r="C18" s="7"/>
      <c r="D18" s="21"/>
      <c r="E18" s="21"/>
      <c r="F18" s="16"/>
      <c r="G18" s="21"/>
      <c r="H18" s="21"/>
      <c r="I18" s="16"/>
      <c r="J18" s="21"/>
      <c r="K18" s="21"/>
      <c r="L18" s="16"/>
      <c r="M18" s="21"/>
      <c r="N18" s="21"/>
      <c r="O18" s="3"/>
      <c r="P18" s="4"/>
      <c r="Q18" s="4"/>
      <c r="R18" s="4"/>
      <c r="S18" s="4"/>
      <c r="T18" s="4"/>
    </row>
    <row r="19" spans="1:20" x14ac:dyDescent="0.25">
      <c r="A19" s="4"/>
      <c r="B19" s="14" t="s">
        <v>52</v>
      </c>
      <c r="C19" s="7"/>
      <c r="D19" s="15"/>
      <c r="E19" s="15"/>
      <c r="F19" s="16"/>
      <c r="G19" s="15"/>
      <c r="H19" s="15"/>
      <c r="I19" s="16"/>
      <c r="J19" s="15"/>
      <c r="K19" s="15"/>
      <c r="L19" s="16"/>
      <c r="M19" s="15"/>
      <c r="N19" s="15"/>
      <c r="O19" s="3"/>
      <c r="P19" s="4"/>
      <c r="Q19" s="4"/>
      <c r="R19" s="4"/>
      <c r="S19" s="4"/>
      <c r="T19" s="4"/>
    </row>
    <row r="20" spans="1:20" x14ac:dyDescent="0.25">
      <c r="A20" s="4"/>
      <c r="B20" s="20" t="s">
        <v>53</v>
      </c>
      <c r="C20" s="7"/>
      <c r="D20" s="21"/>
      <c r="E20" s="21"/>
      <c r="F20" s="16"/>
      <c r="G20" s="21"/>
      <c r="H20" s="21"/>
      <c r="I20" s="16"/>
      <c r="J20" s="21"/>
      <c r="K20" s="21"/>
      <c r="L20" s="16"/>
      <c r="M20" s="21"/>
      <c r="N20" s="21"/>
      <c r="O20" s="3"/>
      <c r="P20" s="4"/>
      <c r="Q20" s="4"/>
      <c r="R20" s="4"/>
      <c r="S20" s="4"/>
      <c r="T20" s="4"/>
    </row>
    <row r="21" spans="1:20" x14ac:dyDescent="0.25">
      <c r="A21" s="4"/>
      <c r="B21" s="14" t="s">
        <v>54</v>
      </c>
      <c r="C21" s="7"/>
      <c r="D21" s="15"/>
      <c r="E21" s="15"/>
      <c r="F21" s="16"/>
      <c r="G21" s="15"/>
      <c r="H21" s="15"/>
      <c r="I21" s="16"/>
      <c r="J21" s="15"/>
      <c r="K21" s="15"/>
      <c r="L21" s="16"/>
      <c r="M21" s="15"/>
      <c r="N21" s="15"/>
      <c r="O21" s="3"/>
      <c r="P21" s="4"/>
      <c r="Q21" s="4"/>
      <c r="R21" s="4"/>
      <c r="S21" s="4"/>
      <c r="T21" s="4"/>
    </row>
    <row r="22" spans="1:20" x14ac:dyDescent="0.25">
      <c r="A22" s="4"/>
      <c r="B22" s="20" t="s">
        <v>55</v>
      </c>
      <c r="C22" s="7"/>
      <c r="D22" s="21"/>
      <c r="E22" s="21"/>
      <c r="F22" s="16"/>
      <c r="G22" s="21"/>
      <c r="H22" s="21"/>
      <c r="I22" s="16"/>
      <c r="J22" s="21"/>
      <c r="K22" s="21"/>
      <c r="L22" s="16"/>
      <c r="M22" s="21"/>
      <c r="N22" s="21"/>
      <c r="O22" s="3"/>
      <c r="P22" s="4"/>
      <c r="Q22" s="4"/>
      <c r="R22" s="4"/>
      <c r="S22" s="4"/>
      <c r="T22" s="4"/>
    </row>
    <row r="23" spans="1:20" x14ac:dyDescent="0.25">
      <c r="A23" s="4"/>
      <c r="B23" s="14" t="s">
        <v>56</v>
      </c>
      <c r="C23" s="7"/>
      <c r="D23" s="15"/>
      <c r="E23" s="15"/>
      <c r="F23" s="16"/>
      <c r="G23" s="15"/>
      <c r="H23" s="15"/>
      <c r="I23" s="16"/>
      <c r="J23" s="15"/>
      <c r="K23" s="15"/>
      <c r="L23" s="16"/>
      <c r="M23" s="15"/>
      <c r="N23" s="15"/>
      <c r="O23" s="3"/>
      <c r="P23" s="4"/>
      <c r="Q23" s="4"/>
      <c r="R23" s="4"/>
      <c r="S23" s="4"/>
      <c r="T23" s="4"/>
    </row>
    <row r="24" spans="1:20" x14ac:dyDescent="0.25">
      <c r="A24" s="4"/>
      <c r="B24" s="20" t="s">
        <v>57</v>
      </c>
      <c r="C24" s="7"/>
      <c r="D24" s="21"/>
      <c r="E24" s="21"/>
      <c r="F24" s="16"/>
      <c r="G24" s="21"/>
      <c r="H24" s="21"/>
      <c r="I24" s="16"/>
      <c r="J24" s="21"/>
      <c r="K24" s="21"/>
      <c r="L24" s="16"/>
      <c r="M24" s="21"/>
      <c r="N24" s="21"/>
      <c r="O24" s="3"/>
      <c r="P24" s="4"/>
      <c r="Q24" s="4"/>
      <c r="R24" s="4"/>
      <c r="S24" s="4"/>
      <c r="T24" s="4"/>
    </row>
    <row r="25" spans="1:20" x14ac:dyDescent="0.25">
      <c r="A25" s="4"/>
      <c r="B25" s="14" t="s">
        <v>58</v>
      </c>
      <c r="C25" s="7"/>
      <c r="D25" s="15"/>
      <c r="E25" s="15"/>
      <c r="F25" s="16"/>
      <c r="G25" s="15"/>
      <c r="H25" s="15"/>
      <c r="I25" s="16"/>
      <c r="J25" s="15"/>
      <c r="K25" s="15"/>
      <c r="L25" s="16"/>
      <c r="M25" s="15"/>
      <c r="N25" s="15"/>
      <c r="O25" s="3"/>
      <c r="P25" s="4"/>
      <c r="Q25" s="4"/>
      <c r="R25" s="4"/>
      <c r="S25" s="4"/>
      <c r="T25" s="4"/>
    </row>
    <row r="26" spans="1:20" x14ac:dyDescent="0.25">
      <c r="A26" s="4"/>
      <c r="B26" s="20" t="s">
        <v>59</v>
      </c>
      <c r="C26" s="7"/>
      <c r="D26" s="21"/>
      <c r="E26" s="21"/>
      <c r="F26" s="16"/>
      <c r="G26" s="21"/>
      <c r="H26" s="21"/>
      <c r="I26" s="16"/>
      <c r="J26" s="21"/>
      <c r="K26" s="21"/>
      <c r="L26" s="16"/>
      <c r="M26" s="21"/>
      <c r="N26" s="21"/>
      <c r="O26" s="3"/>
      <c r="P26" s="4"/>
      <c r="Q26" s="4"/>
      <c r="R26" s="4"/>
      <c r="S26" s="4"/>
      <c r="T26" s="4"/>
    </row>
    <row r="27" spans="1:20" x14ac:dyDescent="0.25">
      <c r="A27" s="4"/>
      <c r="B27" s="14" t="s">
        <v>60</v>
      </c>
      <c r="C27" s="7"/>
      <c r="D27" s="15"/>
      <c r="E27" s="15"/>
      <c r="F27" s="16"/>
      <c r="G27" s="15"/>
      <c r="H27" s="15"/>
      <c r="I27" s="16"/>
      <c r="J27" s="15"/>
      <c r="K27" s="15"/>
      <c r="L27" s="16"/>
      <c r="M27" s="15"/>
      <c r="N27" s="15"/>
      <c r="O27" s="3"/>
      <c r="P27" s="4"/>
      <c r="Q27" s="4"/>
      <c r="R27" s="4"/>
      <c r="S27" s="4"/>
      <c r="T27" s="4"/>
    </row>
    <row r="28" spans="1:20" x14ac:dyDescent="0.25">
      <c r="A28" s="4"/>
      <c r="B28" s="20" t="s">
        <v>61</v>
      </c>
      <c r="C28" s="7"/>
      <c r="D28" s="21"/>
      <c r="E28" s="21"/>
      <c r="F28" s="16"/>
      <c r="G28" s="21"/>
      <c r="H28" s="21"/>
      <c r="I28" s="16"/>
      <c r="J28" s="21"/>
      <c r="K28" s="21"/>
      <c r="L28" s="16"/>
      <c r="M28" s="21"/>
      <c r="N28" s="21"/>
      <c r="O28" s="3"/>
      <c r="P28" s="4"/>
      <c r="Q28" s="4"/>
      <c r="R28" s="4"/>
      <c r="S28" s="4"/>
      <c r="T28" s="4"/>
    </row>
    <row r="29" spans="1:20" x14ac:dyDescent="0.25">
      <c r="A29" s="4"/>
      <c r="B29" s="14" t="s">
        <v>62</v>
      </c>
      <c r="C29" s="7"/>
      <c r="D29" s="15"/>
      <c r="E29" s="15"/>
      <c r="F29" s="16"/>
      <c r="G29" s="15"/>
      <c r="H29" s="15"/>
      <c r="I29" s="16"/>
      <c r="J29" s="15"/>
      <c r="K29" s="15"/>
      <c r="L29" s="16"/>
      <c r="M29" s="15"/>
      <c r="N29" s="15"/>
      <c r="O29" s="3"/>
      <c r="P29" s="4"/>
      <c r="Q29" s="4"/>
      <c r="R29" s="4"/>
      <c r="S29" s="4"/>
      <c r="T29" s="4"/>
    </row>
    <row r="30" spans="1:20" x14ac:dyDescent="0.25">
      <c r="A30" s="4"/>
      <c r="B30" s="20" t="s">
        <v>63</v>
      </c>
      <c r="C30" s="7"/>
      <c r="D30" s="21"/>
      <c r="E30" s="21"/>
      <c r="F30" s="16"/>
      <c r="G30" s="21"/>
      <c r="H30" s="21"/>
      <c r="I30" s="16"/>
      <c r="J30" s="21"/>
      <c r="K30" s="21"/>
      <c r="L30" s="16"/>
      <c r="M30" s="21"/>
      <c r="N30" s="21"/>
      <c r="O30" s="3"/>
      <c r="P30" s="4"/>
      <c r="Q30" s="4"/>
      <c r="R30" s="4"/>
      <c r="S30" s="4"/>
      <c r="T30" s="4"/>
    </row>
    <row r="31" spans="1:20" x14ac:dyDescent="0.25">
      <c r="A31" s="4"/>
      <c r="B31" s="27" t="s">
        <v>64</v>
      </c>
      <c r="C31" s="7"/>
      <c r="D31" s="28"/>
      <c r="E31" s="28"/>
      <c r="F31" s="16"/>
      <c r="G31" s="28"/>
      <c r="H31" s="28"/>
      <c r="I31" s="16"/>
      <c r="J31" s="28"/>
      <c r="K31" s="28"/>
      <c r="L31" s="16"/>
      <c r="M31" s="28"/>
      <c r="N31" s="28"/>
      <c r="O31" s="3"/>
      <c r="P31" s="4"/>
      <c r="Q31" s="4"/>
      <c r="R31" s="4"/>
      <c r="S31" s="4"/>
      <c r="T31" s="4"/>
    </row>
    <row r="32" spans="1:20" x14ac:dyDescent="0.25">
      <c r="A32" s="4"/>
      <c r="B32" s="20" t="s">
        <v>65</v>
      </c>
      <c r="C32" s="7"/>
      <c r="D32" s="26"/>
      <c r="E32" s="26"/>
      <c r="F32" s="16"/>
      <c r="G32" s="26"/>
      <c r="H32" s="26"/>
      <c r="I32" s="16"/>
      <c r="J32" s="26"/>
      <c r="K32" s="26"/>
      <c r="L32" s="16"/>
      <c r="M32" s="26"/>
      <c r="N32" s="26"/>
      <c r="O32" s="3"/>
      <c r="P32" s="4"/>
      <c r="Q32" s="4"/>
      <c r="R32" s="4"/>
      <c r="S32" s="4"/>
      <c r="T32" s="4"/>
    </row>
    <row r="33" spans="1:20" x14ac:dyDescent="0.25">
      <c r="A33" s="4"/>
      <c r="B33" s="27" t="s">
        <v>66</v>
      </c>
      <c r="C33" s="7"/>
      <c r="D33" s="28"/>
      <c r="E33" s="28"/>
      <c r="F33" s="16"/>
      <c r="G33" s="28"/>
      <c r="H33" s="28"/>
      <c r="I33" s="16"/>
      <c r="J33" s="28"/>
      <c r="K33" s="28"/>
      <c r="L33" s="16"/>
      <c r="M33" s="28"/>
      <c r="N33" s="28"/>
      <c r="O33" s="3"/>
      <c r="P33" s="4"/>
      <c r="Q33" s="4"/>
      <c r="R33" s="4"/>
      <c r="S33" s="4"/>
      <c r="T33" s="4"/>
    </row>
    <row r="34" spans="1:20" x14ac:dyDescent="0.25">
      <c r="A34" s="4"/>
      <c r="B34" s="20" t="s">
        <v>67</v>
      </c>
      <c r="C34" s="7"/>
      <c r="D34" s="26"/>
      <c r="E34" s="26"/>
      <c r="F34" s="16"/>
      <c r="G34" s="26"/>
      <c r="H34" s="26"/>
      <c r="I34" s="16"/>
      <c r="J34" s="26"/>
      <c r="K34" s="26"/>
      <c r="L34" s="16"/>
      <c r="M34" s="26"/>
      <c r="N34" s="26"/>
      <c r="O34" s="3"/>
      <c r="P34" s="4"/>
      <c r="Q34" s="4"/>
      <c r="R34" s="4"/>
      <c r="S34" s="4"/>
      <c r="T34" s="4"/>
    </row>
    <row r="35" spans="1:20" x14ac:dyDescent="0.25">
      <c r="A35" s="4"/>
      <c r="B35" s="27" t="s">
        <v>68</v>
      </c>
      <c r="C35" s="7"/>
      <c r="D35" s="28"/>
      <c r="E35" s="28"/>
      <c r="F35" s="16"/>
      <c r="G35" s="28"/>
      <c r="H35" s="28"/>
      <c r="I35" s="16"/>
      <c r="J35" s="28"/>
      <c r="K35" s="28"/>
      <c r="L35" s="16"/>
      <c r="M35" s="28"/>
      <c r="N35" s="28"/>
      <c r="O35" s="3"/>
      <c r="P35" s="4"/>
      <c r="Q35" s="4"/>
      <c r="R35" s="4"/>
      <c r="S35" s="4"/>
      <c r="T35" s="4"/>
    </row>
    <row r="36" spans="1:20" x14ac:dyDescent="0.25">
      <c r="A36" s="4"/>
      <c r="B36" s="20" t="s">
        <v>69</v>
      </c>
      <c r="C36" s="7"/>
      <c r="D36" s="26"/>
      <c r="E36" s="26"/>
      <c r="F36" s="16"/>
      <c r="G36" s="26"/>
      <c r="H36" s="26"/>
      <c r="I36" s="16"/>
      <c r="J36" s="26"/>
      <c r="K36" s="26"/>
      <c r="L36" s="16"/>
      <c r="M36" s="26"/>
      <c r="N36" s="26"/>
      <c r="O36" s="3"/>
      <c r="P36" s="4"/>
      <c r="Q36" s="4"/>
      <c r="R36" s="4"/>
      <c r="S36" s="4"/>
      <c r="T36" s="4"/>
    </row>
    <row r="37" spans="1:20" x14ac:dyDescent="0.25">
      <c r="A37" s="4"/>
      <c r="B37" s="27" t="s">
        <v>70</v>
      </c>
      <c r="C37" s="7"/>
      <c r="D37" s="28"/>
      <c r="E37" s="28"/>
      <c r="F37" s="16"/>
      <c r="G37" s="28"/>
      <c r="H37" s="28"/>
      <c r="I37" s="16"/>
      <c r="J37" s="28"/>
      <c r="K37" s="28"/>
      <c r="L37" s="16"/>
      <c r="M37" s="28"/>
      <c r="N37" s="28"/>
      <c r="O37" s="3"/>
      <c r="P37" s="4"/>
      <c r="Q37" s="4"/>
      <c r="R37" s="4"/>
      <c r="S37" s="4"/>
      <c r="T37" s="4"/>
    </row>
    <row r="38" spans="1:20" x14ac:dyDescent="0.25">
      <c r="A38" s="4"/>
      <c r="B38" s="20" t="s">
        <v>71</v>
      </c>
      <c r="C38" s="7"/>
      <c r="D38" s="26"/>
      <c r="E38" s="26"/>
      <c r="F38" s="16"/>
      <c r="G38" s="26"/>
      <c r="H38" s="26"/>
      <c r="I38" s="16"/>
      <c r="J38" s="26"/>
      <c r="K38" s="26"/>
      <c r="L38" s="16"/>
      <c r="M38" s="26"/>
      <c r="N38" s="26"/>
      <c r="O38" s="3"/>
      <c r="P38" s="4"/>
      <c r="Q38" s="4"/>
      <c r="R38" s="4"/>
      <c r="S38" s="4"/>
      <c r="T38" s="4"/>
    </row>
    <row r="39" spans="1:20" x14ac:dyDescent="0.25">
      <c r="A39" s="4"/>
      <c r="B39" s="27" t="s">
        <v>72</v>
      </c>
      <c r="C39" s="7"/>
      <c r="D39" s="28"/>
      <c r="E39" s="28"/>
      <c r="F39" s="16"/>
      <c r="G39" s="28"/>
      <c r="H39" s="28"/>
      <c r="I39" s="16"/>
      <c r="J39" s="28"/>
      <c r="K39" s="28"/>
      <c r="L39" s="16"/>
      <c r="M39" s="28"/>
      <c r="N39" s="28"/>
      <c r="O39" s="3"/>
      <c r="P39" s="4"/>
      <c r="Q39" s="4"/>
      <c r="R39" s="4"/>
      <c r="S39" s="4"/>
      <c r="T39" s="4"/>
    </row>
    <row r="40" spans="1:20" x14ac:dyDescent="0.25">
      <c r="A40" s="4"/>
      <c r="B40" s="20" t="s">
        <v>73</v>
      </c>
      <c r="C40" s="7"/>
      <c r="D40" s="26"/>
      <c r="E40" s="26"/>
      <c r="F40" s="16"/>
      <c r="G40" s="26"/>
      <c r="H40" s="26"/>
      <c r="I40" s="16"/>
      <c r="J40" s="26"/>
      <c r="K40" s="26"/>
      <c r="L40" s="16"/>
      <c r="M40" s="26"/>
      <c r="N40" s="26"/>
      <c r="O40" s="3"/>
      <c r="P40" s="4"/>
      <c r="Q40" s="4"/>
      <c r="R40" s="4"/>
      <c r="S40" s="4"/>
      <c r="T40" s="4"/>
    </row>
    <row r="41" spans="1:20" x14ac:dyDescent="0.25">
      <c r="A41" s="4"/>
      <c r="B41" s="14" t="s">
        <v>74</v>
      </c>
      <c r="C41" s="7"/>
      <c r="D41" s="28"/>
      <c r="E41" s="28"/>
      <c r="F41" s="16"/>
      <c r="G41" s="28"/>
      <c r="H41" s="28"/>
      <c r="I41" s="16"/>
      <c r="J41" s="28"/>
      <c r="K41" s="28"/>
      <c r="L41" s="16"/>
      <c r="M41" s="28"/>
      <c r="N41" s="28"/>
      <c r="O41" s="3"/>
      <c r="P41" s="4"/>
      <c r="Q41" s="4"/>
      <c r="R41" s="4"/>
      <c r="S41" s="4"/>
      <c r="T41" s="4"/>
    </row>
    <row r="42" spans="1:20" x14ac:dyDescent="0.25">
      <c r="A42" s="4"/>
      <c r="B42" s="20" t="s">
        <v>75</v>
      </c>
      <c r="C42" s="7"/>
      <c r="D42" s="21"/>
      <c r="E42" s="21"/>
      <c r="F42" s="25"/>
      <c r="G42" s="21"/>
      <c r="H42" s="21"/>
      <c r="I42" s="25"/>
      <c r="J42" s="21"/>
      <c r="K42" s="21"/>
      <c r="L42" s="25"/>
      <c r="M42" s="21"/>
      <c r="N42" s="21"/>
      <c r="O42" s="3"/>
      <c r="P42" s="4"/>
      <c r="Q42" s="4"/>
      <c r="R42" s="4"/>
      <c r="S42" s="4"/>
      <c r="T42" s="4"/>
    </row>
    <row r="43" spans="1:20" x14ac:dyDescent="0.25">
      <c r="A43" s="4"/>
      <c r="B43" s="14" t="s">
        <v>76</v>
      </c>
      <c r="C43" s="7"/>
      <c r="D43" s="28"/>
      <c r="E43" s="28"/>
      <c r="F43" s="25"/>
      <c r="G43" s="28"/>
      <c r="H43" s="28"/>
      <c r="I43" s="25"/>
      <c r="J43" s="28"/>
      <c r="K43" s="28"/>
      <c r="L43" s="25"/>
      <c r="M43" s="28"/>
      <c r="N43" s="28"/>
      <c r="O43" s="3" t="s">
        <v>40</v>
      </c>
      <c r="P43" s="4"/>
      <c r="Q43" s="4"/>
      <c r="R43" s="4"/>
      <c r="S43" s="4"/>
      <c r="T43" s="4"/>
    </row>
    <row r="44" spans="1:20" x14ac:dyDescent="0.25">
      <c r="A44" s="4"/>
      <c r="B44" s="20" t="s">
        <v>77</v>
      </c>
      <c r="C44" s="7"/>
      <c r="D44" s="21"/>
      <c r="E44" s="21"/>
      <c r="F44" s="25"/>
      <c r="G44" s="21"/>
      <c r="H44" s="21"/>
      <c r="I44" s="25"/>
      <c r="J44" s="21"/>
      <c r="K44" s="21"/>
      <c r="L44" s="25"/>
      <c r="M44" s="21"/>
      <c r="N44" s="21"/>
      <c r="O44" s="3"/>
      <c r="P44" s="4"/>
      <c r="Q44" s="4"/>
      <c r="R44" s="4"/>
      <c r="S44" s="4"/>
      <c r="T44" s="4"/>
    </row>
    <row r="45" spans="1:20" x14ac:dyDescent="0.25">
      <c r="A45" s="4"/>
      <c r="B45" s="14" t="s">
        <v>78</v>
      </c>
      <c r="C45" s="7"/>
      <c r="D45" s="28"/>
      <c r="E45" s="28"/>
      <c r="F45" s="25"/>
      <c r="G45" s="28"/>
      <c r="H45" s="28"/>
      <c r="I45" s="25"/>
      <c r="J45" s="28"/>
      <c r="K45" s="28"/>
      <c r="L45" s="25"/>
      <c r="M45" s="28"/>
      <c r="N45" s="28"/>
      <c r="O45" s="3"/>
      <c r="P45" s="4"/>
      <c r="Q45" s="4"/>
      <c r="R45" s="4"/>
      <c r="S45" s="4"/>
      <c r="T45" s="4"/>
    </row>
    <row r="46" spans="1:20" x14ac:dyDescent="0.25">
      <c r="A46" s="4"/>
      <c r="B46" s="20"/>
      <c r="C46" s="7"/>
      <c r="D46" s="30"/>
      <c r="E46" s="30"/>
      <c r="F46" s="25"/>
      <c r="G46" s="30"/>
      <c r="H46" s="30"/>
      <c r="I46" s="25"/>
      <c r="J46" s="30"/>
      <c r="K46" s="30"/>
      <c r="L46" s="25"/>
      <c r="M46" s="30"/>
      <c r="N46" s="30"/>
      <c r="O46" s="3"/>
      <c r="P46" s="4"/>
      <c r="Q46" s="4"/>
      <c r="R46" s="4"/>
      <c r="S46" s="4"/>
      <c r="T46" s="4"/>
    </row>
    <row r="47" spans="1:20" x14ac:dyDescent="0.25">
      <c r="A47" s="4"/>
      <c r="B47" s="14"/>
      <c r="C47" s="7"/>
      <c r="D47" s="29"/>
      <c r="E47" s="29"/>
      <c r="F47" s="25"/>
      <c r="G47" s="29"/>
      <c r="H47" s="29"/>
      <c r="I47" s="25"/>
      <c r="J47" s="29"/>
      <c r="K47" s="29"/>
      <c r="L47" s="25"/>
      <c r="M47" s="29"/>
      <c r="N47" s="29"/>
      <c r="O47" s="3"/>
      <c r="P47" s="4"/>
      <c r="Q47" s="4"/>
      <c r="R47" s="4"/>
      <c r="S47" s="4"/>
      <c r="T47" s="4"/>
    </row>
    <row r="48" spans="1:20" x14ac:dyDescent="0.25">
      <c r="A48" s="4"/>
      <c r="B48" s="20"/>
      <c r="C48" s="7"/>
      <c r="D48" s="30"/>
      <c r="E48" s="30"/>
      <c r="F48" s="25"/>
      <c r="G48" s="30"/>
      <c r="H48" s="30"/>
      <c r="I48" s="25"/>
      <c r="J48" s="30"/>
      <c r="K48" s="30"/>
      <c r="L48" s="25"/>
      <c r="M48" s="30"/>
      <c r="N48" s="30"/>
      <c r="O48" s="3"/>
      <c r="P48" s="4"/>
      <c r="Q48" s="4"/>
      <c r="R48" s="4"/>
      <c r="S48" s="4"/>
      <c r="T48" s="4"/>
    </row>
    <row r="49" spans="1:20" x14ac:dyDescent="0.25">
      <c r="A49" s="4"/>
      <c r="B49" s="14"/>
      <c r="C49" s="7"/>
      <c r="D49" s="29"/>
      <c r="E49" s="29"/>
      <c r="F49" s="25"/>
      <c r="G49" s="29"/>
      <c r="H49" s="29"/>
      <c r="I49" s="25"/>
      <c r="J49" s="29"/>
      <c r="K49" s="29"/>
      <c r="L49" s="25"/>
      <c r="M49" s="29"/>
      <c r="N49" s="29"/>
      <c r="O49" s="3"/>
      <c r="P49" s="4"/>
      <c r="Q49" s="4"/>
      <c r="R49" s="4"/>
      <c r="S49" s="4"/>
      <c r="T49" s="4"/>
    </row>
    <row r="50" spans="1:20" x14ac:dyDescent="0.25">
      <c r="A50" s="4"/>
      <c r="B50" s="20"/>
      <c r="C50" s="7"/>
      <c r="D50" s="30"/>
      <c r="E50" s="30"/>
      <c r="F50" s="25"/>
      <c r="G50" s="30"/>
      <c r="H50" s="30"/>
      <c r="I50" s="25"/>
      <c r="J50" s="30"/>
      <c r="K50" s="30"/>
      <c r="L50" s="25"/>
      <c r="M50" s="30"/>
      <c r="N50" s="30"/>
      <c r="O50" s="3"/>
      <c r="P50" s="4"/>
      <c r="Q50" s="4"/>
      <c r="R50" s="4"/>
      <c r="S50" s="4"/>
      <c r="T50" s="4"/>
    </row>
    <row r="51" spans="1:20" ht="28.5" customHeight="1" x14ac:dyDescent="0.35">
      <c r="A51" s="4"/>
      <c r="B51" s="22" t="s">
        <v>34</v>
      </c>
      <c r="C51" s="4"/>
      <c r="D51" s="24">
        <f>SUM(D9:D45)</f>
        <v>0</v>
      </c>
      <c r="E51" s="24">
        <f>SUM(E9:E45)</f>
        <v>0</v>
      </c>
      <c r="F51" s="23"/>
      <c r="G51" s="24">
        <f>SUM(G9:G45)</f>
        <v>0</v>
      </c>
      <c r="H51" s="24">
        <f>SUM(H9:H45)</f>
        <v>0</v>
      </c>
      <c r="I51" s="23"/>
      <c r="J51" s="24">
        <f>SUM(J9:J45)</f>
        <v>0</v>
      </c>
      <c r="K51" s="24">
        <f>SUM(K9:K45)</f>
        <v>0</v>
      </c>
      <c r="L51" s="23"/>
      <c r="M51" s="24">
        <f>SUM(M9:M45)</f>
        <v>0</v>
      </c>
      <c r="N51" s="24">
        <f>SUM(N9:N45)</f>
        <v>0</v>
      </c>
      <c r="O51" s="4"/>
      <c r="P51" s="4"/>
      <c r="Q51" s="4"/>
      <c r="R51" s="4"/>
      <c r="S51" s="4"/>
      <c r="T51" s="4"/>
    </row>
    <row r="52" spans="1:20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</row>
    <row r="53" spans="1:20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</row>
    <row r="54" spans="1:20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</row>
    <row r="58" spans="1:20" x14ac:dyDescent="0.25">
      <c r="E58" t="s">
        <v>40</v>
      </c>
    </row>
  </sheetData>
  <mergeCells count="6">
    <mergeCell ref="C5:E5"/>
    <mergeCell ref="C3:E3"/>
    <mergeCell ref="D7:H7"/>
    <mergeCell ref="J7:N7"/>
    <mergeCell ref="C2:E2"/>
    <mergeCell ref="C4:E4"/>
  </mergeCells>
  <conditionalFormatting sqref="D9:E15 D28:D41 M34:M41 J28:J41 E16">
    <cfRule type="expression" dxfId="43" priority="393">
      <formula>LEN($B9)=0</formula>
    </cfRule>
  </conditionalFormatting>
  <conditionalFormatting sqref="D18:D27">
    <cfRule type="expression" dxfId="42" priority="240">
      <formula>LEN($B18)=0</formula>
    </cfRule>
  </conditionalFormatting>
  <conditionalFormatting sqref="E17">
    <cfRule type="expression" dxfId="41" priority="263">
      <formula>LEN($B17)=0</formula>
    </cfRule>
  </conditionalFormatting>
  <conditionalFormatting sqref="E18:E41">
    <cfRule type="expression" dxfId="40" priority="262">
      <formula>LEN($B18)=0</formula>
    </cfRule>
  </conditionalFormatting>
  <conditionalFormatting sqref="G9:G13">
    <cfRule type="expression" dxfId="39" priority="101">
      <formula>LEN($B9)=0</formula>
    </cfRule>
  </conditionalFormatting>
  <conditionalFormatting sqref="H17">
    <cfRule type="expression" dxfId="38" priority="95">
      <formula>LEN($B17)=0</formula>
    </cfRule>
  </conditionalFormatting>
  <conditionalFormatting sqref="H18:H41">
    <cfRule type="expression" dxfId="37" priority="94">
      <formula>LEN($B18)=0</formula>
    </cfRule>
  </conditionalFormatting>
  <conditionalFormatting sqref="H9:H16">
    <cfRule type="expression" dxfId="36" priority="97">
      <formula>LEN($B9)=0</formula>
    </cfRule>
  </conditionalFormatting>
  <conditionalFormatting sqref="N18:N41">
    <cfRule type="expression" dxfId="35" priority="43">
      <formula>LEN($B18)=0</formula>
    </cfRule>
  </conditionalFormatting>
  <conditionalFormatting sqref="M9">
    <cfRule type="expression" dxfId="34" priority="50">
      <formula>LEN($B9)=0</formula>
    </cfRule>
  </conditionalFormatting>
  <conditionalFormatting sqref="J17">
    <cfRule type="expression" dxfId="33" priority="52">
      <formula>LEN($B17)=0</formula>
    </cfRule>
  </conditionalFormatting>
  <conditionalFormatting sqref="J18:J20">
    <cfRule type="expression" dxfId="32" priority="51">
      <formula>LEN($B18)=0</formula>
    </cfRule>
  </conditionalFormatting>
  <conditionalFormatting sqref="N9 N15:N16">
    <cfRule type="expression" dxfId="31" priority="46">
      <formula>LEN($B9)=0</formula>
    </cfRule>
  </conditionalFormatting>
  <conditionalFormatting sqref="N17">
    <cfRule type="expression" dxfId="30" priority="44">
      <formula>LEN($B17)=0</formula>
    </cfRule>
  </conditionalFormatting>
  <conditionalFormatting sqref="J9:K9 J14:K16 K10:K13">
    <cfRule type="expression" dxfId="29" priority="57">
      <formula>LEN($B9)=0</formula>
    </cfRule>
  </conditionalFormatting>
  <conditionalFormatting sqref="K17">
    <cfRule type="expression" dxfId="28" priority="55">
      <formula>LEN($B17)=0</formula>
    </cfRule>
  </conditionalFormatting>
  <conditionalFormatting sqref="K18:K20">
    <cfRule type="expression" dxfId="27" priority="54">
      <formula>LEN($B18)=0</formula>
    </cfRule>
  </conditionalFormatting>
  <conditionalFormatting sqref="J21:J27">
    <cfRule type="expression" dxfId="26" priority="39">
      <formula>LEN($B21)=0</formula>
    </cfRule>
  </conditionalFormatting>
  <conditionalFormatting sqref="K21:K41">
    <cfRule type="expression" dxfId="25" priority="41">
      <formula>LEN($B21)=0</formula>
    </cfRule>
  </conditionalFormatting>
  <conditionalFormatting sqref="J42:J50">
    <cfRule type="expression" dxfId="24" priority="27">
      <formula>LEN($B42)=0</formula>
    </cfRule>
  </conditionalFormatting>
  <conditionalFormatting sqref="E42:E50">
    <cfRule type="expression" dxfId="23" priority="30">
      <formula>LEN($B42)=0</formula>
    </cfRule>
  </conditionalFormatting>
  <conditionalFormatting sqref="M42:M50">
    <cfRule type="expression" dxfId="22" priority="25">
      <formula>LEN($B42)=0</formula>
    </cfRule>
  </conditionalFormatting>
  <conditionalFormatting sqref="N42:N50">
    <cfRule type="expression" dxfId="21" priority="24">
      <formula>LEN($B42)=0</formula>
    </cfRule>
  </conditionalFormatting>
  <conditionalFormatting sqref="D42:D50">
    <cfRule type="expression" dxfId="20" priority="31">
      <formula>LEN($B42)=0</formula>
    </cfRule>
  </conditionalFormatting>
  <conditionalFormatting sqref="G42:G50">
    <cfRule type="expression" dxfId="19" priority="29">
      <formula>LEN($B42)=0</formula>
    </cfRule>
  </conditionalFormatting>
  <conditionalFormatting sqref="H42:H50">
    <cfRule type="expression" dxfId="18" priority="28">
      <formula>LEN($B42)=0</formula>
    </cfRule>
  </conditionalFormatting>
  <conditionalFormatting sqref="K42:K50">
    <cfRule type="expression" dxfId="17" priority="26">
      <formula>LEN($B42)=0</formula>
    </cfRule>
  </conditionalFormatting>
  <conditionalFormatting sqref="G17">
    <cfRule type="expression" dxfId="16" priority="13">
      <formula>LEN($B17)=0</formula>
    </cfRule>
  </conditionalFormatting>
  <conditionalFormatting sqref="G25:G41">
    <cfRule type="expression" dxfId="15" priority="18">
      <formula>LEN($B25)=0</formula>
    </cfRule>
  </conditionalFormatting>
  <conditionalFormatting sqref="G14:G16">
    <cfRule type="expression" dxfId="14" priority="14">
      <formula>LEN($B14)=0</formula>
    </cfRule>
  </conditionalFormatting>
  <conditionalFormatting sqref="G18:G24">
    <cfRule type="expression" dxfId="13" priority="12">
      <formula>LEN($B18)=0</formula>
    </cfRule>
  </conditionalFormatting>
  <conditionalFormatting sqref="N12:N14">
    <cfRule type="expression" dxfId="12" priority="11">
      <formula>LEN($B12)=0</formula>
    </cfRule>
  </conditionalFormatting>
  <conditionalFormatting sqref="J10:J13">
    <cfRule type="expression" dxfId="11" priority="10">
      <formula>LEN($B10)=0</formula>
    </cfRule>
  </conditionalFormatting>
  <conditionalFormatting sqref="N10:N11">
    <cfRule type="expression" dxfId="10" priority="9">
      <formula>LEN($B10)=0</formula>
    </cfRule>
  </conditionalFormatting>
  <conditionalFormatting sqref="M10">
    <cfRule type="expression" dxfId="9" priority="8">
      <formula>LEN($B10)=0</formula>
    </cfRule>
  </conditionalFormatting>
  <conditionalFormatting sqref="M11:M13">
    <cfRule type="expression" dxfId="8" priority="7">
      <formula>LEN($B11)=0</formula>
    </cfRule>
  </conditionalFormatting>
  <conditionalFormatting sqref="M17">
    <cfRule type="expression" dxfId="7" priority="4">
      <formula>LEN($B17)=0</formula>
    </cfRule>
  </conditionalFormatting>
  <conditionalFormatting sqref="M25:M33">
    <cfRule type="expression" dxfId="6" priority="6">
      <formula>LEN($B25)=0</formula>
    </cfRule>
  </conditionalFormatting>
  <conditionalFormatting sqref="M14:M16">
    <cfRule type="expression" dxfId="5" priority="5">
      <formula>LEN($B14)=0</formula>
    </cfRule>
  </conditionalFormatting>
  <conditionalFormatting sqref="M18:M24">
    <cfRule type="expression" dxfId="4" priority="3">
      <formula>LEN($B18)=0</formula>
    </cfRule>
  </conditionalFormatting>
  <conditionalFormatting sqref="D17">
    <cfRule type="expression" dxfId="3" priority="1">
      <formula>LEN($B17)=0</formula>
    </cfRule>
  </conditionalFormatting>
  <conditionalFormatting sqref="D16">
    <cfRule type="expression" dxfId="2" priority="2">
      <formula>LEN($B16)=0</formula>
    </cfRule>
  </conditionalFormatting>
  <dataValidations count="6">
    <dataValidation type="date" operator="greaterThanOrEqual" allowBlank="1" showInputMessage="1" showErrorMessage="1" sqref="C2:E2">
      <formula1>42186</formula1>
    </dataValidation>
    <dataValidation type="list" allowBlank="1" showInputMessage="1" showErrorMessage="1" sqref="C5:E5">
      <formula1>SHUTTLE_ROUTES</formula1>
    </dataValidation>
    <dataValidation type="list" allowBlank="1" showInputMessage="1" showErrorMessage="1" sqref="C3:E3">
      <formula1>DOW</formula1>
    </dataValidation>
    <dataValidation type="list" allowBlank="1" showInputMessage="1" showErrorMessage="1" sqref="K2:N2 I2">
      <formula1>DRIVERS</formula1>
    </dataValidation>
    <dataValidation type="list" allowBlank="1" showInputMessage="1" showErrorMessage="1" sqref="B9:B50">
      <formula1>LOCATIONS</formula1>
    </dataValidation>
    <dataValidation type="whole" operator="greaterThanOrEqual" allowBlank="1" showInputMessage="1" showErrorMessage="1" sqref="G9:H50 J9:K50 M9:N50 D9:E50">
      <formula1>0</formula1>
    </dataValidation>
  </dataValidation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ubmitDataEntry">
                <anchor moveWithCells="1" sizeWithCells="1">
                  <from>
                    <xdr:col>14</xdr:col>
                    <xdr:colOff>304800</xdr:colOff>
                    <xdr:row>1</xdr:row>
                    <xdr:rowOff>28575</xdr:rowOff>
                  </from>
                  <to>
                    <xdr:col>19</xdr:col>
                    <xdr:colOff>219075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142"/>
  <sheetViews>
    <sheetView topLeftCell="A3115" workbookViewId="0">
      <selection activeCell="A1896" sqref="A1896"/>
    </sheetView>
  </sheetViews>
  <sheetFormatPr defaultRowHeight="15" x14ac:dyDescent="0.25"/>
  <cols>
    <col min="1" max="1" width="20.28515625" bestFit="1" customWidth="1"/>
    <col min="2" max="3" width="13.7109375" bestFit="1" customWidth="1"/>
    <col min="4" max="4" width="15" bestFit="1" customWidth="1"/>
    <col min="5" max="5" width="9.42578125" bestFit="1" customWidth="1"/>
    <col min="6" max="6" width="8" bestFit="1" customWidth="1"/>
    <col min="7" max="7" width="21.85546875" bestFit="1" customWidth="1"/>
    <col min="8" max="8" width="8.7109375" bestFit="1" customWidth="1"/>
    <col min="9" max="9" width="8.5703125" bestFit="1" customWidth="1"/>
    <col min="10" max="10" width="8.5703125" customWidth="1"/>
  </cols>
  <sheetData>
    <row r="1" spans="1:11" x14ac:dyDescent="0.25">
      <c r="A1" t="s">
        <v>22</v>
      </c>
      <c r="B1" t="s">
        <v>23</v>
      </c>
      <c r="C1" t="s">
        <v>19</v>
      </c>
      <c r="D1" t="s">
        <v>24</v>
      </c>
      <c r="E1" t="s">
        <v>25</v>
      </c>
      <c r="F1" t="s">
        <v>21</v>
      </c>
      <c r="G1" t="s">
        <v>11</v>
      </c>
      <c r="H1" t="s">
        <v>26</v>
      </c>
      <c r="I1" t="s">
        <v>20</v>
      </c>
      <c r="J1" t="s">
        <v>36</v>
      </c>
      <c r="K1" t="s">
        <v>35</v>
      </c>
    </row>
    <row r="2" spans="1:11" x14ac:dyDescent="0.25">
      <c r="A2" s="31">
        <v>43724</v>
      </c>
      <c r="B2" t="s">
        <v>2</v>
      </c>
      <c r="C2">
        <v>1030</v>
      </c>
      <c r="D2" t="s">
        <v>80</v>
      </c>
      <c r="E2" t="s">
        <v>109</v>
      </c>
      <c r="F2">
        <v>1</v>
      </c>
      <c r="G2" t="s">
        <v>44</v>
      </c>
      <c r="H2" t="s">
        <v>110</v>
      </c>
      <c r="I2">
        <v>15</v>
      </c>
      <c r="J2" s="19">
        <f>WEEKNUM(tblRidershipData[[#This Row],[MeasurementDate]])</f>
        <v>38</v>
      </c>
      <c r="K2" s="19">
        <f>MONTH(tblRidershipData[[#This Row],[MeasurementDate]])</f>
        <v>9</v>
      </c>
    </row>
    <row r="3" spans="1:11" x14ac:dyDescent="0.25">
      <c r="A3" s="31">
        <v>43724</v>
      </c>
      <c r="B3" t="s">
        <v>2</v>
      </c>
      <c r="C3">
        <v>1030</v>
      </c>
      <c r="D3" t="s">
        <v>80</v>
      </c>
      <c r="E3" t="s">
        <v>109</v>
      </c>
      <c r="F3">
        <v>1</v>
      </c>
      <c r="G3" t="s">
        <v>57</v>
      </c>
      <c r="H3" t="s">
        <v>110</v>
      </c>
      <c r="I3">
        <v>17</v>
      </c>
      <c r="J3" s="19">
        <f>WEEKNUM(tblRidershipData[[#This Row],[MeasurementDate]])</f>
        <v>38</v>
      </c>
      <c r="K3" s="19">
        <f>MONTH(tblRidershipData[[#This Row],[MeasurementDate]])</f>
        <v>9</v>
      </c>
    </row>
    <row r="4" spans="1:11" x14ac:dyDescent="0.25">
      <c r="A4" s="31">
        <v>43724</v>
      </c>
      <c r="B4" t="s">
        <v>2</v>
      </c>
      <c r="C4">
        <v>1030</v>
      </c>
      <c r="D4" t="s">
        <v>80</v>
      </c>
      <c r="E4" t="s">
        <v>109</v>
      </c>
      <c r="F4">
        <v>1</v>
      </c>
      <c r="G4" t="s">
        <v>59</v>
      </c>
      <c r="H4" t="s">
        <v>110</v>
      </c>
      <c r="I4">
        <v>36</v>
      </c>
      <c r="J4" s="19">
        <f>WEEKNUM(tblRidershipData[[#This Row],[MeasurementDate]])</f>
        <v>38</v>
      </c>
      <c r="K4" s="19">
        <f>MONTH(tblRidershipData[[#This Row],[MeasurementDate]])</f>
        <v>9</v>
      </c>
    </row>
    <row r="5" spans="1:11" x14ac:dyDescent="0.25">
      <c r="A5" s="31">
        <v>43724</v>
      </c>
      <c r="B5" t="s">
        <v>2</v>
      </c>
      <c r="C5">
        <v>1030</v>
      </c>
      <c r="D5" t="s">
        <v>80</v>
      </c>
      <c r="E5" t="s">
        <v>109</v>
      </c>
      <c r="F5">
        <v>1</v>
      </c>
      <c r="G5" t="s">
        <v>70</v>
      </c>
      <c r="H5" t="s">
        <v>110</v>
      </c>
      <c r="I5">
        <v>10</v>
      </c>
      <c r="J5" s="19">
        <f>WEEKNUM(tblRidershipData[[#This Row],[MeasurementDate]])</f>
        <v>38</v>
      </c>
      <c r="K5" s="19">
        <f>MONTH(tblRidershipData[[#This Row],[MeasurementDate]])</f>
        <v>9</v>
      </c>
    </row>
    <row r="6" spans="1:11" x14ac:dyDescent="0.25">
      <c r="A6" s="31">
        <v>43724</v>
      </c>
      <c r="B6" t="s">
        <v>2</v>
      </c>
      <c r="C6">
        <v>1030</v>
      </c>
      <c r="D6" t="s">
        <v>80</v>
      </c>
      <c r="E6" t="s">
        <v>111</v>
      </c>
      <c r="F6">
        <v>1</v>
      </c>
      <c r="G6" t="s">
        <v>43</v>
      </c>
      <c r="H6" t="s">
        <v>110</v>
      </c>
      <c r="I6">
        <v>18</v>
      </c>
      <c r="J6" s="19">
        <f>WEEKNUM(tblRidershipData[[#This Row],[MeasurementDate]])</f>
        <v>38</v>
      </c>
      <c r="K6" s="19">
        <f>MONTH(tblRidershipData[[#This Row],[MeasurementDate]])</f>
        <v>9</v>
      </c>
    </row>
    <row r="7" spans="1:11" x14ac:dyDescent="0.25">
      <c r="A7" s="31">
        <v>43724</v>
      </c>
      <c r="B7" t="s">
        <v>2</v>
      </c>
      <c r="C7">
        <v>1030</v>
      </c>
      <c r="D7" t="s">
        <v>80</v>
      </c>
      <c r="E7" t="s">
        <v>111</v>
      </c>
      <c r="F7">
        <v>1</v>
      </c>
      <c r="G7" t="s">
        <v>55</v>
      </c>
      <c r="H7" t="s">
        <v>110</v>
      </c>
      <c r="I7">
        <v>2</v>
      </c>
      <c r="J7" s="19">
        <f>WEEKNUM(tblRidershipData[[#This Row],[MeasurementDate]])</f>
        <v>38</v>
      </c>
      <c r="K7" s="19">
        <f>MONTH(tblRidershipData[[#This Row],[MeasurementDate]])</f>
        <v>9</v>
      </c>
    </row>
    <row r="8" spans="1:11" x14ac:dyDescent="0.25">
      <c r="A8" s="31">
        <v>43724</v>
      </c>
      <c r="B8" t="s">
        <v>2</v>
      </c>
      <c r="C8">
        <v>1030</v>
      </c>
      <c r="D8" t="s">
        <v>80</v>
      </c>
      <c r="E8" t="s">
        <v>111</v>
      </c>
      <c r="F8">
        <v>1</v>
      </c>
      <c r="G8" t="s">
        <v>59</v>
      </c>
      <c r="H8" t="s">
        <v>110</v>
      </c>
      <c r="I8">
        <v>3</v>
      </c>
      <c r="J8" s="19">
        <f>WEEKNUM(tblRidershipData[[#This Row],[MeasurementDate]])</f>
        <v>38</v>
      </c>
      <c r="K8" s="19">
        <f>MONTH(tblRidershipData[[#This Row],[MeasurementDate]])</f>
        <v>9</v>
      </c>
    </row>
    <row r="9" spans="1:11" x14ac:dyDescent="0.25">
      <c r="A9" s="31">
        <v>43724</v>
      </c>
      <c r="B9" t="s">
        <v>2</v>
      </c>
      <c r="C9">
        <v>1030</v>
      </c>
      <c r="D9" t="s">
        <v>80</v>
      </c>
      <c r="E9" t="s">
        <v>111</v>
      </c>
      <c r="F9">
        <v>1</v>
      </c>
      <c r="G9" t="s">
        <v>60</v>
      </c>
      <c r="H9" t="s">
        <v>110</v>
      </c>
      <c r="I9">
        <v>3</v>
      </c>
      <c r="J9" s="19">
        <f>WEEKNUM(tblRidershipData[[#This Row],[MeasurementDate]])</f>
        <v>38</v>
      </c>
      <c r="K9" s="19">
        <f>MONTH(tblRidershipData[[#This Row],[MeasurementDate]])</f>
        <v>9</v>
      </c>
    </row>
    <row r="10" spans="1:11" x14ac:dyDescent="0.25">
      <c r="A10" s="31">
        <v>43724</v>
      </c>
      <c r="B10" t="s">
        <v>2</v>
      </c>
      <c r="C10">
        <v>1030</v>
      </c>
      <c r="D10" t="s">
        <v>80</v>
      </c>
      <c r="E10" t="s">
        <v>111</v>
      </c>
      <c r="F10">
        <v>1</v>
      </c>
      <c r="G10" t="s">
        <v>66</v>
      </c>
      <c r="H10" t="s">
        <v>110</v>
      </c>
      <c r="I10">
        <v>5</v>
      </c>
      <c r="J10" s="19">
        <f>WEEKNUM(tblRidershipData[[#This Row],[MeasurementDate]])</f>
        <v>38</v>
      </c>
      <c r="K10" s="19">
        <f>MONTH(tblRidershipData[[#This Row],[MeasurementDate]])</f>
        <v>9</v>
      </c>
    </row>
    <row r="11" spans="1:11" x14ac:dyDescent="0.25">
      <c r="A11" s="31">
        <v>43724</v>
      </c>
      <c r="B11" t="s">
        <v>2</v>
      </c>
      <c r="C11">
        <v>1030</v>
      </c>
      <c r="D11" t="s">
        <v>80</v>
      </c>
      <c r="E11" t="s">
        <v>111</v>
      </c>
      <c r="F11">
        <v>1</v>
      </c>
      <c r="G11" t="s">
        <v>68</v>
      </c>
      <c r="H11" t="s">
        <v>110</v>
      </c>
      <c r="I11">
        <v>2</v>
      </c>
      <c r="J11" s="19">
        <f>WEEKNUM(tblRidershipData[[#This Row],[MeasurementDate]])</f>
        <v>38</v>
      </c>
      <c r="K11" s="19">
        <f>MONTH(tblRidershipData[[#This Row],[MeasurementDate]])</f>
        <v>9</v>
      </c>
    </row>
    <row r="12" spans="1:11" x14ac:dyDescent="0.25">
      <c r="A12" s="31">
        <v>43724</v>
      </c>
      <c r="B12" t="s">
        <v>2</v>
      </c>
      <c r="C12">
        <v>1030</v>
      </c>
      <c r="D12" t="s">
        <v>80</v>
      </c>
      <c r="E12" t="s">
        <v>111</v>
      </c>
      <c r="F12">
        <v>1</v>
      </c>
      <c r="G12" t="s">
        <v>70</v>
      </c>
      <c r="H12" t="s">
        <v>110</v>
      </c>
      <c r="I12">
        <v>2</v>
      </c>
      <c r="J12" s="19">
        <f>WEEKNUM(tblRidershipData[[#This Row],[MeasurementDate]])</f>
        <v>38</v>
      </c>
      <c r="K12" s="19">
        <f>MONTH(tblRidershipData[[#This Row],[MeasurementDate]])</f>
        <v>9</v>
      </c>
    </row>
    <row r="13" spans="1:11" x14ac:dyDescent="0.25">
      <c r="A13" s="31">
        <v>43724</v>
      </c>
      <c r="B13" t="s">
        <v>2</v>
      </c>
      <c r="C13">
        <v>1030</v>
      </c>
      <c r="D13" t="s">
        <v>80</v>
      </c>
      <c r="E13" t="s">
        <v>111</v>
      </c>
      <c r="F13">
        <v>1</v>
      </c>
      <c r="G13" t="s">
        <v>71</v>
      </c>
      <c r="H13" t="s">
        <v>110</v>
      </c>
      <c r="I13">
        <v>5</v>
      </c>
      <c r="J13" s="19">
        <f>WEEKNUM(tblRidershipData[[#This Row],[MeasurementDate]])</f>
        <v>38</v>
      </c>
      <c r="K13" s="19">
        <f>MONTH(tblRidershipData[[#This Row],[MeasurementDate]])</f>
        <v>9</v>
      </c>
    </row>
    <row r="14" spans="1:11" x14ac:dyDescent="0.25">
      <c r="A14" s="31">
        <v>43724</v>
      </c>
      <c r="B14" t="s">
        <v>2</v>
      </c>
      <c r="C14">
        <v>1030</v>
      </c>
      <c r="D14" t="s">
        <v>80</v>
      </c>
      <c r="E14" t="s">
        <v>111</v>
      </c>
      <c r="F14">
        <v>1</v>
      </c>
      <c r="G14" t="s">
        <v>76</v>
      </c>
      <c r="H14" t="s">
        <v>110</v>
      </c>
      <c r="I14">
        <v>2</v>
      </c>
      <c r="J14" s="19">
        <f>WEEKNUM(tblRidershipData[[#This Row],[MeasurementDate]])</f>
        <v>38</v>
      </c>
      <c r="K14" s="19">
        <f>MONTH(tblRidershipData[[#This Row],[MeasurementDate]])</f>
        <v>9</v>
      </c>
    </row>
    <row r="15" spans="1:11" x14ac:dyDescent="0.25">
      <c r="A15" s="31">
        <v>43724</v>
      </c>
      <c r="B15" t="s">
        <v>2</v>
      </c>
      <c r="C15">
        <v>1030</v>
      </c>
      <c r="D15" t="s">
        <v>80</v>
      </c>
      <c r="E15" t="s">
        <v>111</v>
      </c>
      <c r="F15">
        <v>2</v>
      </c>
      <c r="G15" t="s">
        <v>43</v>
      </c>
      <c r="H15" t="s">
        <v>110</v>
      </c>
      <c r="I15">
        <v>3</v>
      </c>
      <c r="J15" s="19">
        <f>WEEKNUM(tblRidershipData[[#This Row],[MeasurementDate]])</f>
        <v>38</v>
      </c>
      <c r="K15" s="19">
        <f>MONTH(tblRidershipData[[#This Row],[MeasurementDate]])</f>
        <v>9</v>
      </c>
    </row>
    <row r="16" spans="1:11" x14ac:dyDescent="0.25">
      <c r="A16" s="31">
        <v>43724</v>
      </c>
      <c r="B16" t="s">
        <v>2</v>
      </c>
      <c r="C16">
        <v>1030</v>
      </c>
      <c r="D16" t="s">
        <v>80</v>
      </c>
      <c r="E16" t="s">
        <v>111</v>
      </c>
      <c r="F16">
        <v>2</v>
      </c>
      <c r="G16" t="s">
        <v>46</v>
      </c>
      <c r="H16" t="s">
        <v>110</v>
      </c>
      <c r="I16">
        <v>3</v>
      </c>
      <c r="J16" s="19">
        <f>WEEKNUM(tblRidershipData[[#This Row],[MeasurementDate]])</f>
        <v>38</v>
      </c>
      <c r="K16" s="19">
        <f>MONTH(tblRidershipData[[#This Row],[MeasurementDate]])</f>
        <v>9</v>
      </c>
    </row>
    <row r="17" spans="1:11" x14ac:dyDescent="0.25">
      <c r="A17" s="31">
        <v>43724</v>
      </c>
      <c r="B17" t="s">
        <v>2</v>
      </c>
      <c r="C17">
        <v>1030</v>
      </c>
      <c r="D17" t="s">
        <v>80</v>
      </c>
      <c r="E17" t="s">
        <v>111</v>
      </c>
      <c r="F17">
        <v>2</v>
      </c>
      <c r="G17" t="s">
        <v>51</v>
      </c>
      <c r="H17" t="s">
        <v>110</v>
      </c>
      <c r="I17">
        <v>5</v>
      </c>
      <c r="J17" s="19">
        <f>WEEKNUM(tblRidershipData[[#This Row],[MeasurementDate]])</f>
        <v>38</v>
      </c>
      <c r="K17" s="19">
        <f>MONTH(tblRidershipData[[#This Row],[MeasurementDate]])</f>
        <v>9</v>
      </c>
    </row>
    <row r="18" spans="1:11" x14ac:dyDescent="0.25">
      <c r="A18" s="31">
        <v>43724</v>
      </c>
      <c r="B18" t="s">
        <v>2</v>
      </c>
      <c r="C18">
        <v>1030</v>
      </c>
      <c r="D18" t="s">
        <v>80</v>
      </c>
      <c r="E18" t="s">
        <v>111</v>
      </c>
      <c r="F18">
        <v>2</v>
      </c>
      <c r="G18" t="s">
        <v>55</v>
      </c>
      <c r="H18" t="s">
        <v>110</v>
      </c>
      <c r="I18">
        <v>3</v>
      </c>
      <c r="J18" s="19">
        <f>WEEKNUM(tblRidershipData[[#This Row],[MeasurementDate]])</f>
        <v>38</v>
      </c>
      <c r="K18" s="19">
        <f>MONTH(tblRidershipData[[#This Row],[MeasurementDate]])</f>
        <v>9</v>
      </c>
    </row>
    <row r="19" spans="1:11" x14ac:dyDescent="0.25">
      <c r="A19" s="31">
        <v>43724</v>
      </c>
      <c r="B19" t="s">
        <v>2</v>
      </c>
      <c r="C19">
        <v>1030</v>
      </c>
      <c r="D19" t="s">
        <v>80</v>
      </c>
      <c r="E19" t="s">
        <v>111</v>
      </c>
      <c r="F19">
        <v>2</v>
      </c>
      <c r="G19" t="s">
        <v>68</v>
      </c>
      <c r="H19" t="s">
        <v>110</v>
      </c>
      <c r="I19">
        <v>2</v>
      </c>
      <c r="J19" s="19">
        <f>WEEKNUM(tblRidershipData[[#This Row],[MeasurementDate]])</f>
        <v>38</v>
      </c>
      <c r="K19" s="19">
        <f>MONTH(tblRidershipData[[#This Row],[MeasurementDate]])</f>
        <v>9</v>
      </c>
    </row>
    <row r="20" spans="1:11" x14ac:dyDescent="0.25">
      <c r="A20" s="31">
        <v>43724</v>
      </c>
      <c r="B20" t="s">
        <v>2</v>
      </c>
      <c r="C20">
        <v>1030</v>
      </c>
      <c r="D20" t="s">
        <v>80</v>
      </c>
      <c r="E20" t="s">
        <v>111</v>
      </c>
      <c r="F20">
        <v>1</v>
      </c>
      <c r="G20" t="s">
        <v>55</v>
      </c>
      <c r="H20" t="s">
        <v>112</v>
      </c>
      <c r="I20">
        <v>5</v>
      </c>
      <c r="J20" s="19">
        <f>WEEKNUM(tblRidershipData[[#This Row],[MeasurementDate]])</f>
        <v>38</v>
      </c>
      <c r="K20" s="19">
        <f>MONTH(tblRidershipData[[#This Row],[MeasurementDate]])</f>
        <v>9</v>
      </c>
    </row>
    <row r="21" spans="1:11" x14ac:dyDescent="0.25">
      <c r="A21" s="31">
        <v>43724</v>
      </c>
      <c r="B21" t="s">
        <v>2</v>
      </c>
      <c r="C21">
        <v>1030</v>
      </c>
      <c r="D21" t="s">
        <v>80</v>
      </c>
      <c r="E21" t="s">
        <v>111</v>
      </c>
      <c r="F21">
        <v>1</v>
      </c>
      <c r="G21" t="s">
        <v>69</v>
      </c>
      <c r="H21" t="s">
        <v>112</v>
      </c>
      <c r="I21">
        <v>24</v>
      </c>
      <c r="J21" s="19">
        <f>WEEKNUM(tblRidershipData[[#This Row],[MeasurementDate]])</f>
        <v>38</v>
      </c>
      <c r="K21" s="19">
        <f>MONTH(tblRidershipData[[#This Row],[MeasurementDate]])</f>
        <v>9</v>
      </c>
    </row>
    <row r="22" spans="1:11" x14ac:dyDescent="0.25">
      <c r="A22" s="31">
        <v>43724</v>
      </c>
      <c r="B22" t="s">
        <v>2</v>
      </c>
      <c r="C22">
        <v>1030</v>
      </c>
      <c r="D22" t="s">
        <v>80</v>
      </c>
      <c r="E22" t="s">
        <v>111</v>
      </c>
      <c r="F22">
        <v>1</v>
      </c>
      <c r="G22" t="s">
        <v>75</v>
      </c>
      <c r="H22" t="s">
        <v>112</v>
      </c>
      <c r="I22">
        <v>11</v>
      </c>
      <c r="J22" s="19">
        <f>WEEKNUM(tblRidershipData[[#This Row],[MeasurementDate]])</f>
        <v>38</v>
      </c>
      <c r="K22" s="19">
        <f>MONTH(tblRidershipData[[#This Row],[MeasurementDate]])</f>
        <v>9</v>
      </c>
    </row>
    <row r="23" spans="1:11" x14ac:dyDescent="0.25">
      <c r="A23" s="31">
        <v>43724</v>
      </c>
      <c r="B23" t="s">
        <v>2</v>
      </c>
      <c r="C23">
        <v>1030</v>
      </c>
      <c r="D23" t="s">
        <v>80</v>
      </c>
      <c r="E23" t="s">
        <v>111</v>
      </c>
      <c r="F23">
        <v>2</v>
      </c>
      <c r="G23" t="s">
        <v>44</v>
      </c>
      <c r="H23" t="s">
        <v>112</v>
      </c>
      <c r="I23">
        <v>15</v>
      </c>
      <c r="J23" s="19">
        <f>WEEKNUM(tblRidershipData[[#This Row],[MeasurementDate]])</f>
        <v>38</v>
      </c>
      <c r="K23" s="19">
        <f>MONTH(tblRidershipData[[#This Row],[MeasurementDate]])</f>
        <v>9</v>
      </c>
    </row>
    <row r="24" spans="1:11" x14ac:dyDescent="0.25">
      <c r="A24" s="31">
        <v>43724</v>
      </c>
      <c r="B24" t="s">
        <v>2</v>
      </c>
      <c r="C24">
        <v>1030</v>
      </c>
      <c r="D24" t="s">
        <v>80</v>
      </c>
      <c r="E24" t="s">
        <v>111</v>
      </c>
      <c r="F24">
        <v>2</v>
      </c>
      <c r="G24" t="s">
        <v>51</v>
      </c>
      <c r="H24" t="s">
        <v>112</v>
      </c>
      <c r="I24">
        <v>3</v>
      </c>
      <c r="J24" s="19">
        <f>WEEKNUM(tblRidershipData[[#This Row],[MeasurementDate]])</f>
        <v>38</v>
      </c>
      <c r="K24" s="19">
        <f>MONTH(tblRidershipData[[#This Row],[MeasurementDate]])</f>
        <v>9</v>
      </c>
    </row>
    <row r="25" spans="1:11" x14ac:dyDescent="0.25">
      <c r="A25" s="31">
        <v>43724</v>
      </c>
      <c r="B25" t="s">
        <v>2</v>
      </c>
      <c r="C25">
        <v>1030</v>
      </c>
      <c r="D25" t="s">
        <v>80</v>
      </c>
      <c r="E25" t="s">
        <v>109</v>
      </c>
      <c r="F25">
        <v>1</v>
      </c>
      <c r="G25" t="s">
        <v>43</v>
      </c>
      <c r="H25" t="s">
        <v>112</v>
      </c>
      <c r="I25">
        <v>11</v>
      </c>
      <c r="J25" s="19">
        <f>WEEKNUM(tblRidershipData[[#This Row],[MeasurementDate]])</f>
        <v>38</v>
      </c>
      <c r="K25" s="19">
        <f>MONTH(tblRidershipData[[#This Row],[MeasurementDate]])</f>
        <v>9</v>
      </c>
    </row>
    <row r="26" spans="1:11" x14ac:dyDescent="0.25">
      <c r="A26" s="31">
        <v>43724</v>
      </c>
      <c r="B26" t="s">
        <v>2</v>
      </c>
      <c r="C26">
        <v>1030</v>
      </c>
      <c r="D26" t="s">
        <v>80</v>
      </c>
      <c r="E26" t="s">
        <v>109</v>
      </c>
      <c r="F26">
        <v>1</v>
      </c>
      <c r="G26" t="s">
        <v>44</v>
      </c>
      <c r="H26" t="s">
        <v>112</v>
      </c>
      <c r="I26">
        <v>5</v>
      </c>
      <c r="J26" s="19">
        <f>WEEKNUM(tblRidershipData[[#This Row],[MeasurementDate]])</f>
        <v>38</v>
      </c>
      <c r="K26" s="19">
        <f>MONTH(tblRidershipData[[#This Row],[MeasurementDate]])</f>
        <v>9</v>
      </c>
    </row>
    <row r="27" spans="1:11" x14ac:dyDescent="0.25">
      <c r="A27" s="31">
        <v>43724</v>
      </c>
      <c r="B27" t="s">
        <v>2</v>
      </c>
      <c r="C27">
        <v>1030</v>
      </c>
      <c r="D27" t="s">
        <v>80</v>
      </c>
      <c r="E27" t="s">
        <v>109</v>
      </c>
      <c r="F27">
        <v>1</v>
      </c>
      <c r="G27" t="s">
        <v>46</v>
      </c>
      <c r="H27" t="s">
        <v>112</v>
      </c>
      <c r="I27">
        <v>8</v>
      </c>
      <c r="J27" s="19">
        <f>WEEKNUM(tblRidershipData[[#This Row],[MeasurementDate]])</f>
        <v>38</v>
      </c>
      <c r="K27" s="19">
        <f>MONTH(tblRidershipData[[#This Row],[MeasurementDate]])</f>
        <v>9</v>
      </c>
    </row>
    <row r="28" spans="1:11" x14ac:dyDescent="0.25">
      <c r="A28" s="31">
        <v>43724</v>
      </c>
      <c r="B28" t="s">
        <v>2</v>
      </c>
      <c r="C28">
        <v>1030</v>
      </c>
      <c r="D28" t="s">
        <v>80</v>
      </c>
      <c r="E28" t="s">
        <v>109</v>
      </c>
      <c r="F28">
        <v>1</v>
      </c>
      <c r="G28" t="s">
        <v>55</v>
      </c>
      <c r="H28" t="s">
        <v>112</v>
      </c>
      <c r="I28">
        <v>1</v>
      </c>
      <c r="J28" s="19">
        <f>WEEKNUM(tblRidershipData[[#This Row],[MeasurementDate]])</f>
        <v>38</v>
      </c>
      <c r="K28" s="19">
        <f>MONTH(tblRidershipData[[#This Row],[MeasurementDate]])</f>
        <v>9</v>
      </c>
    </row>
    <row r="29" spans="1:11" x14ac:dyDescent="0.25">
      <c r="A29" s="31">
        <v>43724</v>
      </c>
      <c r="B29" t="s">
        <v>2</v>
      </c>
      <c r="C29">
        <v>1030</v>
      </c>
      <c r="D29" t="s">
        <v>80</v>
      </c>
      <c r="E29" t="s">
        <v>109</v>
      </c>
      <c r="F29">
        <v>1</v>
      </c>
      <c r="G29" t="s">
        <v>59</v>
      </c>
      <c r="H29" t="s">
        <v>112</v>
      </c>
      <c r="I29">
        <v>1</v>
      </c>
      <c r="J29" s="19">
        <f>WEEKNUM(tblRidershipData[[#This Row],[MeasurementDate]])</f>
        <v>38</v>
      </c>
      <c r="K29" s="19">
        <f>MONTH(tblRidershipData[[#This Row],[MeasurementDate]])</f>
        <v>9</v>
      </c>
    </row>
    <row r="30" spans="1:11" x14ac:dyDescent="0.25">
      <c r="A30" s="31">
        <v>43724</v>
      </c>
      <c r="B30" t="s">
        <v>2</v>
      </c>
      <c r="C30">
        <v>1030</v>
      </c>
      <c r="D30" t="s">
        <v>80</v>
      </c>
      <c r="E30" t="s">
        <v>109</v>
      </c>
      <c r="F30">
        <v>1</v>
      </c>
      <c r="G30" t="s">
        <v>60</v>
      </c>
      <c r="H30" t="s">
        <v>112</v>
      </c>
      <c r="I30">
        <v>10</v>
      </c>
      <c r="J30" s="19">
        <f>WEEKNUM(tblRidershipData[[#This Row],[MeasurementDate]])</f>
        <v>38</v>
      </c>
      <c r="K30" s="19">
        <f>MONTH(tblRidershipData[[#This Row],[MeasurementDate]])</f>
        <v>9</v>
      </c>
    </row>
    <row r="31" spans="1:11" x14ac:dyDescent="0.25">
      <c r="A31" s="31">
        <v>43724</v>
      </c>
      <c r="B31" t="s">
        <v>2</v>
      </c>
      <c r="C31">
        <v>1030</v>
      </c>
      <c r="D31" t="s">
        <v>80</v>
      </c>
      <c r="E31" t="s">
        <v>109</v>
      </c>
      <c r="F31">
        <v>1</v>
      </c>
      <c r="G31" t="s">
        <v>66</v>
      </c>
      <c r="H31" t="s">
        <v>112</v>
      </c>
      <c r="I31">
        <v>9</v>
      </c>
      <c r="J31" s="19">
        <f>WEEKNUM(tblRidershipData[[#This Row],[MeasurementDate]])</f>
        <v>38</v>
      </c>
      <c r="K31" s="19">
        <f>MONTH(tblRidershipData[[#This Row],[MeasurementDate]])</f>
        <v>9</v>
      </c>
    </row>
    <row r="32" spans="1:11" x14ac:dyDescent="0.25">
      <c r="A32" s="31">
        <v>43724</v>
      </c>
      <c r="B32" t="s">
        <v>2</v>
      </c>
      <c r="C32">
        <v>1030</v>
      </c>
      <c r="D32" t="s">
        <v>80</v>
      </c>
      <c r="E32" t="s">
        <v>109</v>
      </c>
      <c r="F32">
        <v>1</v>
      </c>
      <c r="G32" t="s">
        <v>69</v>
      </c>
      <c r="H32" t="s">
        <v>112</v>
      </c>
      <c r="I32">
        <v>4</v>
      </c>
      <c r="J32" s="19">
        <f>WEEKNUM(tblRidershipData[[#This Row],[MeasurementDate]])</f>
        <v>38</v>
      </c>
      <c r="K32" s="19">
        <f>MONTH(tblRidershipData[[#This Row],[MeasurementDate]])</f>
        <v>9</v>
      </c>
    </row>
    <row r="33" spans="1:11" x14ac:dyDescent="0.25">
      <c r="A33" s="31">
        <v>43724</v>
      </c>
      <c r="B33" t="s">
        <v>2</v>
      </c>
      <c r="C33">
        <v>1030</v>
      </c>
      <c r="D33" t="s">
        <v>80</v>
      </c>
      <c r="E33" t="s">
        <v>109</v>
      </c>
      <c r="F33">
        <v>1</v>
      </c>
      <c r="G33" t="s">
        <v>70</v>
      </c>
      <c r="H33" t="s">
        <v>112</v>
      </c>
      <c r="I33">
        <v>14</v>
      </c>
      <c r="J33" s="19">
        <f>WEEKNUM(tblRidershipData[[#This Row],[MeasurementDate]])</f>
        <v>38</v>
      </c>
      <c r="K33" s="19">
        <f>MONTH(tblRidershipData[[#This Row],[MeasurementDate]])</f>
        <v>9</v>
      </c>
    </row>
    <row r="34" spans="1:11" x14ac:dyDescent="0.25">
      <c r="A34" s="31">
        <v>43724</v>
      </c>
      <c r="B34" t="s">
        <v>2</v>
      </c>
      <c r="C34">
        <v>1030</v>
      </c>
      <c r="D34" t="s">
        <v>80</v>
      </c>
      <c r="E34" t="s">
        <v>109</v>
      </c>
      <c r="F34">
        <v>1</v>
      </c>
      <c r="G34" t="s">
        <v>71</v>
      </c>
      <c r="H34" t="s">
        <v>112</v>
      </c>
      <c r="I34">
        <v>12</v>
      </c>
      <c r="J34" s="19">
        <f>WEEKNUM(tblRidershipData[[#This Row],[MeasurementDate]])</f>
        <v>38</v>
      </c>
      <c r="K34" s="19">
        <f>MONTH(tblRidershipData[[#This Row],[MeasurementDate]])</f>
        <v>9</v>
      </c>
    </row>
    <row r="35" spans="1:11" x14ac:dyDescent="0.25">
      <c r="A35" s="31">
        <v>43724</v>
      </c>
      <c r="B35" t="s">
        <v>2</v>
      </c>
      <c r="C35">
        <v>1030</v>
      </c>
      <c r="D35" t="s">
        <v>80</v>
      </c>
      <c r="E35" t="s">
        <v>109</v>
      </c>
      <c r="F35">
        <v>1</v>
      </c>
      <c r="G35" t="s">
        <v>76</v>
      </c>
      <c r="H35" t="s">
        <v>112</v>
      </c>
      <c r="I35">
        <v>3</v>
      </c>
      <c r="J35" s="19">
        <f>WEEKNUM(tblRidershipData[[#This Row],[MeasurementDate]])</f>
        <v>38</v>
      </c>
      <c r="K35" s="19">
        <f>MONTH(tblRidershipData[[#This Row],[MeasurementDate]])</f>
        <v>9</v>
      </c>
    </row>
    <row r="36" spans="1:11" x14ac:dyDescent="0.25">
      <c r="A36" s="31">
        <v>43724</v>
      </c>
      <c r="B36" t="s">
        <v>2</v>
      </c>
      <c r="C36">
        <v>1071</v>
      </c>
      <c r="D36" t="s">
        <v>105</v>
      </c>
      <c r="E36" t="s">
        <v>111</v>
      </c>
      <c r="F36">
        <v>1</v>
      </c>
      <c r="G36" t="s">
        <v>43</v>
      </c>
      <c r="H36" t="s">
        <v>110</v>
      </c>
      <c r="I36">
        <v>5</v>
      </c>
      <c r="J36" s="19">
        <f>WEEKNUM(tblRidershipData[[#This Row],[MeasurementDate]])</f>
        <v>38</v>
      </c>
      <c r="K36" s="19">
        <f>MONTH(tblRidershipData[[#This Row],[MeasurementDate]])</f>
        <v>9</v>
      </c>
    </row>
    <row r="37" spans="1:11" x14ac:dyDescent="0.25">
      <c r="A37" s="31">
        <v>43724</v>
      </c>
      <c r="B37" t="s">
        <v>2</v>
      </c>
      <c r="C37">
        <v>1071</v>
      </c>
      <c r="D37" t="s">
        <v>105</v>
      </c>
      <c r="E37" t="s">
        <v>111</v>
      </c>
      <c r="F37">
        <v>1</v>
      </c>
      <c r="G37" t="s">
        <v>54</v>
      </c>
      <c r="H37" t="s">
        <v>110</v>
      </c>
      <c r="I37">
        <v>14</v>
      </c>
      <c r="J37" s="19">
        <f>WEEKNUM(tblRidershipData[[#This Row],[MeasurementDate]])</f>
        <v>38</v>
      </c>
      <c r="K37" s="19">
        <f>MONTH(tblRidershipData[[#This Row],[MeasurementDate]])</f>
        <v>9</v>
      </c>
    </row>
    <row r="38" spans="1:11" x14ac:dyDescent="0.25">
      <c r="A38" s="31">
        <v>43724</v>
      </c>
      <c r="B38" t="s">
        <v>2</v>
      </c>
      <c r="C38">
        <v>1071</v>
      </c>
      <c r="D38" t="s">
        <v>105</v>
      </c>
      <c r="E38" t="s">
        <v>111</v>
      </c>
      <c r="F38">
        <v>2</v>
      </c>
      <c r="G38" t="s">
        <v>43</v>
      </c>
      <c r="H38" t="s">
        <v>110</v>
      </c>
      <c r="I38">
        <v>1</v>
      </c>
      <c r="J38" s="19">
        <f>WEEKNUM(tblRidershipData[[#This Row],[MeasurementDate]])</f>
        <v>38</v>
      </c>
      <c r="K38" s="19">
        <f>MONTH(tblRidershipData[[#This Row],[MeasurementDate]])</f>
        <v>9</v>
      </c>
    </row>
    <row r="39" spans="1:11" x14ac:dyDescent="0.25">
      <c r="A39" s="31">
        <v>43724</v>
      </c>
      <c r="B39" t="s">
        <v>2</v>
      </c>
      <c r="C39">
        <v>1071</v>
      </c>
      <c r="D39" t="s">
        <v>105</v>
      </c>
      <c r="E39" t="s">
        <v>111</v>
      </c>
      <c r="F39">
        <v>2</v>
      </c>
      <c r="G39" t="s">
        <v>46</v>
      </c>
      <c r="H39" t="s">
        <v>110</v>
      </c>
      <c r="I39">
        <v>8</v>
      </c>
      <c r="J39" s="19">
        <f>WEEKNUM(tblRidershipData[[#This Row],[MeasurementDate]])</f>
        <v>38</v>
      </c>
      <c r="K39" s="19">
        <f>MONTH(tblRidershipData[[#This Row],[MeasurementDate]])</f>
        <v>9</v>
      </c>
    </row>
    <row r="40" spans="1:11" x14ac:dyDescent="0.25">
      <c r="A40" s="31">
        <v>43724</v>
      </c>
      <c r="B40" t="s">
        <v>2</v>
      </c>
      <c r="C40">
        <v>1071</v>
      </c>
      <c r="D40" t="s">
        <v>105</v>
      </c>
      <c r="E40" t="s">
        <v>111</v>
      </c>
      <c r="F40">
        <v>2</v>
      </c>
      <c r="G40" t="s">
        <v>55</v>
      </c>
      <c r="H40" t="s">
        <v>110</v>
      </c>
      <c r="I40">
        <v>3</v>
      </c>
      <c r="J40" s="19">
        <f>WEEKNUM(tblRidershipData[[#This Row],[MeasurementDate]])</f>
        <v>38</v>
      </c>
      <c r="K40" s="19">
        <f>MONTH(tblRidershipData[[#This Row],[MeasurementDate]])</f>
        <v>9</v>
      </c>
    </row>
    <row r="41" spans="1:11" x14ac:dyDescent="0.25">
      <c r="A41" s="31">
        <v>43724</v>
      </c>
      <c r="B41" t="s">
        <v>2</v>
      </c>
      <c r="C41">
        <v>1071</v>
      </c>
      <c r="D41" t="s">
        <v>105</v>
      </c>
      <c r="E41" t="s">
        <v>111</v>
      </c>
      <c r="F41">
        <v>2</v>
      </c>
      <c r="G41" t="s">
        <v>60</v>
      </c>
      <c r="H41" t="s">
        <v>110</v>
      </c>
      <c r="I41">
        <v>5</v>
      </c>
      <c r="J41" s="19">
        <f>WEEKNUM(tblRidershipData[[#This Row],[MeasurementDate]])</f>
        <v>38</v>
      </c>
      <c r="K41" s="19">
        <f>MONTH(tblRidershipData[[#This Row],[MeasurementDate]])</f>
        <v>9</v>
      </c>
    </row>
    <row r="42" spans="1:11" x14ac:dyDescent="0.25">
      <c r="A42" s="31">
        <v>43724</v>
      </c>
      <c r="B42" t="s">
        <v>2</v>
      </c>
      <c r="C42">
        <v>1071</v>
      </c>
      <c r="D42" t="s">
        <v>105</v>
      </c>
      <c r="E42" t="s">
        <v>111</v>
      </c>
      <c r="F42">
        <v>2</v>
      </c>
      <c r="G42" t="s">
        <v>71</v>
      </c>
      <c r="H42" t="s">
        <v>110</v>
      </c>
      <c r="I42">
        <v>5</v>
      </c>
      <c r="J42" s="19">
        <f>WEEKNUM(tblRidershipData[[#This Row],[MeasurementDate]])</f>
        <v>38</v>
      </c>
      <c r="K42" s="19">
        <f>MONTH(tblRidershipData[[#This Row],[MeasurementDate]])</f>
        <v>9</v>
      </c>
    </row>
    <row r="43" spans="1:11" x14ac:dyDescent="0.25">
      <c r="A43" s="31">
        <v>43724</v>
      </c>
      <c r="B43" t="s">
        <v>2</v>
      </c>
      <c r="C43">
        <v>1071</v>
      </c>
      <c r="D43" t="s">
        <v>105</v>
      </c>
      <c r="E43" t="s">
        <v>111</v>
      </c>
      <c r="F43">
        <v>2</v>
      </c>
      <c r="G43" t="s">
        <v>76</v>
      </c>
      <c r="H43" t="s">
        <v>110</v>
      </c>
      <c r="I43">
        <v>1</v>
      </c>
      <c r="J43" s="19">
        <f>WEEKNUM(tblRidershipData[[#This Row],[MeasurementDate]])</f>
        <v>38</v>
      </c>
      <c r="K43" s="19">
        <f>MONTH(tblRidershipData[[#This Row],[MeasurementDate]])</f>
        <v>9</v>
      </c>
    </row>
    <row r="44" spans="1:11" x14ac:dyDescent="0.25">
      <c r="A44" s="31">
        <v>43724</v>
      </c>
      <c r="B44" t="s">
        <v>2</v>
      </c>
      <c r="C44">
        <v>1071</v>
      </c>
      <c r="D44" t="s">
        <v>106</v>
      </c>
      <c r="E44" t="s">
        <v>111</v>
      </c>
      <c r="F44">
        <v>1</v>
      </c>
      <c r="G44" t="s">
        <v>43</v>
      </c>
      <c r="H44" t="s">
        <v>110</v>
      </c>
      <c r="I44">
        <v>12</v>
      </c>
      <c r="J44" s="19">
        <f>WEEKNUM(tblRidershipData[[#This Row],[MeasurementDate]])</f>
        <v>38</v>
      </c>
      <c r="K44" s="19">
        <f>MONTH(tblRidershipData[[#This Row],[MeasurementDate]])</f>
        <v>9</v>
      </c>
    </row>
    <row r="45" spans="1:11" x14ac:dyDescent="0.25">
      <c r="A45" s="31">
        <v>43724</v>
      </c>
      <c r="B45" t="s">
        <v>2</v>
      </c>
      <c r="C45">
        <v>1071</v>
      </c>
      <c r="D45" t="s">
        <v>106</v>
      </c>
      <c r="E45" t="s">
        <v>111</v>
      </c>
      <c r="F45">
        <v>1</v>
      </c>
      <c r="G45" t="s">
        <v>44</v>
      </c>
      <c r="H45" t="s">
        <v>110</v>
      </c>
      <c r="I45">
        <v>2</v>
      </c>
      <c r="J45" s="19">
        <f>WEEKNUM(tblRidershipData[[#This Row],[MeasurementDate]])</f>
        <v>38</v>
      </c>
      <c r="K45" s="19">
        <f>MONTH(tblRidershipData[[#This Row],[MeasurementDate]])</f>
        <v>9</v>
      </c>
    </row>
    <row r="46" spans="1:11" x14ac:dyDescent="0.25">
      <c r="A46" s="31">
        <v>43724</v>
      </c>
      <c r="B46" t="s">
        <v>2</v>
      </c>
      <c r="C46">
        <v>1071</v>
      </c>
      <c r="D46" t="s">
        <v>106</v>
      </c>
      <c r="E46" t="s">
        <v>111</v>
      </c>
      <c r="F46">
        <v>1</v>
      </c>
      <c r="G46" t="s">
        <v>46</v>
      </c>
      <c r="H46" t="s">
        <v>110</v>
      </c>
      <c r="I46">
        <v>16</v>
      </c>
      <c r="J46" s="19">
        <f>WEEKNUM(tblRidershipData[[#This Row],[MeasurementDate]])</f>
        <v>38</v>
      </c>
      <c r="K46" s="19">
        <f>MONTH(tblRidershipData[[#This Row],[MeasurementDate]])</f>
        <v>9</v>
      </c>
    </row>
    <row r="47" spans="1:11" x14ac:dyDescent="0.25">
      <c r="A47" s="31">
        <v>43724</v>
      </c>
      <c r="B47" t="s">
        <v>2</v>
      </c>
      <c r="C47">
        <v>1071</v>
      </c>
      <c r="D47" t="s">
        <v>106</v>
      </c>
      <c r="E47" t="s">
        <v>111</v>
      </c>
      <c r="F47">
        <v>1</v>
      </c>
      <c r="G47" t="s">
        <v>66</v>
      </c>
      <c r="H47" t="s">
        <v>110</v>
      </c>
      <c r="I47">
        <v>3</v>
      </c>
      <c r="J47" s="19">
        <f>WEEKNUM(tblRidershipData[[#This Row],[MeasurementDate]])</f>
        <v>38</v>
      </c>
      <c r="K47" s="19">
        <f>MONTH(tblRidershipData[[#This Row],[MeasurementDate]])</f>
        <v>9</v>
      </c>
    </row>
    <row r="48" spans="1:11" x14ac:dyDescent="0.25">
      <c r="A48" s="31">
        <v>43724</v>
      </c>
      <c r="B48" t="s">
        <v>2</v>
      </c>
      <c r="C48">
        <v>1071</v>
      </c>
      <c r="D48" t="s">
        <v>106</v>
      </c>
      <c r="E48" t="s">
        <v>111</v>
      </c>
      <c r="F48">
        <v>1</v>
      </c>
      <c r="G48" t="s">
        <v>69</v>
      </c>
      <c r="H48" t="s">
        <v>110</v>
      </c>
      <c r="I48">
        <v>8</v>
      </c>
      <c r="J48" s="19">
        <f>WEEKNUM(tblRidershipData[[#This Row],[MeasurementDate]])</f>
        <v>38</v>
      </c>
      <c r="K48" s="19">
        <f>MONTH(tblRidershipData[[#This Row],[MeasurementDate]])</f>
        <v>9</v>
      </c>
    </row>
    <row r="49" spans="1:11" x14ac:dyDescent="0.25">
      <c r="A49" s="31">
        <v>43724</v>
      </c>
      <c r="B49" t="s">
        <v>2</v>
      </c>
      <c r="C49">
        <v>1071</v>
      </c>
      <c r="D49" t="s">
        <v>106</v>
      </c>
      <c r="E49" t="s">
        <v>111</v>
      </c>
      <c r="F49">
        <v>1</v>
      </c>
      <c r="G49" t="s">
        <v>70</v>
      </c>
      <c r="H49" t="s">
        <v>110</v>
      </c>
      <c r="I49">
        <v>5</v>
      </c>
      <c r="J49" s="19">
        <f>WEEKNUM(tblRidershipData[[#This Row],[MeasurementDate]])</f>
        <v>38</v>
      </c>
      <c r="K49" s="19">
        <f>MONTH(tblRidershipData[[#This Row],[MeasurementDate]])</f>
        <v>9</v>
      </c>
    </row>
    <row r="50" spans="1:11" x14ac:dyDescent="0.25">
      <c r="A50" s="31">
        <v>43724</v>
      </c>
      <c r="B50" t="s">
        <v>2</v>
      </c>
      <c r="C50">
        <v>1071</v>
      </c>
      <c r="D50" t="s">
        <v>106</v>
      </c>
      <c r="E50" t="s">
        <v>111</v>
      </c>
      <c r="F50">
        <v>1</v>
      </c>
      <c r="G50" t="s">
        <v>71</v>
      </c>
      <c r="H50" t="s">
        <v>110</v>
      </c>
      <c r="I50">
        <v>3</v>
      </c>
      <c r="J50" s="19">
        <f>WEEKNUM(tblRidershipData[[#This Row],[MeasurementDate]])</f>
        <v>38</v>
      </c>
      <c r="K50" s="19">
        <f>MONTH(tblRidershipData[[#This Row],[MeasurementDate]])</f>
        <v>9</v>
      </c>
    </row>
    <row r="51" spans="1:11" x14ac:dyDescent="0.25">
      <c r="A51" s="31">
        <v>43724</v>
      </c>
      <c r="B51" t="s">
        <v>2</v>
      </c>
      <c r="C51">
        <v>1071</v>
      </c>
      <c r="D51" t="s">
        <v>106</v>
      </c>
      <c r="E51" t="s">
        <v>111</v>
      </c>
      <c r="F51">
        <v>2</v>
      </c>
      <c r="G51" t="s">
        <v>46</v>
      </c>
      <c r="H51" t="s">
        <v>110</v>
      </c>
      <c r="I51">
        <v>1</v>
      </c>
      <c r="J51" s="19">
        <f>WEEKNUM(tblRidershipData[[#This Row],[MeasurementDate]])</f>
        <v>38</v>
      </c>
      <c r="K51" s="19">
        <f>MONTH(tblRidershipData[[#This Row],[MeasurementDate]])</f>
        <v>9</v>
      </c>
    </row>
    <row r="52" spans="1:11" x14ac:dyDescent="0.25">
      <c r="A52" s="31">
        <v>43724</v>
      </c>
      <c r="B52" t="s">
        <v>2</v>
      </c>
      <c r="C52">
        <v>1071</v>
      </c>
      <c r="D52" t="s">
        <v>106</v>
      </c>
      <c r="E52" t="s">
        <v>111</v>
      </c>
      <c r="F52">
        <v>2</v>
      </c>
      <c r="G52" t="s">
        <v>69</v>
      </c>
      <c r="H52" t="s">
        <v>110</v>
      </c>
      <c r="I52">
        <v>3</v>
      </c>
      <c r="J52" s="19">
        <f>WEEKNUM(tblRidershipData[[#This Row],[MeasurementDate]])</f>
        <v>38</v>
      </c>
      <c r="K52" s="19">
        <f>MONTH(tblRidershipData[[#This Row],[MeasurementDate]])</f>
        <v>9</v>
      </c>
    </row>
    <row r="53" spans="1:11" x14ac:dyDescent="0.25">
      <c r="A53" s="31">
        <v>43724</v>
      </c>
      <c r="B53" t="s">
        <v>2</v>
      </c>
      <c r="C53">
        <v>1071</v>
      </c>
      <c r="D53" t="s">
        <v>106</v>
      </c>
      <c r="E53" t="s">
        <v>111</v>
      </c>
      <c r="F53">
        <v>2</v>
      </c>
      <c r="G53" t="s">
        <v>72</v>
      </c>
      <c r="H53" t="s">
        <v>110</v>
      </c>
      <c r="I53">
        <v>4</v>
      </c>
      <c r="J53" s="19">
        <f>WEEKNUM(tblRidershipData[[#This Row],[MeasurementDate]])</f>
        <v>38</v>
      </c>
      <c r="K53" s="19">
        <f>MONTH(tblRidershipData[[#This Row],[MeasurementDate]])</f>
        <v>9</v>
      </c>
    </row>
    <row r="54" spans="1:11" x14ac:dyDescent="0.25">
      <c r="A54" s="31">
        <v>43724</v>
      </c>
      <c r="B54" t="s">
        <v>2</v>
      </c>
      <c r="C54">
        <v>1071</v>
      </c>
      <c r="D54" t="s">
        <v>106</v>
      </c>
      <c r="E54" t="s">
        <v>111</v>
      </c>
      <c r="F54">
        <v>2</v>
      </c>
      <c r="G54" t="s">
        <v>74</v>
      </c>
      <c r="H54" t="s">
        <v>110</v>
      </c>
      <c r="I54">
        <v>38</v>
      </c>
      <c r="J54" s="19">
        <f>WEEKNUM(tblRidershipData[[#This Row],[MeasurementDate]])</f>
        <v>38</v>
      </c>
      <c r="K54" s="19">
        <f>MONTH(tblRidershipData[[#This Row],[MeasurementDate]])</f>
        <v>9</v>
      </c>
    </row>
    <row r="55" spans="1:11" x14ac:dyDescent="0.25">
      <c r="A55" s="31">
        <v>43724</v>
      </c>
      <c r="B55" t="s">
        <v>2</v>
      </c>
      <c r="C55">
        <v>1740</v>
      </c>
      <c r="D55" t="s">
        <v>81</v>
      </c>
      <c r="E55" t="s">
        <v>111</v>
      </c>
      <c r="F55">
        <v>1</v>
      </c>
      <c r="G55" t="s">
        <v>43</v>
      </c>
      <c r="H55" t="s">
        <v>112</v>
      </c>
      <c r="I55">
        <v>12</v>
      </c>
      <c r="J55" s="19">
        <f>WEEKNUM(tblRidershipData[[#This Row],[MeasurementDate]])</f>
        <v>38</v>
      </c>
      <c r="K55" s="19">
        <f>MONTH(tblRidershipData[[#This Row],[MeasurementDate]])</f>
        <v>9</v>
      </c>
    </row>
    <row r="56" spans="1:11" x14ac:dyDescent="0.25">
      <c r="A56" s="31">
        <v>43724</v>
      </c>
      <c r="B56" t="s">
        <v>2</v>
      </c>
      <c r="C56">
        <v>1740</v>
      </c>
      <c r="D56" t="s">
        <v>81</v>
      </c>
      <c r="E56" t="s">
        <v>111</v>
      </c>
      <c r="F56">
        <v>1</v>
      </c>
      <c r="G56" t="s">
        <v>44</v>
      </c>
      <c r="H56" t="s">
        <v>112</v>
      </c>
      <c r="I56">
        <v>11</v>
      </c>
      <c r="J56" s="19">
        <f>WEEKNUM(tblRidershipData[[#This Row],[MeasurementDate]])</f>
        <v>38</v>
      </c>
      <c r="K56" s="19">
        <f>MONTH(tblRidershipData[[#This Row],[MeasurementDate]])</f>
        <v>9</v>
      </c>
    </row>
    <row r="57" spans="1:11" x14ac:dyDescent="0.25">
      <c r="A57" s="31">
        <v>43724</v>
      </c>
      <c r="B57" t="s">
        <v>2</v>
      </c>
      <c r="C57">
        <v>1740</v>
      </c>
      <c r="D57" t="s">
        <v>81</v>
      </c>
      <c r="E57" t="s">
        <v>111</v>
      </c>
      <c r="F57">
        <v>1</v>
      </c>
      <c r="G57" t="s">
        <v>46</v>
      </c>
      <c r="H57" t="s">
        <v>112</v>
      </c>
      <c r="I57">
        <v>7</v>
      </c>
      <c r="J57" s="19">
        <f>WEEKNUM(tblRidershipData[[#This Row],[MeasurementDate]])</f>
        <v>38</v>
      </c>
      <c r="K57" s="19">
        <f>MONTH(tblRidershipData[[#This Row],[MeasurementDate]])</f>
        <v>9</v>
      </c>
    </row>
    <row r="58" spans="1:11" x14ac:dyDescent="0.25">
      <c r="A58" s="31">
        <v>43724</v>
      </c>
      <c r="B58" t="s">
        <v>2</v>
      </c>
      <c r="C58">
        <v>1740</v>
      </c>
      <c r="D58" t="s">
        <v>81</v>
      </c>
      <c r="E58" t="s">
        <v>111</v>
      </c>
      <c r="F58">
        <v>1</v>
      </c>
      <c r="G58" t="s">
        <v>55</v>
      </c>
      <c r="H58" t="s">
        <v>112</v>
      </c>
      <c r="I58">
        <v>18</v>
      </c>
      <c r="J58" s="19">
        <f>WEEKNUM(tblRidershipData[[#This Row],[MeasurementDate]])</f>
        <v>38</v>
      </c>
      <c r="K58" s="19">
        <f>MONTH(tblRidershipData[[#This Row],[MeasurementDate]])</f>
        <v>9</v>
      </c>
    </row>
    <row r="59" spans="1:11" x14ac:dyDescent="0.25">
      <c r="A59" s="31">
        <v>43724</v>
      </c>
      <c r="B59" t="s">
        <v>2</v>
      </c>
      <c r="C59">
        <v>1740</v>
      </c>
      <c r="D59" t="s">
        <v>81</v>
      </c>
      <c r="E59" t="s">
        <v>111</v>
      </c>
      <c r="F59">
        <v>1</v>
      </c>
      <c r="G59" t="s">
        <v>57</v>
      </c>
      <c r="H59" t="s">
        <v>112</v>
      </c>
      <c r="I59">
        <v>1</v>
      </c>
      <c r="J59" s="19">
        <f>WEEKNUM(tblRidershipData[[#This Row],[MeasurementDate]])</f>
        <v>38</v>
      </c>
      <c r="K59" s="19">
        <f>MONTH(tblRidershipData[[#This Row],[MeasurementDate]])</f>
        <v>9</v>
      </c>
    </row>
    <row r="60" spans="1:11" x14ac:dyDescent="0.25">
      <c r="A60" s="31">
        <v>43724</v>
      </c>
      <c r="B60" t="s">
        <v>2</v>
      </c>
      <c r="C60">
        <v>1740</v>
      </c>
      <c r="D60" t="s">
        <v>81</v>
      </c>
      <c r="E60" t="s">
        <v>111</v>
      </c>
      <c r="F60">
        <v>1</v>
      </c>
      <c r="G60" t="s">
        <v>59</v>
      </c>
      <c r="H60" t="s">
        <v>112</v>
      </c>
      <c r="I60">
        <v>3</v>
      </c>
      <c r="J60" s="19">
        <f>WEEKNUM(tblRidershipData[[#This Row],[MeasurementDate]])</f>
        <v>38</v>
      </c>
      <c r="K60" s="19">
        <f>MONTH(tblRidershipData[[#This Row],[MeasurementDate]])</f>
        <v>9</v>
      </c>
    </row>
    <row r="61" spans="1:11" x14ac:dyDescent="0.25">
      <c r="A61" s="31">
        <v>43724</v>
      </c>
      <c r="B61" t="s">
        <v>2</v>
      </c>
      <c r="C61">
        <v>1740</v>
      </c>
      <c r="D61" t="s">
        <v>81</v>
      </c>
      <c r="E61" t="s">
        <v>111</v>
      </c>
      <c r="F61">
        <v>1</v>
      </c>
      <c r="G61" t="s">
        <v>60</v>
      </c>
      <c r="H61" t="s">
        <v>112</v>
      </c>
      <c r="I61">
        <v>3</v>
      </c>
      <c r="J61" s="19">
        <f>WEEKNUM(tblRidershipData[[#This Row],[MeasurementDate]])</f>
        <v>38</v>
      </c>
      <c r="K61" s="19">
        <f>MONTH(tblRidershipData[[#This Row],[MeasurementDate]])</f>
        <v>9</v>
      </c>
    </row>
    <row r="62" spans="1:11" x14ac:dyDescent="0.25">
      <c r="A62" s="31">
        <v>43724</v>
      </c>
      <c r="B62" t="s">
        <v>2</v>
      </c>
      <c r="C62">
        <v>1740</v>
      </c>
      <c r="D62" t="s">
        <v>81</v>
      </c>
      <c r="E62" t="s">
        <v>111</v>
      </c>
      <c r="F62">
        <v>1</v>
      </c>
      <c r="G62" t="s">
        <v>66</v>
      </c>
      <c r="H62" t="s">
        <v>112</v>
      </c>
      <c r="I62">
        <v>2</v>
      </c>
      <c r="J62" s="19">
        <f>WEEKNUM(tblRidershipData[[#This Row],[MeasurementDate]])</f>
        <v>38</v>
      </c>
      <c r="K62" s="19">
        <f>MONTH(tblRidershipData[[#This Row],[MeasurementDate]])</f>
        <v>9</v>
      </c>
    </row>
    <row r="63" spans="1:11" x14ac:dyDescent="0.25">
      <c r="A63" s="31">
        <v>43724</v>
      </c>
      <c r="B63" t="s">
        <v>2</v>
      </c>
      <c r="C63">
        <v>1740</v>
      </c>
      <c r="D63" t="s">
        <v>81</v>
      </c>
      <c r="E63" t="s">
        <v>111</v>
      </c>
      <c r="F63">
        <v>1</v>
      </c>
      <c r="G63" t="s">
        <v>69</v>
      </c>
      <c r="H63" t="s">
        <v>112</v>
      </c>
      <c r="I63">
        <v>8</v>
      </c>
      <c r="J63" s="19">
        <f>WEEKNUM(tblRidershipData[[#This Row],[MeasurementDate]])</f>
        <v>38</v>
      </c>
      <c r="K63" s="19">
        <f>MONTH(tblRidershipData[[#This Row],[MeasurementDate]])</f>
        <v>9</v>
      </c>
    </row>
    <row r="64" spans="1:11" x14ac:dyDescent="0.25">
      <c r="A64" s="31">
        <v>43724</v>
      </c>
      <c r="B64" t="s">
        <v>2</v>
      </c>
      <c r="C64">
        <v>1740</v>
      </c>
      <c r="D64" t="s">
        <v>81</v>
      </c>
      <c r="E64" t="s">
        <v>111</v>
      </c>
      <c r="F64">
        <v>1</v>
      </c>
      <c r="G64" t="s">
        <v>70</v>
      </c>
      <c r="H64" t="s">
        <v>112</v>
      </c>
      <c r="I64">
        <v>9</v>
      </c>
      <c r="J64" s="19">
        <f>WEEKNUM(tblRidershipData[[#This Row],[MeasurementDate]])</f>
        <v>38</v>
      </c>
      <c r="K64" s="19">
        <f>MONTH(tblRidershipData[[#This Row],[MeasurementDate]])</f>
        <v>9</v>
      </c>
    </row>
    <row r="65" spans="1:11" x14ac:dyDescent="0.25">
      <c r="A65" s="31">
        <v>43724</v>
      </c>
      <c r="B65" t="s">
        <v>2</v>
      </c>
      <c r="C65">
        <v>1740</v>
      </c>
      <c r="D65" t="s">
        <v>81</v>
      </c>
      <c r="E65" t="s">
        <v>111</v>
      </c>
      <c r="F65">
        <v>1</v>
      </c>
      <c r="G65" t="s">
        <v>71</v>
      </c>
      <c r="H65" t="s">
        <v>112</v>
      </c>
      <c r="I65">
        <v>7</v>
      </c>
      <c r="J65" s="19">
        <f>WEEKNUM(tblRidershipData[[#This Row],[MeasurementDate]])</f>
        <v>38</v>
      </c>
      <c r="K65" s="19">
        <f>MONTH(tblRidershipData[[#This Row],[MeasurementDate]])</f>
        <v>9</v>
      </c>
    </row>
    <row r="66" spans="1:11" x14ac:dyDescent="0.25">
      <c r="A66" s="31">
        <v>43724</v>
      </c>
      <c r="B66" t="s">
        <v>2</v>
      </c>
      <c r="C66">
        <v>1740</v>
      </c>
      <c r="D66" t="s">
        <v>81</v>
      </c>
      <c r="E66" t="s">
        <v>111</v>
      </c>
      <c r="F66">
        <v>1</v>
      </c>
      <c r="G66" t="s">
        <v>76</v>
      </c>
      <c r="H66" t="s">
        <v>112</v>
      </c>
      <c r="I66">
        <v>3</v>
      </c>
      <c r="J66" s="19">
        <f>WEEKNUM(tblRidershipData[[#This Row],[MeasurementDate]])</f>
        <v>38</v>
      </c>
      <c r="K66" s="19">
        <f>MONTH(tblRidershipData[[#This Row],[MeasurementDate]])</f>
        <v>9</v>
      </c>
    </row>
    <row r="67" spans="1:11" x14ac:dyDescent="0.25">
      <c r="A67" s="31">
        <v>43724</v>
      </c>
      <c r="B67" t="s">
        <v>2</v>
      </c>
      <c r="C67">
        <v>1740</v>
      </c>
      <c r="D67" t="s">
        <v>81</v>
      </c>
      <c r="E67" t="s">
        <v>109</v>
      </c>
      <c r="F67">
        <v>1</v>
      </c>
      <c r="G67" t="s">
        <v>42</v>
      </c>
      <c r="H67" t="s">
        <v>112</v>
      </c>
      <c r="I67">
        <v>1</v>
      </c>
      <c r="J67" s="19">
        <f>WEEKNUM(tblRidershipData[[#This Row],[MeasurementDate]])</f>
        <v>38</v>
      </c>
      <c r="K67" s="19">
        <f>MONTH(tblRidershipData[[#This Row],[MeasurementDate]])</f>
        <v>9</v>
      </c>
    </row>
    <row r="68" spans="1:11" x14ac:dyDescent="0.25">
      <c r="A68" s="31">
        <v>43724</v>
      </c>
      <c r="B68" t="s">
        <v>2</v>
      </c>
      <c r="C68">
        <v>1740</v>
      </c>
      <c r="D68" t="s">
        <v>81</v>
      </c>
      <c r="E68" t="s">
        <v>109</v>
      </c>
      <c r="F68">
        <v>1</v>
      </c>
      <c r="G68" t="s">
        <v>46</v>
      </c>
      <c r="H68" t="s">
        <v>112</v>
      </c>
      <c r="I68">
        <v>12</v>
      </c>
      <c r="J68" s="19">
        <f>WEEKNUM(tblRidershipData[[#This Row],[MeasurementDate]])</f>
        <v>38</v>
      </c>
      <c r="K68" s="19">
        <f>MONTH(tblRidershipData[[#This Row],[MeasurementDate]])</f>
        <v>9</v>
      </c>
    </row>
    <row r="69" spans="1:11" x14ac:dyDescent="0.25">
      <c r="A69" s="31">
        <v>43724</v>
      </c>
      <c r="B69" t="s">
        <v>2</v>
      </c>
      <c r="C69">
        <v>1740</v>
      </c>
      <c r="D69" t="s">
        <v>81</v>
      </c>
      <c r="E69" t="s">
        <v>109</v>
      </c>
      <c r="F69">
        <v>1</v>
      </c>
      <c r="G69" t="s">
        <v>69</v>
      </c>
      <c r="H69" t="s">
        <v>112</v>
      </c>
      <c r="I69">
        <v>15</v>
      </c>
      <c r="J69" s="19">
        <f>WEEKNUM(tblRidershipData[[#This Row],[MeasurementDate]])</f>
        <v>38</v>
      </c>
      <c r="K69" s="19">
        <f>MONTH(tblRidershipData[[#This Row],[MeasurementDate]])</f>
        <v>9</v>
      </c>
    </row>
    <row r="70" spans="1:11" x14ac:dyDescent="0.25">
      <c r="A70" s="31">
        <v>43724</v>
      </c>
      <c r="B70" t="s">
        <v>2</v>
      </c>
      <c r="C70">
        <v>1740</v>
      </c>
      <c r="D70" t="s">
        <v>81</v>
      </c>
      <c r="E70" t="s">
        <v>109</v>
      </c>
      <c r="F70">
        <v>1</v>
      </c>
      <c r="G70" t="s">
        <v>70</v>
      </c>
      <c r="H70" t="s">
        <v>112</v>
      </c>
      <c r="I70">
        <v>22</v>
      </c>
      <c r="J70" s="19">
        <f>WEEKNUM(tblRidershipData[[#This Row],[MeasurementDate]])</f>
        <v>38</v>
      </c>
      <c r="K70" s="19">
        <f>MONTH(tblRidershipData[[#This Row],[MeasurementDate]])</f>
        <v>9</v>
      </c>
    </row>
    <row r="71" spans="1:11" x14ac:dyDescent="0.25">
      <c r="A71" s="31">
        <v>43724</v>
      </c>
      <c r="B71" t="s">
        <v>2</v>
      </c>
      <c r="C71">
        <v>2361</v>
      </c>
      <c r="D71" t="s">
        <v>81</v>
      </c>
      <c r="E71" t="s">
        <v>111</v>
      </c>
      <c r="F71">
        <v>1</v>
      </c>
      <c r="G71" t="s">
        <v>51</v>
      </c>
      <c r="H71" t="s">
        <v>110</v>
      </c>
      <c r="I71">
        <v>19</v>
      </c>
      <c r="J71" s="19">
        <f>WEEKNUM(tblRidershipData[[#This Row],[MeasurementDate]])</f>
        <v>38</v>
      </c>
      <c r="K71" s="19">
        <f>MONTH(tblRidershipData[[#This Row],[MeasurementDate]])</f>
        <v>9</v>
      </c>
    </row>
    <row r="72" spans="1:11" x14ac:dyDescent="0.25">
      <c r="A72" s="31">
        <v>43724</v>
      </c>
      <c r="B72" t="s">
        <v>2</v>
      </c>
      <c r="C72">
        <v>2361</v>
      </c>
      <c r="D72" t="s">
        <v>81</v>
      </c>
      <c r="E72" t="s">
        <v>111</v>
      </c>
      <c r="F72">
        <v>1</v>
      </c>
      <c r="G72" t="s">
        <v>59</v>
      </c>
      <c r="H72" t="s">
        <v>110</v>
      </c>
      <c r="I72">
        <v>37</v>
      </c>
      <c r="J72" s="19">
        <f>WEEKNUM(tblRidershipData[[#This Row],[MeasurementDate]])</f>
        <v>38</v>
      </c>
      <c r="K72" s="19">
        <f>MONTH(tblRidershipData[[#This Row],[MeasurementDate]])</f>
        <v>9</v>
      </c>
    </row>
    <row r="73" spans="1:11" x14ac:dyDescent="0.25">
      <c r="A73" s="31">
        <v>43724</v>
      </c>
      <c r="B73" t="s">
        <v>2</v>
      </c>
      <c r="C73">
        <v>2361</v>
      </c>
      <c r="D73" t="s">
        <v>81</v>
      </c>
      <c r="E73" t="s">
        <v>111</v>
      </c>
      <c r="F73">
        <v>1</v>
      </c>
      <c r="G73" t="s">
        <v>69</v>
      </c>
      <c r="H73" t="s">
        <v>110</v>
      </c>
      <c r="I73">
        <v>3</v>
      </c>
      <c r="J73" s="19">
        <f>WEEKNUM(tblRidershipData[[#This Row],[MeasurementDate]])</f>
        <v>38</v>
      </c>
      <c r="K73" s="19">
        <f>MONTH(tblRidershipData[[#This Row],[MeasurementDate]])</f>
        <v>9</v>
      </c>
    </row>
    <row r="74" spans="1:11" x14ac:dyDescent="0.25">
      <c r="A74" s="31">
        <v>43724</v>
      </c>
      <c r="B74" t="s">
        <v>2</v>
      </c>
      <c r="C74">
        <v>2361</v>
      </c>
      <c r="D74" t="s">
        <v>81</v>
      </c>
      <c r="E74" t="s">
        <v>111</v>
      </c>
      <c r="F74">
        <v>1</v>
      </c>
      <c r="G74" t="s">
        <v>75</v>
      </c>
      <c r="H74" t="s">
        <v>110</v>
      </c>
      <c r="I74">
        <v>25</v>
      </c>
      <c r="J74" s="19">
        <f>WEEKNUM(tblRidershipData[[#This Row],[MeasurementDate]])</f>
        <v>38</v>
      </c>
      <c r="K74" s="19">
        <f>MONTH(tblRidershipData[[#This Row],[MeasurementDate]])</f>
        <v>9</v>
      </c>
    </row>
    <row r="75" spans="1:11" x14ac:dyDescent="0.25">
      <c r="A75" s="31">
        <v>43724</v>
      </c>
      <c r="B75" t="s">
        <v>2</v>
      </c>
      <c r="C75">
        <v>2361</v>
      </c>
      <c r="D75" t="s">
        <v>81</v>
      </c>
      <c r="E75" t="s">
        <v>109</v>
      </c>
      <c r="F75">
        <v>1</v>
      </c>
      <c r="G75" t="s">
        <v>43</v>
      </c>
      <c r="H75" t="s">
        <v>110</v>
      </c>
      <c r="I75">
        <v>16</v>
      </c>
      <c r="J75" s="19">
        <f>WEEKNUM(tblRidershipData[[#This Row],[MeasurementDate]])</f>
        <v>38</v>
      </c>
      <c r="K75" s="19">
        <f>MONTH(tblRidershipData[[#This Row],[MeasurementDate]])</f>
        <v>9</v>
      </c>
    </row>
    <row r="76" spans="1:11" x14ac:dyDescent="0.25">
      <c r="A76" s="31">
        <v>43724</v>
      </c>
      <c r="B76" t="s">
        <v>2</v>
      </c>
      <c r="C76">
        <v>2361</v>
      </c>
      <c r="D76" t="s">
        <v>81</v>
      </c>
      <c r="E76" t="s">
        <v>109</v>
      </c>
      <c r="F76">
        <v>1</v>
      </c>
      <c r="G76" t="s">
        <v>46</v>
      </c>
      <c r="H76" t="s">
        <v>110</v>
      </c>
      <c r="I76">
        <v>1</v>
      </c>
      <c r="J76" s="19">
        <f>WEEKNUM(tblRidershipData[[#This Row],[MeasurementDate]])</f>
        <v>38</v>
      </c>
      <c r="K76" s="19">
        <f>MONTH(tblRidershipData[[#This Row],[MeasurementDate]])</f>
        <v>9</v>
      </c>
    </row>
    <row r="77" spans="1:11" x14ac:dyDescent="0.25">
      <c r="A77" s="31">
        <v>43724</v>
      </c>
      <c r="B77" t="s">
        <v>2</v>
      </c>
      <c r="C77">
        <v>2361</v>
      </c>
      <c r="D77" t="s">
        <v>81</v>
      </c>
      <c r="E77" t="s">
        <v>109</v>
      </c>
      <c r="F77">
        <v>1</v>
      </c>
      <c r="G77" t="s">
        <v>66</v>
      </c>
      <c r="H77" t="s">
        <v>110</v>
      </c>
      <c r="I77">
        <v>20</v>
      </c>
      <c r="J77" s="19">
        <f>WEEKNUM(tblRidershipData[[#This Row],[MeasurementDate]])</f>
        <v>38</v>
      </c>
      <c r="K77" s="19">
        <f>MONTH(tblRidershipData[[#This Row],[MeasurementDate]])</f>
        <v>9</v>
      </c>
    </row>
    <row r="78" spans="1:11" x14ac:dyDescent="0.25">
      <c r="A78" s="31">
        <v>43724</v>
      </c>
      <c r="B78" t="s">
        <v>2</v>
      </c>
      <c r="C78">
        <v>2361</v>
      </c>
      <c r="D78" t="s">
        <v>81</v>
      </c>
      <c r="E78" t="s">
        <v>109</v>
      </c>
      <c r="F78">
        <v>1</v>
      </c>
      <c r="G78" t="s">
        <v>69</v>
      </c>
      <c r="H78" t="s">
        <v>110</v>
      </c>
      <c r="I78">
        <v>15</v>
      </c>
      <c r="J78" s="19">
        <f>WEEKNUM(tblRidershipData[[#This Row],[MeasurementDate]])</f>
        <v>38</v>
      </c>
      <c r="K78" s="19">
        <f>MONTH(tblRidershipData[[#This Row],[MeasurementDate]])</f>
        <v>9</v>
      </c>
    </row>
    <row r="79" spans="1:11" x14ac:dyDescent="0.25">
      <c r="A79" s="31">
        <v>43724</v>
      </c>
      <c r="B79" t="s">
        <v>2</v>
      </c>
      <c r="C79">
        <v>2361</v>
      </c>
      <c r="D79" t="s">
        <v>81</v>
      </c>
      <c r="E79" t="s">
        <v>109</v>
      </c>
      <c r="F79">
        <v>1</v>
      </c>
      <c r="G79" t="s">
        <v>71</v>
      </c>
      <c r="H79" t="s">
        <v>110</v>
      </c>
      <c r="I79">
        <v>2</v>
      </c>
      <c r="J79" s="19">
        <f>WEEKNUM(tblRidershipData[[#This Row],[MeasurementDate]])</f>
        <v>38</v>
      </c>
      <c r="K79" s="19">
        <f>MONTH(tblRidershipData[[#This Row],[MeasurementDate]])</f>
        <v>9</v>
      </c>
    </row>
    <row r="80" spans="1:11" x14ac:dyDescent="0.25">
      <c r="A80" s="31">
        <v>43724</v>
      </c>
      <c r="B80" t="s">
        <v>2</v>
      </c>
      <c r="C80">
        <v>2361</v>
      </c>
      <c r="D80" t="s">
        <v>81</v>
      </c>
      <c r="E80" t="s">
        <v>109</v>
      </c>
      <c r="F80">
        <v>1</v>
      </c>
      <c r="G80" t="s">
        <v>73</v>
      </c>
      <c r="H80" t="s">
        <v>110</v>
      </c>
      <c r="I80">
        <v>1</v>
      </c>
      <c r="J80" s="19">
        <f>WEEKNUM(tblRidershipData[[#This Row],[MeasurementDate]])</f>
        <v>38</v>
      </c>
      <c r="K80" s="19">
        <f>MONTH(tblRidershipData[[#This Row],[MeasurementDate]])</f>
        <v>9</v>
      </c>
    </row>
    <row r="81" spans="1:11" x14ac:dyDescent="0.25">
      <c r="A81" s="31">
        <v>43724</v>
      </c>
      <c r="B81" t="s">
        <v>2</v>
      </c>
      <c r="C81">
        <v>2361</v>
      </c>
      <c r="D81" t="s">
        <v>81</v>
      </c>
      <c r="E81" t="s">
        <v>109</v>
      </c>
      <c r="F81">
        <v>1</v>
      </c>
      <c r="G81" t="s">
        <v>76</v>
      </c>
      <c r="H81" t="s">
        <v>110</v>
      </c>
      <c r="I81">
        <v>4</v>
      </c>
      <c r="J81" s="19">
        <f>WEEKNUM(tblRidershipData[[#This Row],[MeasurementDate]])</f>
        <v>38</v>
      </c>
      <c r="K81" s="19">
        <f>MONTH(tblRidershipData[[#This Row],[MeasurementDate]])</f>
        <v>9</v>
      </c>
    </row>
    <row r="82" spans="1:11" x14ac:dyDescent="0.25">
      <c r="A82" s="31">
        <v>43724</v>
      </c>
      <c r="B82" t="s">
        <v>2</v>
      </c>
      <c r="C82">
        <v>4501</v>
      </c>
      <c r="D82" t="s">
        <v>79</v>
      </c>
      <c r="E82" t="s">
        <v>111</v>
      </c>
      <c r="F82">
        <v>1</v>
      </c>
      <c r="G82" t="s">
        <v>43</v>
      </c>
      <c r="H82" t="s">
        <v>110</v>
      </c>
      <c r="I82">
        <v>9</v>
      </c>
      <c r="J82" s="19">
        <f>WEEKNUM(tblRidershipData[[#This Row],[MeasurementDate]])</f>
        <v>38</v>
      </c>
      <c r="K82" s="19">
        <f>MONTH(tblRidershipData[[#This Row],[MeasurementDate]])</f>
        <v>9</v>
      </c>
    </row>
    <row r="83" spans="1:11" x14ac:dyDescent="0.25">
      <c r="A83" s="31">
        <v>43724</v>
      </c>
      <c r="B83" t="s">
        <v>2</v>
      </c>
      <c r="C83">
        <v>4501</v>
      </c>
      <c r="D83" t="s">
        <v>79</v>
      </c>
      <c r="E83" t="s">
        <v>111</v>
      </c>
      <c r="F83">
        <v>1</v>
      </c>
      <c r="G83" t="s">
        <v>44</v>
      </c>
      <c r="H83" t="s">
        <v>110</v>
      </c>
      <c r="I83">
        <v>3</v>
      </c>
      <c r="J83" s="19">
        <f>WEEKNUM(tblRidershipData[[#This Row],[MeasurementDate]])</f>
        <v>38</v>
      </c>
      <c r="K83" s="19">
        <f>MONTH(tblRidershipData[[#This Row],[MeasurementDate]])</f>
        <v>9</v>
      </c>
    </row>
    <row r="84" spans="1:11" x14ac:dyDescent="0.25">
      <c r="A84" s="31">
        <v>43724</v>
      </c>
      <c r="B84" t="s">
        <v>2</v>
      </c>
      <c r="C84">
        <v>4501</v>
      </c>
      <c r="D84" t="s">
        <v>79</v>
      </c>
      <c r="E84" t="s">
        <v>111</v>
      </c>
      <c r="F84">
        <v>1</v>
      </c>
      <c r="G84" t="s">
        <v>46</v>
      </c>
      <c r="H84" t="s">
        <v>110</v>
      </c>
      <c r="I84">
        <v>5</v>
      </c>
      <c r="J84" s="19">
        <f>WEEKNUM(tblRidershipData[[#This Row],[MeasurementDate]])</f>
        <v>38</v>
      </c>
      <c r="K84" s="19">
        <f>MONTH(tblRidershipData[[#This Row],[MeasurementDate]])</f>
        <v>9</v>
      </c>
    </row>
    <row r="85" spans="1:11" x14ac:dyDescent="0.25">
      <c r="A85" s="31">
        <v>43724</v>
      </c>
      <c r="B85" t="s">
        <v>2</v>
      </c>
      <c r="C85">
        <v>4501</v>
      </c>
      <c r="D85" t="s">
        <v>79</v>
      </c>
      <c r="E85" t="s">
        <v>111</v>
      </c>
      <c r="F85">
        <v>1</v>
      </c>
      <c r="G85" t="s">
        <v>66</v>
      </c>
      <c r="H85" t="s">
        <v>110</v>
      </c>
      <c r="I85">
        <v>5</v>
      </c>
      <c r="J85" s="19">
        <f>WEEKNUM(tblRidershipData[[#This Row],[MeasurementDate]])</f>
        <v>38</v>
      </c>
      <c r="K85" s="19">
        <f>MONTH(tblRidershipData[[#This Row],[MeasurementDate]])</f>
        <v>9</v>
      </c>
    </row>
    <row r="86" spans="1:11" x14ac:dyDescent="0.25">
      <c r="A86" s="31">
        <v>43724</v>
      </c>
      <c r="B86" t="s">
        <v>2</v>
      </c>
      <c r="C86">
        <v>4501</v>
      </c>
      <c r="D86" t="s">
        <v>79</v>
      </c>
      <c r="E86" t="s">
        <v>111</v>
      </c>
      <c r="F86">
        <v>1</v>
      </c>
      <c r="G86" t="s">
        <v>70</v>
      </c>
      <c r="H86" t="s">
        <v>110</v>
      </c>
      <c r="I86">
        <v>1</v>
      </c>
      <c r="J86" s="19">
        <f>WEEKNUM(tblRidershipData[[#This Row],[MeasurementDate]])</f>
        <v>38</v>
      </c>
      <c r="K86" s="19">
        <f>MONTH(tblRidershipData[[#This Row],[MeasurementDate]])</f>
        <v>9</v>
      </c>
    </row>
    <row r="87" spans="1:11" x14ac:dyDescent="0.25">
      <c r="A87" s="31">
        <v>43724</v>
      </c>
      <c r="B87" t="s">
        <v>2</v>
      </c>
      <c r="C87">
        <v>4501</v>
      </c>
      <c r="D87" t="s">
        <v>79</v>
      </c>
      <c r="E87" t="s">
        <v>111</v>
      </c>
      <c r="F87">
        <v>1</v>
      </c>
      <c r="G87" t="s">
        <v>76</v>
      </c>
      <c r="H87" t="s">
        <v>110</v>
      </c>
      <c r="I87">
        <v>3</v>
      </c>
      <c r="J87" s="19">
        <f>WEEKNUM(tblRidershipData[[#This Row],[MeasurementDate]])</f>
        <v>38</v>
      </c>
      <c r="K87" s="19">
        <f>MONTH(tblRidershipData[[#This Row],[MeasurementDate]])</f>
        <v>9</v>
      </c>
    </row>
    <row r="88" spans="1:11" x14ac:dyDescent="0.25">
      <c r="A88" s="31">
        <v>43724</v>
      </c>
      <c r="B88" t="s">
        <v>2</v>
      </c>
      <c r="C88">
        <v>4501</v>
      </c>
      <c r="D88" t="s">
        <v>79</v>
      </c>
      <c r="E88" t="s">
        <v>109</v>
      </c>
      <c r="F88">
        <v>1</v>
      </c>
      <c r="G88" t="s">
        <v>52</v>
      </c>
      <c r="H88" t="s">
        <v>110</v>
      </c>
      <c r="I88">
        <v>34</v>
      </c>
      <c r="J88" s="19">
        <f>WEEKNUM(tblRidershipData[[#This Row],[MeasurementDate]])</f>
        <v>38</v>
      </c>
      <c r="K88" s="19">
        <f>MONTH(tblRidershipData[[#This Row],[MeasurementDate]])</f>
        <v>9</v>
      </c>
    </row>
    <row r="89" spans="1:11" x14ac:dyDescent="0.25">
      <c r="A89" s="31">
        <v>43724</v>
      </c>
      <c r="B89" t="s">
        <v>2</v>
      </c>
      <c r="C89">
        <v>4501</v>
      </c>
      <c r="D89" t="s">
        <v>79</v>
      </c>
      <c r="E89" t="s">
        <v>109</v>
      </c>
      <c r="F89">
        <v>1</v>
      </c>
      <c r="G89" t="s">
        <v>66</v>
      </c>
      <c r="H89" t="s">
        <v>110</v>
      </c>
      <c r="I89">
        <v>1</v>
      </c>
      <c r="J89" s="19">
        <f>WEEKNUM(tblRidershipData[[#This Row],[MeasurementDate]])</f>
        <v>38</v>
      </c>
      <c r="K89" s="19">
        <f>MONTH(tblRidershipData[[#This Row],[MeasurementDate]])</f>
        <v>9</v>
      </c>
    </row>
    <row r="90" spans="1:11" x14ac:dyDescent="0.25">
      <c r="A90" s="31">
        <v>43724</v>
      </c>
      <c r="B90" t="s">
        <v>2</v>
      </c>
      <c r="C90">
        <v>4501</v>
      </c>
      <c r="D90" t="s">
        <v>79</v>
      </c>
      <c r="E90" t="s">
        <v>109</v>
      </c>
      <c r="F90">
        <v>1</v>
      </c>
      <c r="G90" t="s">
        <v>70</v>
      </c>
      <c r="H90" t="s">
        <v>110</v>
      </c>
      <c r="I90">
        <v>6</v>
      </c>
      <c r="J90" s="19">
        <f>WEEKNUM(tblRidershipData[[#This Row],[MeasurementDate]])</f>
        <v>38</v>
      </c>
      <c r="K90" s="19">
        <f>MONTH(tblRidershipData[[#This Row],[MeasurementDate]])</f>
        <v>9</v>
      </c>
    </row>
    <row r="91" spans="1:11" x14ac:dyDescent="0.25">
      <c r="A91" s="31">
        <v>43724</v>
      </c>
      <c r="B91" t="s">
        <v>2</v>
      </c>
      <c r="C91">
        <v>4501</v>
      </c>
      <c r="D91" t="s">
        <v>79</v>
      </c>
      <c r="E91" t="s">
        <v>109</v>
      </c>
      <c r="F91">
        <v>1</v>
      </c>
      <c r="G91" t="s">
        <v>73</v>
      </c>
      <c r="H91" t="s">
        <v>110</v>
      </c>
      <c r="I91">
        <v>10</v>
      </c>
      <c r="J91" s="19">
        <f>WEEKNUM(tblRidershipData[[#This Row],[MeasurementDate]])</f>
        <v>38</v>
      </c>
      <c r="K91" s="19">
        <f>MONTH(tblRidershipData[[#This Row],[MeasurementDate]])</f>
        <v>9</v>
      </c>
    </row>
    <row r="92" spans="1:11" x14ac:dyDescent="0.25">
      <c r="A92" s="31">
        <v>43724</v>
      </c>
      <c r="B92" t="s">
        <v>2</v>
      </c>
      <c r="C92">
        <v>4501</v>
      </c>
      <c r="D92" t="s">
        <v>79</v>
      </c>
      <c r="E92" t="s">
        <v>109</v>
      </c>
      <c r="F92">
        <v>1</v>
      </c>
      <c r="G92" t="s">
        <v>74</v>
      </c>
      <c r="H92" t="s">
        <v>110</v>
      </c>
      <c r="I92">
        <v>26</v>
      </c>
      <c r="J92" s="19">
        <f>WEEKNUM(tblRidershipData[[#This Row],[MeasurementDate]])</f>
        <v>38</v>
      </c>
      <c r="K92" s="19">
        <f>MONTH(tblRidershipData[[#This Row],[MeasurementDate]])</f>
        <v>9</v>
      </c>
    </row>
    <row r="93" spans="1:11" x14ac:dyDescent="0.25">
      <c r="A93" s="31">
        <v>43724</v>
      </c>
      <c r="B93" t="s">
        <v>2</v>
      </c>
      <c r="C93">
        <v>4501</v>
      </c>
      <c r="D93" t="s">
        <v>79</v>
      </c>
      <c r="E93" t="s">
        <v>111</v>
      </c>
      <c r="F93">
        <v>1</v>
      </c>
      <c r="G93" t="s">
        <v>46</v>
      </c>
      <c r="H93" t="s">
        <v>112</v>
      </c>
      <c r="I93">
        <v>4</v>
      </c>
      <c r="J93" s="19">
        <f>WEEKNUM(tblRidershipData[[#This Row],[MeasurementDate]])</f>
        <v>38</v>
      </c>
      <c r="K93" s="19">
        <f>MONTH(tblRidershipData[[#This Row],[MeasurementDate]])</f>
        <v>9</v>
      </c>
    </row>
    <row r="94" spans="1:11" x14ac:dyDescent="0.25">
      <c r="A94" s="31">
        <v>43724</v>
      </c>
      <c r="B94" t="s">
        <v>2</v>
      </c>
      <c r="C94">
        <v>4501</v>
      </c>
      <c r="D94" t="s">
        <v>79</v>
      </c>
      <c r="E94" t="s">
        <v>111</v>
      </c>
      <c r="F94">
        <v>1</v>
      </c>
      <c r="G94" t="s">
        <v>55</v>
      </c>
      <c r="H94" t="s">
        <v>112</v>
      </c>
      <c r="I94">
        <v>3</v>
      </c>
      <c r="J94" s="19">
        <f>WEEKNUM(tblRidershipData[[#This Row],[MeasurementDate]])</f>
        <v>38</v>
      </c>
      <c r="K94" s="19">
        <f>MONTH(tblRidershipData[[#This Row],[MeasurementDate]])</f>
        <v>9</v>
      </c>
    </row>
    <row r="95" spans="1:11" x14ac:dyDescent="0.25">
      <c r="A95" s="31">
        <v>43724</v>
      </c>
      <c r="B95" t="s">
        <v>2</v>
      </c>
      <c r="C95">
        <v>4501</v>
      </c>
      <c r="D95" t="s">
        <v>79</v>
      </c>
      <c r="E95" t="s">
        <v>111</v>
      </c>
      <c r="F95">
        <v>1</v>
      </c>
      <c r="G95" t="s">
        <v>66</v>
      </c>
      <c r="H95" t="s">
        <v>112</v>
      </c>
      <c r="I95">
        <v>3</v>
      </c>
      <c r="J95" s="19">
        <f>WEEKNUM(tblRidershipData[[#This Row],[MeasurementDate]])</f>
        <v>38</v>
      </c>
      <c r="K95" s="19">
        <f>MONTH(tblRidershipData[[#This Row],[MeasurementDate]])</f>
        <v>9</v>
      </c>
    </row>
    <row r="96" spans="1:11" x14ac:dyDescent="0.25">
      <c r="A96" s="31">
        <v>43724</v>
      </c>
      <c r="B96" t="s">
        <v>2</v>
      </c>
      <c r="C96">
        <v>4501</v>
      </c>
      <c r="D96" t="s">
        <v>79</v>
      </c>
      <c r="E96" t="s">
        <v>111</v>
      </c>
      <c r="F96">
        <v>1</v>
      </c>
      <c r="G96" t="s">
        <v>69</v>
      </c>
      <c r="H96" t="s">
        <v>112</v>
      </c>
      <c r="I96">
        <v>11</v>
      </c>
      <c r="J96" s="19">
        <f>WEEKNUM(tblRidershipData[[#This Row],[MeasurementDate]])</f>
        <v>38</v>
      </c>
      <c r="K96" s="19">
        <f>MONTH(tblRidershipData[[#This Row],[MeasurementDate]])</f>
        <v>9</v>
      </c>
    </row>
    <row r="97" spans="1:11" x14ac:dyDescent="0.25">
      <c r="A97" s="31">
        <v>43724</v>
      </c>
      <c r="B97" t="s">
        <v>2</v>
      </c>
      <c r="C97">
        <v>4501</v>
      </c>
      <c r="D97" t="s">
        <v>79</v>
      </c>
      <c r="E97" t="s">
        <v>111</v>
      </c>
      <c r="F97">
        <v>1</v>
      </c>
      <c r="G97" t="s">
        <v>70</v>
      </c>
      <c r="H97" t="s">
        <v>112</v>
      </c>
      <c r="I97">
        <v>5</v>
      </c>
      <c r="J97" s="19">
        <f>WEEKNUM(tblRidershipData[[#This Row],[MeasurementDate]])</f>
        <v>38</v>
      </c>
      <c r="K97" s="19">
        <f>MONTH(tblRidershipData[[#This Row],[MeasurementDate]])</f>
        <v>9</v>
      </c>
    </row>
    <row r="98" spans="1:11" x14ac:dyDescent="0.25">
      <c r="A98" s="31">
        <v>43724</v>
      </c>
      <c r="B98" t="s">
        <v>2</v>
      </c>
      <c r="C98">
        <v>4501</v>
      </c>
      <c r="D98" t="s">
        <v>79</v>
      </c>
      <c r="E98" t="s">
        <v>109</v>
      </c>
      <c r="F98">
        <v>1</v>
      </c>
      <c r="G98" t="s">
        <v>43</v>
      </c>
      <c r="H98" t="s">
        <v>112</v>
      </c>
      <c r="I98">
        <v>7</v>
      </c>
      <c r="J98" s="19">
        <f>WEEKNUM(tblRidershipData[[#This Row],[MeasurementDate]])</f>
        <v>38</v>
      </c>
      <c r="K98" s="19">
        <f>MONTH(tblRidershipData[[#This Row],[MeasurementDate]])</f>
        <v>9</v>
      </c>
    </row>
    <row r="99" spans="1:11" x14ac:dyDescent="0.25">
      <c r="A99" s="31">
        <v>43724</v>
      </c>
      <c r="B99" t="s">
        <v>2</v>
      </c>
      <c r="C99">
        <v>4501</v>
      </c>
      <c r="D99" t="s">
        <v>79</v>
      </c>
      <c r="E99" t="s">
        <v>109</v>
      </c>
      <c r="F99">
        <v>1</v>
      </c>
      <c r="G99" t="s">
        <v>44</v>
      </c>
      <c r="H99" t="s">
        <v>112</v>
      </c>
      <c r="I99">
        <v>9</v>
      </c>
      <c r="J99" s="19">
        <f>WEEKNUM(tblRidershipData[[#This Row],[MeasurementDate]])</f>
        <v>38</v>
      </c>
      <c r="K99" s="19">
        <f>MONTH(tblRidershipData[[#This Row],[MeasurementDate]])</f>
        <v>9</v>
      </c>
    </row>
    <row r="100" spans="1:11" x14ac:dyDescent="0.25">
      <c r="A100" s="31">
        <v>43724</v>
      </c>
      <c r="B100" t="s">
        <v>2</v>
      </c>
      <c r="C100">
        <v>4501</v>
      </c>
      <c r="D100" t="s">
        <v>79</v>
      </c>
      <c r="E100" t="s">
        <v>109</v>
      </c>
      <c r="F100">
        <v>1</v>
      </c>
      <c r="G100" t="s">
        <v>46</v>
      </c>
      <c r="H100" t="s">
        <v>112</v>
      </c>
      <c r="I100">
        <v>4</v>
      </c>
      <c r="J100" s="19">
        <f>WEEKNUM(tblRidershipData[[#This Row],[MeasurementDate]])</f>
        <v>38</v>
      </c>
      <c r="K100" s="19">
        <f>MONTH(tblRidershipData[[#This Row],[MeasurementDate]])</f>
        <v>9</v>
      </c>
    </row>
    <row r="101" spans="1:11" x14ac:dyDescent="0.25">
      <c r="A101" s="31">
        <v>43724</v>
      </c>
      <c r="B101" t="s">
        <v>2</v>
      </c>
      <c r="C101">
        <v>4501</v>
      </c>
      <c r="D101" t="s">
        <v>79</v>
      </c>
      <c r="E101" t="s">
        <v>109</v>
      </c>
      <c r="F101">
        <v>1</v>
      </c>
      <c r="G101" t="s">
        <v>55</v>
      </c>
      <c r="H101" t="s">
        <v>112</v>
      </c>
      <c r="I101">
        <v>3</v>
      </c>
      <c r="J101" s="19">
        <f>WEEKNUM(tblRidershipData[[#This Row],[MeasurementDate]])</f>
        <v>38</v>
      </c>
      <c r="K101" s="19">
        <f>MONTH(tblRidershipData[[#This Row],[MeasurementDate]])</f>
        <v>9</v>
      </c>
    </row>
    <row r="102" spans="1:11" x14ac:dyDescent="0.25">
      <c r="A102" s="31">
        <v>43724</v>
      </c>
      <c r="B102" t="s">
        <v>2</v>
      </c>
      <c r="C102">
        <v>4501</v>
      </c>
      <c r="D102" t="s">
        <v>79</v>
      </c>
      <c r="E102" t="s">
        <v>109</v>
      </c>
      <c r="F102">
        <v>1</v>
      </c>
      <c r="G102" t="s">
        <v>57</v>
      </c>
      <c r="H102" t="s">
        <v>112</v>
      </c>
      <c r="I102">
        <v>4</v>
      </c>
      <c r="J102" s="19">
        <f>WEEKNUM(tblRidershipData[[#This Row],[MeasurementDate]])</f>
        <v>38</v>
      </c>
      <c r="K102" s="19">
        <f>MONTH(tblRidershipData[[#This Row],[MeasurementDate]])</f>
        <v>9</v>
      </c>
    </row>
    <row r="103" spans="1:11" x14ac:dyDescent="0.25">
      <c r="A103" s="31">
        <v>43724</v>
      </c>
      <c r="B103" t="s">
        <v>2</v>
      </c>
      <c r="C103">
        <v>4501</v>
      </c>
      <c r="D103" t="s">
        <v>79</v>
      </c>
      <c r="E103" t="s">
        <v>109</v>
      </c>
      <c r="F103">
        <v>1</v>
      </c>
      <c r="G103" t="s">
        <v>66</v>
      </c>
      <c r="H103" t="s">
        <v>112</v>
      </c>
      <c r="I103">
        <v>8</v>
      </c>
      <c r="J103" s="19">
        <f>WEEKNUM(tblRidershipData[[#This Row],[MeasurementDate]])</f>
        <v>38</v>
      </c>
      <c r="K103" s="19">
        <f>MONTH(tblRidershipData[[#This Row],[MeasurementDate]])</f>
        <v>9</v>
      </c>
    </row>
    <row r="104" spans="1:11" x14ac:dyDescent="0.25">
      <c r="A104" s="31">
        <v>43724</v>
      </c>
      <c r="B104" t="s">
        <v>2</v>
      </c>
      <c r="C104">
        <v>4501</v>
      </c>
      <c r="D104" t="s">
        <v>79</v>
      </c>
      <c r="E104" t="s">
        <v>109</v>
      </c>
      <c r="F104">
        <v>1</v>
      </c>
      <c r="G104" t="s">
        <v>69</v>
      </c>
      <c r="H104" t="s">
        <v>112</v>
      </c>
      <c r="I104">
        <v>10</v>
      </c>
      <c r="J104" s="19">
        <f>WEEKNUM(tblRidershipData[[#This Row],[MeasurementDate]])</f>
        <v>38</v>
      </c>
      <c r="K104" s="19">
        <f>MONTH(tblRidershipData[[#This Row],[MeasurementDate]])</f>
        <v>9</v>
      </c>
    </row>
    <row r="105" spans="1:11" x14ac:dyDescent="0.25">
      <c r="A105" s="31">
        <v>43724</v>
      </c>
      <c r="B105" t="s">
        <v>2</v>
      </c>
      <c r="C105">
        <v>4501</v>
      </c>
      <c r="D105" t="s">
        <v>79</v>
      </c>
      <c r="E105" t="s">
        <v>109</v>
      </c>
      <c r="F105">
        <v>1</v>
      </c>
      <c r="G105" t="s">
        <v>70</v>
      </c>
      <c r="H105" t="s">
        <v>112</v>
      </c>
      <c r="I105">
        <v>3</v>
      </c>
      <c r="J105" s="19">
        <f>WEEKNUM(tblRidershipData[[#This Row],[MeasurementDate]])</f>
        <v>38</v>
      </c>
      <c r="K105" s="19">
        <f>MONTH(tblRidershipData[[#This Row],[MeasurementDate]])</f>
        <v>9</v>
      </c>
    </row>
    <row r="106" spans="1:11" x14ac:dyDescent="0.25">
      <c r="A106" s="31">
        <v>43724</v>
      </c>
      <c r="B106" t="s">
        <v>2</v>
      </c>
      <c r="C106">
        <v>4501</v>
      </c>
      <c r="D106" t="s">
        <v>79</v>
      </c>
      <c r="E106" t="s">
        <v>109</v>
      </c>
      <c r="F106">
        <v>1</v>
      </c>
      <c r="G106" t="s">
        <v>71</v>
      </c>
      <c r="H106" t="s">
        <v>112</v>
      </c>
      <c r="I106">
        <v>24</v>
      </c>
      <c r="J106" s="19">
        <f>WEEKNUM(tblRidershipData[[#This Row],[MeasurementDate]])</f>
        <v>38</v>
      </c>
      <c r="K106" s="19">
        <f>MONTH(tblRidershipData[[#This Row],[MeasurementDate]])</f>
        <v>9</v>
      </c>
    </row>
    <row r="107" spans="1:11" x14ac:dyDescent="0.25">
      <c r="A107" s="31">
        <v>43724</v>
      </c>
      <c r="B107" t="s">
        <v>2</v>
      </c>
      <c r="C107">
        <v>4501</v>
      </c>
      <c r="D107" t="s">
        <v>79</v>
      </c>
      <c r="E107" t="s">
        <v>109</v>
      </c>
      <c r="F107">
        <v>1</v>
      </c>
      <c r="G107" t="s">
        <v>76</v>
      </c>
      <c r="H107" t="s">
        <v>112</v>
      </c>
      <c r="I107">
        <v>5</v>
      </c>
      <c r="J107" s="19">
        <f>WEEKNUM(tblRidershipData[[#This Row],[MeasurementDate]])</f>
        <v>38</v>
      </c>
      <c r="K107" s="19">
        <f>MONTH(tblRidershipData[[#This Row],[MeasurementDate]])</f>
        <v>9</v>
      </c>
    </row>
    <row r="108" spans="1:11" x14ac:dyDescent="0.25">
      <c r="A108" s="31">
        <v>43724</v>
      </c>
      <c r="B108" t="s">
        <v>2</v>
      </c>
      <c r="C108">
        <v>4502</v>
      </c>
      <c r="D108" t="s">
        <v>88</v>
      </c>
      <c r="E108" t="s">
        <v>111</v>
      </c>
      <c r="F108">
        <v>1</v>
      </c>
      <c r="G108" t="s">
        <v>43</v>
      </c>
      <c r="H108" t="s">
        <v>110</v>
      </c>
      <c r="I108">
        <v>7</v>
      </c>
      <c r="J108" s="19">
        <f>WEEKNUM(tblRidershipData[[#This Row],[MeasurementDate]])</f>
        <v>38</v>
      </c>
      <c r="K108" s="19">
        <f>MONTH(tblRidershipData[[#This Row],[MeasurementDate]])</f>
        <v>9</v>
      </c>
    </row>
    <row r="109" spans="1:11" x14ac:dyDescent="0.25">
      <c r="A109" s="31">
        <v>43724</v>
      </c>
      <c r="B109" t="s">
        <v>2</v>
      </c>
      <c r="C109">
        <v>4502</v>
      </c>
      <c r="D109" t="s">
        <v>88</v>
      </c>
      <c r="E109" t="s">
        <v>111</v>
      </c>
      <c r="F109">
        <v>1</v>
      </c>
      <c r="G109" t="s">
        <v>46</v>
      </c>
      <c r="H109" t="s">
        <v>110</v>
      </c>
      <c r="I109">
        <v>9</v>
      </c>
      <c r="J109" s="19">
        <f>WEEKNUM(tblRidershipData[[#This Row],[MeasurementDate]])</f>
        <v>38</v>
      </c>
      <c r="K109" s="19">
        <f>MONTH(tblRidershipData[[#This Row],[MeasurementDate]])</f>
        <v>9</v>
      </c>
    </row>
    <row r="110" spans="1:11" x14ac:dyDescent="0.25">
      <c r="A110" s="31">
        <v>43724</v>
      </c>
      <c r="B110" t="s">
        <v>2</v>
      </c>
      <c r="C110">
        <v>4502</v>
      </c>
      <c r="D110" t="s">
        <v>88</v>
      </c>
      <c r="E110" t="s">
        <v>111</v>
      </c>
      <c r="F110">
        <v>1</v>
      </c>
      <c r="G110" t="s">
        <v>66</v>
      </c>
      <c r="H110" t="s">
        <v>110</v>
      </c>
      <c r="I110">
        <v>5</v>
      </c>
      <c r="J110" s="19">
        <f>WEEKNUM(tblRidershipData[[#This Row],[MeasurementDate]])</f>
        <v>38</v>
      </c>
      <c r="K110" s="19">
        <f>MONTH(tblRidershipData[[#This Row],[MeasurementDate]])</f>
        <v>9</v>
      </c>
    </row>
    <row r="111" spans="1:11" x14ac:dyDescent="0.25">
      <c r="A111" s="31">
        <v>43724</v>
      </c>
      <c r="B111" t="s">
        <v>2</v>
      </c>
      <c r="C111">
        <v>4502</v>
      </c>
      <c r="D111" t="s">
        <v>88</v>
      </c>
      <c r="E111" t="s">
        <v>111</v>
      </c>
      <c r="F111">
        <v>1</v>
      </c>
      <c r="G111" t="s">
        <v>69</v>
      </c>
      <c r="H111" t="s">
        <v>110</v>
      </c>
      <c r="I111">
        <v>5</v>
      </c>
      <c r="J111" s="19">
        <f>WEEKNUM(tblRidershipData[[#This Row],[MeasurementDate]])</f>
        <v>38</v>
      </c>
      <c r="K111" s="19">
        <f>MONTH(tblRidershipData[[#This Row],[MeasurementDate]])</f>
        <v>9</v>
      </c>
    </row>
    <row r="112" spans="1:11" x14ac:dyDescent="0.25">
      <c r="A112" s="31">
        <v>43724</v>
      </c>
      <c r="B112" t="s">
        <v>2</v>
      </c>
      <c r="C112">
        <v>4502</v>
      </c>
      <c r="D112" t="s">
        <v>88</v>
      </c>
      <c r="E112" t="s">
        <v>111</v>
      </c>
      <c r="F112">
        <v>1</v>
      </c>
      <c r="G112" t="s">
        <v>70</v>
      </c>
      <c r="H112" t="s">
        <v>110</v>
      </c>
      <c r="I112">
        <v>2</v>
      </c>
      <c r="J112" s="19">
        <f>WEEKNUM(tblRidershipData[[#This Row],[MeasurementDate]])</f>
        <v>38</v>
      </c>
      <c r="K112" s="19">
        <f>MONTH(tblRidershipData[[#This Row],[MeasurementDate]])</f>
        <v>9</v>
      </c>
    </row>
    <row r="113" spans="1:11" x14ac:dyDescent="0.25">
      <c r="A113" s="31">
        <v>43724</v>
      </c>
      <c r="B113" t="s">
        <v>2</v>
      </c>
      <c r="C113">
        <v>4502</v>
      </c>
      <c r="D113" t="s">
        <v>88</v>
      </c>
      <c r="E113" t="s">
        <v>111</v>
      </c>
      <c r="F113">
        <v>1</v>
      </c>
      <c r="G113" t="s">
        <v>71</v>
      </c>
      <c r="H113" t="s">
        <v>110</v>
      </c>
      <c r="I113">
        <v>5</v>
      </c>
      <c r="J113" s="19">
        <f>WEEKNUM(tblRidershipData[[#This Row],[MeasurementDate]])</f>
        <v>38</v>
      </c>
      <c r="K113" s="19">
        <f>MONTH(tblRidershipData[[#This Row],[MeasurementDate]])</f>
        <v>9</v>
      </c>
    </row>
    <row r="114" spans="1:11" x14ac:dyDescent="0.25">
      <c r="A114" s="31">
        <v>43724</v>
      </c>
      <c r="B114" t="s">
        <v>2</v>
      </c>
      <c r="C114">
        <v>4502</v>
      </c>
      <c r="D114" t="s">
        <v>88</v>
      </c>
      <c r="E114" t="s">
        <v>109</v>
      </c>
      <c r="F114">
        <v>1</v>
      </c>
      <c r="G114" t="s">
        <v>51</v>
      </c>
      <c r="H114" t="s">
        <v>110</v>
      </c>
      <c r="I114">
        <v>25</v>
      </c>
      <c r="J114" s="19">
        <f>WEEKNUM(tblRidershipData[[#This Row],[MeasurementDate]])</f>
        <v>38</v>
      </c>
      <c r="K114" s="19">
        <f>MONTH(tblRidershipData[[#This Row],[MeasurementDate]])</f>
        <v>9</v>
      </c>
    </row>
    <row r="115" spans="1:11" x14ac:dyDescent="0.25">
      <c r="A115" s="31">
        <v>43724</v>
      </c>
      <c r="B115" t="s">
        <v>2</v>
      </c>
      <c r="C115">
        <v>4502</v>
      </c>
      <c r="D115" t="s">
        <v>88</v>
      </c>
      <c r="E115" t="s">
        <v>109</v>
      </c>
      <c r="F115">
        <v>1</v>
      </c>
      <c r="G115" t="s">
        <v>52</v>
      </c>
      <c r="H115" t="s">
        <v>110</v>
      </c>
      <c r="I115">
        <v>3</v>
      </c>
      <c r="J115" s="19">
        <f>WEEKNUM(tblRidershipData[[#This Row],[MeasurementDate]])</f>
        <v>38</v>
      </c>
      <c r="K115" s="19">
        <f>MONTH(tblRidershipData[[#This Row],[MeasurementDate]])</f>
        <v>9</v>
      </c>
    </row>
    <row r="116" spans="1:11" x14ac:dyDescent="0.25">
      <c r="A116" s="31">
        <v>43724</v>
      </c>
      <c r="B116" t="s">
        <v>2</v>
      </c>
      <c r="C116">
        <v>4502</v>
      </c>
      <c r="D116" t="s">
        <v>88</v>
      </c>
      <c r="E116" t="s">
        <v>109</v>
      </c>
      <c r="F116">
        <v>1</v>
      </c>
      <c r="G116" t="s">
        <v>59</v>
      </c>
      <c r="H116" t="s">
        <v>110</v>
      </c>
      <c r="I116">
        <v>13</v>
      </c>
      <c r="J116" s="19">
        <f>WEEKNUM(tblRidershipData[[#This Row],[MeasurementDate]])</f>
        <v>38</v>
      </c>
      <c r="K116" s="19">
        <f>MONTH(tblRidershipData[[#This Row],[MeasurementDate]])</f>
        <v>9</v>
      </c>
    </row>
    <row r="117" spans="1:11" x14ac:dyDescent="0.25">
      <c r="A117" s="31">
        <v>43724</v>
      </c>
      <c r="B117" t="s">
        <v>2</v>
      </c>
      <c r="C117">
        <v>4502</v>
      </c>
      <c r="D117" t="s">
        <v>88</v>
      </c>
      <c r="E117" t="s">
        <v>109</v>
      </c>
      <c r="F117">
        <v>1</v>
      </c>
      <c r="G117" t="s">
        <v>67</v>
      </c>
      <c r="H117" t="s">
        <v>110</v>
      </c>
      <c r="I117">
        <v>32</v>
      </c>
      <c r="J117" s="19">
        <f>WEEKNUM(tblRidershipData[[#This Row],[MeasurementDate]])</f>
        <v>38</v>
      </c>
      <c r="K117" s="19">
        <f>MONTH(tblRidershipData[[#This Row],[MeasurementDate]])</f>
        <v>9</v>
      </c>
    </row>
    <row r="118" spans="1:11" x14ac:dyDescent="0.25">
      <c r="A118" s="31">
        <v>43724</v>
      </c>
      <c r="B118" t="s">
        <v>2</v>
      </c>
      <c r="C118">
        <v>4502</v>
      </c>
      <c r="D118" t="s">
        <v>88</v>
      </c>
      <c r="E118" t="s">
        <v>109</v>
      </c>
      <c r="F118">
        <v>1</v>
      </c>
      <c r="G118" t="s">
        <v>74</v>
      </c>
      <c r="H118" t="s">
        <v>110</v>
      </c>
      <c r="I118">
        <v>2</v>
      </c>
      <c r="J118" s="19">
        <f>WEEKNUM(tblRidershipData[[#This Row],[MeasurementDate]])</f>
        <v>38</v>
      </c>
      <c r="K118" s="19">
        <f>MONTH(tblRidershipData[[#This Row],[MeasurementDate]])</f>
        <v>9</v>
      </c>
    </row>
    <row r="119" spans="1:11" x14ac:dyDescent="0.25">
      <c r="A119" s="31">
        <v>43724</v>
      </c>
      <c r="B119" t="s">
        <v>2</v>
      </c>
      <c r="C119">
        <v>4502</v>
      </c>
      <c r="D119" t="s">
        <v>88</v>
      </c>
      <c r="E119" t="s">
        <v>111</v>
      </c>
      <c r="F119">
        <v>1</v>
      </c>
      <c r="G119" t="s">
        <v>54</v>
      </c>
      <c r="H119" t="s">
        <v>112</v>
      </c>
      <c r="I119">
        <v>12</v>
      </c>
      <c r="J119" s="19">
        <f>WEEKNUM(tblRidershipData[[#This Row],[MeasurementDate]])</f>
        <v>38</v>
      </c>
      <c r="K119" s="19">
        <f>MONTH(tblRidershipData[[#This Row],[MeasurementDate]])</f>
        <v>9</v>
      </c>
    </row>
    <row r="120" spans="1:11" x14ac:dyDescent="0.25">
      <c r="A120" s="31">
        <v>43724</v>
      </c>
      <c r="B120" t="s">
        <v>2</v>
      </c>
      <c r="C120">
        <v>4502</v>
      </c>
      <c r="D120" t="s">
        <v>88</v>
      </c>
      <c r="E120" t="s">
        <v>111</v>
      </c>
      <c r="F120">
        <v>1</v>
      </c>
      <c r="G120" t="s">
        <v>61</v>
      </c>
      <c r="H120" t="s">
        <v>112</v>
      </c>
      <c r="I120">
        <v>10</v>
      </c>
      <c r="J120" s="19">
        <f>WEEKNUM(tblRidershipData[[#This Row],[MeasurementDate]])</f>
        <v>38</v>
      </c>
      <c r="K120" s="19">
        <f>MONTH(tblRidershipData[[#This Row],[MeasurementDate]])</f>
        <v>9</v>
      </c>
    </row>
    <row r="121" spans="1:11" x14ac:dyDescent="0.25">
      <c r="A121" s="31">
        <v>43724</v>
      </c>
      <c r="B121" t="s">
        <v>2</v>
      </c>
      <c r="C121">
        <v>4502</v>
      </c>
      <c r="D121" t="s">
        <v>88</v>
      </c>
      <c r="E121" t="s">
        <v>111</v>
      </c>
      <c r="F121">
        <v>1</v>
      </c>
      <c r="G121" t="s">
        <v>64</v>
      </c>
      <c r="H121" t="s">
        <v>112</v>
      </c>
      <c r="I121">
        <v>2</v>
      </c>
      <c r="J121" s="19">
        <f>WEEKNUM(tblRidershipData[[#This Row],[MeasurementDate]])</f>
        <v>38</v>
      </c>
      <c r="K121" s="19">
        <f>MONTH(tblRidershipData[[#This Row],[MeasurementDate]])</f>
        <v>9</v>
      </c>
    </row>
    <row r="122" spans="1:11" x14ac:dyDescent="0.25">
      <c r="A122" s="31">
        <v>43724</v>
      </c>
      <c r="B122" t="s">
        <v>2</v>
      </c>
      <c r="C122">
        <v>4502</v>
      </c>
      <c r="D122" t="s">
        <v>88</v>
      </c>
      <c r="E122" t="s">
        <v>111</v>
      </c>
      <c r="F122">
        <v>1</v>
      </c>
      <c r="G122" t="s">
        <v>70</v>
      </c>
      <c r="H122" t="s">
        <v>112</v>
      </c>
      <c r="I122">
        <v>9</v>
      </c>
      <c r="J122" s="19">
        <f>WEEKNUM(tblRidershipData[[#This Row],[MeasurementDate]])</f>
        <v>38</v>
      </c>
      <c r="K122" s="19">
        <f>MONTH(tblRidershipData[[#This Row],[MeasurementDate]])</f>
        <v>9</v>
      </c>
    </row>
    <row r="123" spans="1:11" x14ac:dyDescent="0.25">
      <c r="A123" s="31">
        <v>43724</v>
      </c>
      <c r="B123" t="s">
        <v>2</v>
      </c>
      <c r="C123">
        <v>4502</v>
      </c>
      <c r="D123" t="s">
        <v>88</v>
      </c>
      <c r="E123" t="s">
        <v>109</v>
      </c>
      <c r="F123">
        <v>1</v>
      </c>
      <c r="G123" t="s">
        <v>43</v>
      </c>
      <c r="H123" t="s">
        <v>112</v>
      </c>
      <c r="I123">
        <v>32</v>
      </c>
      <c r="J123" s="19">
        <f>WEEKNUM(tblRidershipData[[#This Row],[MeasurementDate]])</f>
        <v>38</v>
      </c>
      <c r="K123" s="19">
        <f>MONTH(tblRidershipData[[#This Row],[MeasurementDate]])</f>
        <v>9</v>
      </c>
    </row>
    <row r="124" spans="1:11" x14ac:dyDescent="0.25">
      <c r="A124" s="31">
        <v>43724</v>
      </c>
      <c r="B124" t="s">
        <v>2</v>
      </c>
      <c r="C124">
        <v>4502</v>
      </c>
      <c r="D124" t="s">
        <v>88</v>
      </c>
      <c r="E124" t="s">
        <v>109</v>
      </c>
      <c r="F124">
        <v>1</v>
      </c>
      <c r="G124" t="s">
        <v>44</v>
      </c>
      <c r="H124" t="s">
        <v>112</v>
      </c>
      <c r="I124">
        <v>14</v>
      </c>
      <c r="J124" s="19">
        <f>WEEKNUM(tblRidershipData[[#This Row],[MeasurementDate]])</f>
        <v>38</v>
      </c>
      <c r="K124" s="19">
        <f>MONTH(tblRidershipData[[#This Row],[MeasurementDate]])</f>
        <v>9</v>
      </c>
    </row>
    <row r="125" spans="1:11" x14ac:dyDescent="0.25">
      <c r="A125" s="31">
        <v>43724</v>
      </c>
      <c r="B125" t="s">
        <v>2</v>
      </c>
      <c r="C125">
        <v>4502</v>
      </c>
      <c r="D125" t="s">
        <v>88</v>
      </c>
      <c r="E125" t="s">
        <v>109</v>
      </c>
      <c r="F125">
        <v>1</v>
      </c>
      <c r="G125" t="s">
        <v>46</v>
      </c>
      <c r="H125" t="s">
        <v>112</v>
      </c>
      <c r="I125">
        <v>1</v>
      </c>
      <c r="J125" s="19">
        <f>WEEKNUM(tblRidershipData[[#This Row],[MeasurementDate]])</f>
        <v>38</v>
      </c>
      <c r="K125" s="19">
        <f>MONTH(tblRidershipData[[#This Row],[MeasurementDate]])</f>
        <v>9</v>
      </c>
    </row>
    <row r="126" spans="1:11" x14ac:dyDescent="0.25">
      <c r="A126" s="31">
        <v>43724</v>
      </c>
      <c r="B126" t="s">
        <v>2</v>
      </c>
      <c r="C126">
        <v>4502</v>
      </c>
      <c r="D126" t="s">
        <v>88</v>
      </c>
      <c r="E126" t="s">
        <v>109</v>
      </c>
      <c r="F126">
        <v>1</v>
      </c>
      <c r="G126" t="s">
        <v>55</v>
      </c>
      <c r="H126" t="s">
        <v>112</v>
      </c>
      <c r="I126">
        <v>5</v>
      </c>
      <c r="J126" s="19">
        <f>WEEKNUM(tblRidershipData[[#This Row],[MeasurementDate]])</f>
        <v>38</v>
      </c>
      <c r="K126" s="19">
        <f>MONTH(tblRidershipData[[#This Row],[MeasurementDate]])</f>
        <v>9</v>
      </c>
    </row>
    <row r="127" spans="1:11" x14ac:dyDescent="0.25">
      <c r="A127" s="31">
        <v>43724</v>
      </c>
      <c r="B127" t="s">
        <v>2</v>
      </c>
      <c r="C127">
        <v>4502</v>
      </c>
      <c r="D127" t="s">
        <v>88</v>
      </c>
      <c r="E127" t="s">
        <v>109</v>
      </c>
      <c r="F127">
        <v>1</v>
      </c>
      <c r="G127" t="s">
        <v>59</v>
      </c>
      <c r="H127" t="s">
        <v>112</v>
      </c>
      <c r="I127">
        <v>4</v>
      </c>
      <c r="J127" s="19">
        <f>WEEKNUM(tblRidershipData[[#This Row],[MeasurementDate]])</f>
        <v>38</v>
      </c>
      <c r="K127" s="19">
        <f>MONTH(tblRidershipData[[#This Row],[MeasurementDate]])</f>
        <v>9</v>
      </c>
    </row>
    <row r="128" spans="1:11" x14ac:dyDescent="0.25">
      <c r="A128" s="31">
        <v>43724</v>
      </c>
      <c r="B128" t="s">
        <v>2</v>
      </c>
      <c r="C128">
        <v>4502</v>
      </c>
      <c r="D128" t="s">
        <v>88</v>
      </c>
      <c r="E128" t="s">
        <v>109</v>
      </c>
      <c r="F128">
        <v>1</v>
      </c>
      <c r="G128" t="s">
        <v>60</v>
      </c>
      <c r="H128" t="s">
        <v>112</v>
      </c>
      <c r="I128">
        <v>2</v>
      </c>
      <c r="J128" s="19">
        <f>WEEKNUM(tblRidershipData[[#This Row],[MeasurementDate]])</f>
        <v>38</v>
      </c>
      <c r="K128" s="19">
        <f>MONTH(tblRidershipData[[#This Row],[MeasurementDate]])</f>
        <v>9</v>
      </c>
    </row>
    <row r="129" spans="1:11" x14ac:dyDescent="0.25">
      <c r="A129" s="31">
        <v>43724</v>
      </c>
      <c r="B129" t="s">
        <v>2</v>
      </c>
      <c r="C129">
        <v>4502</v>
      </c>
      <c r="D129" t="s">
        <v>88</v>
      </c>
      <c r="E129" t="s">
        <v>109</v>
      </c>
      <c r="F129">
        <v>1</v>
      </c>
      <c r="G129" t="s">
        <v>69</v>
      </c>
      <c r="H129" t="s">
        <v>112</v>
      </c>
      <c r="I129">
        <v>3</v>
      </c>
      <c r="J129" s="19">
        <f>WEEKNUM(tblRidershipData[[#This Row],[MeasurementDate]])</f>
        <v>38</v>
      </c>
      <c r="K129" s="19">
        <f>MONTH(tblRidershipData[[#This Row],[MeasurementDate]])</f>
        <v>9</v>
      </c>
    </row>
    <row r="130" spans="1:11" x14ac:dyDescent="0.25">
      <c r="A130" s="31">
        <v>43724</v>
      </c>
      <c r="B130" t="s">
        <v>2</v>
      </c>
      <c r="C130">
        <v>4502</v>
      </c>
      <c r="D130" t="s">
        <v>88</v>
      </c>
      <c r="E130" t="s">
        <v>109</v>
      </c>
      <c r="F130">
        <v>1</v>
      </c>
      <c r="G130" t="s">
        <v>70</v>
      </c>
      <c r="H130" t="s">
        <v>112</v>
      </c>
      <c r="I130">
        <v>2</v>
      </c>
      <c r="J130" s="19">
        <f>WEEKNUM(tblRidershipData[[#This Row],[MeasurementDate]])</f>
        <v>38</v>
      </c>
      <c r="K130" s="19">
        <f>MONTH(tblRidershipData[[#This Row],[MeasurementDate]])</f>
        <v>9</v>
      </c>
    </row>
    <row r="131" spans="1:11" x14ac:dyDescent="0.25">
      <c r="A131" s="31">
        <v>43724</v>
      </c>
      <c r="B131" t="s">
        <v>2</v>
      </c>
      <c r="C131">
        <v>4502</v>
      </c>
      <c r="D131" t="s">
        <v>88</v>
      </c>
      <c r="E131" t="s">
        <v>109</v>
      </c>
      <c r="F131">
        <v>1</v>
      </c>
      <c r="G131" t="s">
        <v>71</v>
      </c>
      <c r="H131" t="s">
        <v>112</v>
      </c>
      <c r="I131">
        <v>2</v>
      </c>
      <c r="J131" s="19">
        <f>WEEKNUM(tblRidershipData[[#This Row],[MeasurementDate]])</f>
        <v>38</v>
      </c>
      <c r="K131" s="19">
        <f>MONTH(tblRidershipData[[#This Row],[MeasurementDate]])</f>
        <v>9</v>
      </c>
    </row>
    <row r="132" spans="1:11" x14ac:dyDescent="0.25">
      <c r="A132" s="31">
        <v>43724</v>
      </c>
      <c r="B132" t="s">
        <v>2</v>
      </c>
      <c r="C132">
        <v>4502</v>
      </c>
      <c r="D132" t="s">
        <v>88</v>
      </c>
      <c r="E132" t="s">
        <v>109</v>
      </c>
      <c r="F132">
        <v>1</v>
      </c>
      <c r="G132" t="s">
        <v>76</v>
      </c>
      <c r="H132" t="s">
        <v>112</v>
      </c>
      <c r="I132">
        <v>3</v>
      </c>
      <c r="J132" s="19">
        <f>WEEKNUM(tblRidershipData[[#This Row],[MeasurementDate]])</f>
        <v>38</v>
      </c>
      <c r="K132" s="19">
        <f>MONTH(tblRidershipData[[#This Row],[MeasurementDate]])</f>
        <v>9</v>
      </c>
    </row>
    <row r="133" spans="1:11" x14ac:dyDescent="0.25">
      <c r="A133" s="31">
        <v>43724</v>
      </c>
      <c r="B133" t="s">
        <v>2</v>
      </c>
      <c r="C133">
        <v>4502</v>
      </c>
      <c r="D133" t="s">
        <v>88</v>
      </c>
      <c r="E133" t="s">
        <v>109</v>
      </c>
      <c r="F133">
        <v>2</v>
      </c>
      <c r="G133" t="s">
        <v>43</v>
      </c>
      <c r="H133" t="s">
        <v>112</v>
      </c>
      <c r="I133">
        <v>5</v>
      </c>
      <c r="J133" s="19">
        <f>WEEKNUM(tblRidershipData[[#This Row],[MeasurementDate]])</f>
        <v>38</v>
      </c>
      <c r="K133" s="19">
        <f>MONTH(tblRidershipData[[#This Row],[MeasurementDate]])</f>
        <v>9</v>
      </c>
    </row>
    <row r="134" spans="1:11" x14ac:dyDescent="0.25">
      <c r="A134" s="31">
        <v>43724</v>
      </c>
      <c r="B134" t="s">
        <v>2</v>
      </c>
      <c r="C134">
        <v>4502</v>
      </c>
      <c r="D134" t="s">
        <v>88</v>
      </c>
      <c r="E134" t="s">
        <v>109</v>
      </c>
      <c r="F134">
        <v>2</v>
      </c>
      <c r="G134" t="s">
        <v>71</v>
      </c>
      <c r="H134" t="s">
        <v>112</v>
      </c>
      <c r="I134">
        <v>2</v>
      </c>
      <c r="J134" s="19">
        <f>WEEKNUM(tblRidershipData[[#This Row],[MeasurementDate]])</f>
        <v>38</v>
      </c>
      <c r="K134" s="19">
        <f>MONTH(tblRidershipData[[#This Row],[MeasurementDate]])</f>
        <v>9</v>
      </c>
    </row>
    <row r="135" spans="1:11" x14ac:dyDescent="0.25">
      <c r="A135" s="31">
        <v>43724</v>
      </c>
      <c r="B135" t="s">
        <v>2</v>
      </c>
      <c r="C135">
        <v>4503</v>
      </c>
      <c r="D135" t="s">
        <v>84</v>
      </c>
      <c r="E135" t="s">
        <v>111</v>
      </c>
      <c r="F135">
        <v>1</v>
      </c>
      <c r="G135" t="s">
        <v>43</v>
      </c>
      <c r="H135" t="s">
        <v>110</v>
      </c>
      <c r="I135">
        <v>8</v>
      </c>
      <c r="J135" s="19">
        <f>WEEKNUM(tblRidershipData[[#This Row],[MeasurementDate]])</f>
        <v>38</v>
      </c>
      <c r="K135" s="19">
        <f>MONTH(tblRidershipData[[#This Row],[MeasurementDate]])</f>
        <v>9</v>
      </c>
    </row>
    <row r="136" spans="1:11" x14ac:dyDescent="0.25">
      <c r="A136" s="31">
        <v>43724</v>
      </c>
      <c r="B136" t="s">
        <v>2</v>
      </c>
      <c r="C136">
        <v>4503</v>
      </c>
      <c r="D136" t="s">
        <v>84</v>
      </c>
      <c r="E136" t="s">
        <v>111</v>
      </c>
      <c r="F136">
        <v>1</v>
      </c>
      <c r="G136" t="s">
        <v>44</v>
      </c>
      <c r="H136" t="s">
        <v>110</v>
      </c>
      <c r="I136">
        <v>3</v>
      </c>
      <c r="J136" s="19">
        <f>WEEKNUM(tblRidershipData[[#This Row],[MeasurementDate]])</f>
        <v>38</v>
      </c>
      <c r="K136" s="19">
        <f>MONTH(tblRidershipData[[#This Row],[MeasurementDate]])</f>
        <v>9</v>
      </c>
    </row>
    <row r="137" spans="1:11" x14ac:dyDescent="0.25">
      <c r="A137" s="31">
        <v>43724</v>
      </c>
      <c r="B137" t="s">
        <v>2</v>
      </c>
      <c r="C137">
        <v>4503</v>
      </c>
      <c r="D137" t="s">
        <v>84</v>
      </c>
      <c r="E137" t="s">
        <v>111</v>
      </c>
      <c r="F137">
        <v>1</v>
      </c>
      <c r="G137" t="s">
        <v>46</v>
      </c>
      <c r="H137" t="s">
        <v>110</v>
      </c>
      <c r="I137">
        <v>7</v>
      </c>
      <c r="J137" s="19">
        <f>WEEKNUM(tblRidershipData[[#This Row],[MeasurementDate]])</f>
        <v>38</v>
      </c>
      <c r="K137" s="19">
        <f>MONTH(tblRidershipData[[#This Row],[MeasurementDate]])</f>
        <v>9</v>
      </c>
    </row>
    <row r="138" spans="1:11" x14ac:dyDescent="0.25">
      <c r="A138" s="31">
        <v>43724</v>
      </c>
      <c r="B138" t="s">
        <v>2</v>
      </c>
      <c r="C138">
        <v>4503</v>
      </c>
      <c r="D138" t="s">
        <v>84</v>
      </c>
      <c r="E138" t="s">
        <v>111</v>
      </c>
      <c r="F138">
        <v>1</v>
      </c>
      <c r="G138" t="s">
        <v>57</v>
      </c>
      <c r="H138" t="s">
        <v>110</v>
      </c>
      <c r="I138">
        <v>3</v>
      </c>
      <c r="J138" s="19">
        <f>WEEKNUM(tblRidershipData[[#This Row],[MeasurementDate]])</f>
        <v>38</v>
      </c>
      <c r="K138" s="19">
        <f>MONTH(tblRidershipData[[#This Row],[MeasurementDate]])</f>
        <v>9</v>
      </c>
    </row>
    <row r="139" spans="1:11" x14ac:dyDescent="0.25">
      <c r="A139" s="31">
        <v>43724</v>
      </c>
      <c r="B139" t="s">
        <v>2</v>
      </c>
      <c r="C139">
        <v>4503</v>
      </c>
      <c r="D139" t="s">
        <v>84</v>
      </c>
      <c r="E139" t="s">
        <v>111</v>
      </c>
      <c r="F139">
        <v>1</v>
      </c>
      <c r="G139" t="s">
        <v>66</v>
      </c>
      <c r="H139" t="s">
        <v>110</v>
      </c>
      <c r="I139">
        <v>5</v>
      </c>
      <c r="J139" s="19">
        <f>WEEKNUM(tblRidershipData[[#This Row],[MeasurementDate]])</f>
        <v>38</v>
      </c>
      <c r="K139" s="19">
        <f>MONTH(tblRidershipData[[#This Row],[MeasurementDate]])</f>
        <v>9</v>
      </c>
    </row>
    <row r="140" spans="1:11" x14ac:dyDescent="0.25">
      <c r="A140" s="31">
        <v>43724</v>
      </c>
      <c r="B140" t="s">
        <v>2</v>
      </c>
      <c r="C140">
        <v>4503</v>
      </c>
      <c r="D140" t="s">
        <v>84</v>
      </c>
      <c r="E140" t="s">
        <v>111</v>
      </c>
      <c r="F140">
        <v>1</v>
      </c>
      <c r="G140" t="s">
        <v>69</v>
      </c>
      <c r="H140" t="s">
        <v>110</v>
      </c>
      <c r="I140">
        <v>8</v>
      </c>
      <c r="J140" s="19">
        <f>WEEKNUM(tblRidershipData[[#This Row],[MeasurementDate]])</f>
        <v>38</v>
      </c>
      <c r="K140" s="19">
        <f>MONTH(tblRidershipData[[#This Row],[MeasurementDate]])</f>
        <v>9</v>
      </c>
    </row>
    <row r="141" spans="1:11" x14ac:dyDescent="0.25">
      <c r="A141" s="31">
        <v>43724</v>
      </c>
      <c r="B141" t="s">
        <v>2</v>
      </c>
      <c r="C141">
        <v>4503</v>
      </c>
      <c r="D141" t="s">
        <v>84</v>
      </c>
      <c r="E141" t="s">
        <v>111</v>
      </c>
      <c r="F141">
        <v>1</v>
      </c>
      <c r="G141" t="s">
        <v>70</v>
      </c>
      <c r="H141" t="s">
        <v>110</v>
      </c>
      <c r="I141">
        <v>13</v>
      </c>
      <c r="J141" s="19">
        <f>WEEKNUM(tblRidershipData[[#This Row],[MeasurementDate]])</f>
        <v>38</v>
      </c>
      <c r="K141" s="19">
        <f>MONTH(tblRidershipData[[#This Row],[MeasurementDate]])</f>
        <v>9</v>
      </c>
    </row>
    <row r="142" spans="1:11" x14ac:dyDescent="0.25">
      <c r="A142" s="31">
        <v>43724</v>
      </c>
      <c r="B142" t="s">
        <v>2</v>
      </c>
      <c r="C142">
        <v>4503</v>
      </c>
      <c r="D142" t="s">
        <v>84</v>
      </c>
      <c r="E142" t="s">
        <v>111</v>
      </c>
      <c r="F142">
        <v>1</v>
      </c>
      <c r="G142" t="s">
        <v>71</v>
      </c>
      <c r="H142" t="s">
        <v>110</v>
      </c>
      <c r="I142">
        <v>2</v>
      </c>
      <c r="J142" s="19">
        <f>WEEKNUM(tblRidershipData[[#This Row],[MeasurementDate]])</f>
        <v>38</v>
      </c>
      <c r="K142" s="19">
        <f>MONTH(tblRidershipData[[#This Row],[MeasurementDate]])</f>
        <v>9</v>
      </c>
    </row>
    <row r="143" spans="1:11" x14ac:dyDescent="0.25">
      <c r="A143" s="31">
        <v>43724</v>
      </c>
      <c r="B143" t="s">
        <v>2</v>
      </c>
      <c r="C143">
        <v>4503</v>
      </c>
      <c r="D143" t="s">
        <v>84</v>
      </c>
      <c r="E143" t="s">
        <v>111</v>
      </c>
      <c r="F143">
        <v>1</v>
      </c>
      <c r="G143" t="s">
        <v>76</v>
      </c>
      <c r="H143" t="s">
        <v>110</v>
      </c>
      <c r="I143">
        <v>3</v>
      </c>
      <c r="J143" s="19">
        <f>WEEKNUM(tblRidershipData[[#This Row],[MeasurementDate]])</f>
        <v>38</v>
      </c>
      <c r="K143" s="19">
        <f>MONTH(tblRidershipData[[#This Row],[MeasurementDate]])</f>
        <v>9</v>
      </c>
    </row>
    <row r="144" spans="1:11" x14ac:dyDescent="0.25">
      <c r="A144" s="31">
        <v>43724</v>
      </c>
      <c r="B144" t="s">
        <v>2</v>
      </c>
      <c r="C144">
        <v>4503</v>
      </c>
      <c r="D144" t="s">
        <v>84</v>
      </c>
      <c r="E144" t="s">
        <v>111</v>
      </c>
      <c r="F144">
        <v>2</v>
      </c>
      <c r="G144" t="s">
        <v>76</v>
      </c>
      <c r="H144" t="s">
        <v>110</v>
      </c>
      <c r="I144">
        <v>1</v>
      </c>
      <c r="J144" s="19">
        <f>WEEKNUM(tblRidershipData[[#This Row],[MeasurementDate]])</f>
        <v>38</v>
      </c>
      <c r="K144" s="19">
        <f>MONTH(tblRidershipData[[#This Row],[MeasurementDate]])</f>
        <v>9</v>
      </c>
    </row>
    <row r="145" spans="1:11" x14ac:dyDescent="0.25">
      <c r="A145" s="31">
        <v>43724</v>
      </c>
      <c r="B145" t="s">
        <v>2</v>
      </c>
      <c r="C145">
        <v>4503</v>
      </c>
      <c r="D145" t="s">
        <v>84</v>
      </c>
      <c r="E145" t="s">
        <v>109</v>
      </c>
      <c r="F145">
        <v>1</v>
      </c>
      <c r="G145" t="s">
        <v>46</v>
      </c>
      <c r="H145" t="s">
        <v>110</v>
      </c>
      <c r="I145">
        <v>7</v>
      </c>
      <c r="J145" s="19">
        <f>WEEKNUM(tblRidershipData[[#This Row],[MeasurementDate]])</f>
        <v>38</v>
      </c>
      <c r="K145" s="19">
        <f>MONTH(tblRidershipData[[#This Row],[MeasurementDate]])</f>
        <v>9</v>
      </c>
    </row>
    <row r="146" spans="1:11" x14ac:dyDescent="0.25">
      <c r="A146" s="31">
        <v>43724</v>
      </c>
      <c r="B146" t="s">
        <v>2</v>
      </c>
      <c r="C146">
        <v>4503</v>
      </c>
      <c r="D146" t="s">
        <v>84</v>
      </c>
      <c r="E146" t="s">
        <v>109</v>
      </c>
      <c r="F146">
        <v>1</v>
      </c>
      <c r="G146" t="s">
        <v>52</v>
      </c>
      <c r="H146" t="s">
        <v>110</v>
      </c>
      <c r="I146">
        <v>10</v>
      </c>
      <c r="J146" s="19">
        <f>WEEKNUM(tblRidershipData[[#This Row],[MeasurementDate]])</f>
        <v>38</v>
      </c>
      <c r="K146" s="19">
        <f>MONTH(tblRidershipData[[#This Row],[MeasurementDate]])</f>
        <v>9</v>
      </c>
    </row>
    <row r="147" spans="1:11" x14ac:dyDescent="0.25">
      <c r="A147" s="31">
        <v>43724</v>
      </c>
      <c r="B147" t="s">
        <v>2</v>
      </c>
      <c r="C147">
        <v>4503</v>
      </c>
      <c r="D147" t="s">
        <v>84</v>
      </c>
      <c r="E147" t="s">
        <v>109</v>
      </c>
      <c r="F147">
        <v>1</v>
      </c>
      <c r="G147" t="s">
        <v>54</v>
      </c>
      <c r="H147" t="s">
        <v>110</v>
      </c>
      <c r="I147">
        <v>7</v>
      </c>
      <c r="J147" s="19">
        <f>WEEKNUM(tblRidershipData[[#This Row],[MeasurementDate]])</f>
        <v>38</v>
      </c>
      <c r="K147" s="19">
        <f>MONTH(tblRidershipData[[#This Row],[MeasurementDate]])</f>
        <v>9</v>
      </c>
    </row>
    <row r="148" spans="1:11" x14ac:dyDescent="0.25">
      <c r="A148" s="31">
        <v>43724</v>
      </c>
      <c r="B148" t="s">
        <v>2</v>
      </c>
      <c r="C148">
        <v>4503</v>
      </c>
      <c r="D148" t="s">
        <v>84</v>
      </c>
      <c r="E148" t="s">
        <v>109</v>
      </c>
      <c r="F148">
        <v>1</v>
      </c>
      <c r="G148" t="s">
        <v>69</v>
      </c>
      <c r="H148" t="s">
        <v>110</v>
      </c>
      <c r="I148">
        <v>8</v>
      </c>
      <c r="J148" s="19">
        <f>WEEKNUM(tblRidershipData[[#This Row],[MeasurementDate]])</f>
        <v>38</v>
      </c>
      <c r="K148" s="19">
        <f>MONTH(tblRidershipData[[#This Row],[MeasurementDate]])</f>
        <v>9</v>
      </c>
    </row>
    <row r="149" spans="1:11" x14ac:dyDescent="0.25">
      <c r="A149" s="31">
        <v>43724</v>
      </c>
      <c r="B149" t="s">
        <v>2</v>
      </c>
      <c r="C149">
        <v>4503</v>
      </c>
      <c r="D149" t="s">
        <v>84</v>
      </c>
      <c r="E149" t="s">
        <v>109</v>
      </c>
      <c r="F149">
        <v>1</v>
      </c>
      <c r="G149" t="s">
        <v>70</v>
      </c>
      <c r="H149" t="s">
        <v>110</v>
      </c>
      <c r="I149">
        <v>10</v>
      </c>
      <c r="J149" s="19">
        <f>WEEKNUM(tblRidershipData[[#This Row],[MeasurementDate]])</f>
        <v>38</v>
      </c>
      <c r="K149" s="19">
        <f>MONTH(tblRidershipData[[#This Row],[MeasurementDate]])</f>
        <v>9</v>
      </c>
    </row>
    <row r="150" spans="1:11" x14ac:dyDescent="0.25">
      <c r="A150" s="31">
        <v>43724</v>
      </c>
      <c r="B150" t="s">
        <v>2</v>
      </c>
      <c r="C150">
        <v>4503</v>
      </c>
      <c r="D150" t="s">
        <v>84</v>
      </c>
      <c r="E150" t="s">
        <v>109</v>
      </c>
      <c r="F150">
        <v>1</v>
      </c>
      <c r="G150" t="s">
        <v>74</v>
      </c>
      <c r="H150" t="s">
        <v>110</v>
      </c>
      <c r="I150">
        <v>16</v>
      </c>
      <c r="J150" s="19">
        <f>WEEKNUM(tblRidershipData[[#This Row],[MeasurementDate]])</f>
        <v>38</v>
      </c>
      <c r="K150" s="19">
        <f>MONTH(tblRidershipData[[#This Row],[MeasurementDate]])</f>
        <v>9</v>
      </c>
    </row>
    <row r="151" spans="1:11" x14ac:dyDescent="0.25">
      <c r="A151" s="31">
        <v>43724</v>
      </c>
      <c r="B151" t="s">
        <v>2</v>
      </c>
      <c r="C151">
        <v>4503</v>
      </c>
      <c r="D151" t="s">
        <v>84</v>
      </c>
      <c r="E151" t="s">
        <v>109</v>
      </c>
      <c r="F151">
        <v>1</v>
      </c>
      <c r="G151" t="s">
        <v>75</v>
      </c>
      <c r="H151" t="s">
        <v>110</v>
      </c>
      <c r="I151">
        <v>43</v>
      </c>
      <c r="J151" s="19">
        <f>WEEKNUM(tblRidershipData[[#This Row],[MeasurementDate]])</f>
        <v>38</v>
      </c>
      <c r="K151" s="19">
        <f>MONTH(tblRidershipData[[#This Row],[MeasurementDate]])</f>
        <v>9</v>
      </c>
    </row>
    <row r="152" spans="1:11" x14ac:dyDescent="0.25">
      <c r="A152" s="31">
        <v>43724</v>
      </c>
      <c r="B152" t="s">
        <v>2</v>
      </c>
      <c r="C152">
        <v>4503</v>
      </c>
      <c r="D152" t="s">
        <v>84</v>
      </c>
      <c r="E152" t="s">
        <v>111</v>
      </c>
      <c r="F152">
        <v>1</v>
      </c>
      <c r="G152" t="s">
        <v>46</v>
      </c>
      <c r="H152" t="s">
        <v>112</v>
      </c>
      <c r="I152">
        <v>7</v>
      </c>
      <c r="J152" s="19">
        <f>WEEKNUM(tblRidershipData[[#This Row],[MeasurementDate]])</f>
        <v>38</v>
      </c>
      <c r="K152" s="19">
        <f>MONTH(tblRidershipData[[#This Row],[MeasurementDate]])</f>
        <v>9</v>
      </c>
    </row>
    <row r="153" spans="1:11" x14ac:dyDescent="0.25">
      <c r="A153" s="31">
        <v>43724</v>
      </c>
      <c r="B153" t="s">
        <v>2</v>
      </c>
      <c r="C153">
        <v>4503</v>
      </c>
      <c r="D153" t="s">
        <v>84</v>
      </c>
      <c r="E153" t="s">
        <v>111</v>
      </c>
      <c r="F153">
        <v>1</v>
      </c>
      <c r="G153" t="s">
        <v>52</v>
      </c>
      <c r="H153" t="s">
        <v>112</v>
      </c>
      <c r="I153">
        <v>10</v>
      </c>
      <c r="J153" s="19">
        <f>WEEKNUM(tblRidershipData[[#This Row],[MeasurementDate]])</f>
        <v>38</v>
      </c>
      <c r="K153" s="19">
        <f>MONTH(tblRidershipData[[#This Row],[MeasurementDate]])</f>
        <v>9</v>
      </c>
    </row>
    <row r="154" spans="1:11" x14ac:dyDescent="0.25">
      <c r="A154" s="31">
        <v>43724</v>
      </c>
      <c r="B154" t="s">
        <v>2</v>
      </c>
      <c r="C154">
        <v>4503</v>
      </c>
      <c r="D154" t="s">
        <v>84</v>
      </c>
      <c r="E154" t="s">
        <v>111</v>
      </c>
      <c r="F154">
        <v>1</v>
      </c>
      <c r="G154" t="s">
        <v>56</v>
      </c>
      <c r="H154" t="s">
        <v>112</v>
      </c>
      <c r="I154">
        <v>1</v>
      </c>
      <c r="J154" s="19">
        <f>WEEKNUM(tblRidershipData[[#This Row],[MeasurementDate]])</f>
        <v>38</v>
      </c>
      <c r="K154" s="19">
        <f>MONTH(tblRidershipData[[#This Row],[MeasurementDate]])</f>
        <v>9</v>
      </c>
    </row>
    <row r="155" spans="1:11" x14ac:dyDescent="0.25">
      <c r="A155" s="31">
        <v>43724</v>
      </c>
      <c r="B155" t="s">
        <v>2</v>
      </c>
      <c r="C155">
        <v>4503</v>
      </c>
      <c r="D155" t="s">
        <v>84</v>
      </c>
      <c r="E155" t="s">
        <v>111</v>
      </c>
      <c r="F155">
        <v>1</v>
      </c>
      <c r="G155" t="s">
        <v>59</v>
      </c>
      <c r="H155" t="s">
        <v>112</v>
      </c>
      <c r="I155">
        <v>9</v>
      </c>
      <c r="J155" s="19">
        <f>WEEKNUM(tblRidershipData[[#This Row],[MeasurementDate]])</f>
        <v>38</v>
      </c>
      <c r="K155" s="19">
        <f>MONTH(tblRidershipData[[#This Row],[MeasurementDate]])</f>
        <v>9</v>
      </c>
    </row>
    <row r="156" spans="1:11" x14ac:dyDescent="0.25">
      <c r="A156" s="31">
        <v>43724</v>
      </c>
      <c r="B156" t="s">
        <v>2</v>
      </c>
      <c r="C156">
        <v>4503</v>
      </c>
      <c r="D156" t="s">
        <v>84</v>
      </c>
      <c r="E156" t="s">
        <v>111</v>
      </c>
      <c r="F156">
        <v>1</v>
      </c>
      <c r="G156" t="s">
        <v>68</v>
      </c>
      <c r="H156" t="s">
        <v>112</v>
      </c>
      <c r="I156">
        <v>4</v>
      </c>
      <c r="J156" s="19">
        <f>WEEKNUM(tblRidershipData[[#This Row],[MeasurementDate]])</f>
        <v>38</v>
      </c>
      <c r="K156" s="19">
        <f>MONTH(tblRidershipData[[#This Row],[MeasurementDate]])</f>
        <v>9</v>
      </c>
    </row>
    <row r="157" spans="1:11" x14ac:dyDescent="0.25">
      <c r="A157" s="31">
        <v>43724</v>
      </c>
      <c r="B157" t="s">
        <v>2</v>
      </c>
      <c r="C157">
        <v>4503</v>
      </c>
      <c r="D157" t="s">
        <v>84</v>
      </c>
      <c r="E157" t="s">
        <v>111</v>
      </c>
      <c r="F157">
        <v>1</v>
      </c>
      <c r="G157" t="s">
        <v>69</v>
      </c>
      <c r="H157" t="s">
        <v>112</v>
      </c>
      <c r="I157">
        <v>4</v>
      </c>
      <c r="J157" s="19">
        <f>WEEKNUM(tblRidershipData[[#This Row],[MeasurementDate]])</f>
        <v>38</v>
      </c>
      <c r="K157" s="19">
        <f>MONTH(tblRidershipData[[#This Row],[MeasurementDate]])</f>
        <v>9</v>
      </c>
    </row>
    <row r="158" spans="1:11" x14ac:dyDescent="0.25">
      <c r="A158" s="31">
        <v>43724</v>
      </c>
      <c r="B158" t="s">
        <v>2</v>
      </c>
      <c r="C158">
        <v>4503</v>
      </c>
      <c r="D158" t="s">
        <v>84</v>
      </c>
      <c r="E158" t="s">
        <v>111</v>
      </c>
      <c r="F158">
        <v>1</v>
      </c>
      <c r="G158" t="s">
        <v>70</v>
      </c>
      <c r="H158" t="s">
        <v>112</v>
      </c>
      <c r="I158">
        <v>14</v>
      </c>
      <c r="J158" s="19">
        <f>WEEKNUM(tblRidershipData[[#This Row],[MeasurementDate]])</f>
        <v>38</v>
      </c>
      <c r="K158" s="19">
        <f>MONTH(tblRidershipData[[#This Row],[MeasurementDate]])</f>
        <v>9</v>
      </c>
    </row>
    <row r="159" spans="1:11" x14ac:dyDescent="0.25">
      <c r="A159" s="31">
        <v>43724</v>
      </c>
      <c r="B159" t="s">
        <v>2</v>
      </c>
      <c r="C159">
        <v>4503</v>
      </c>
      <c r="D159" t="s">
        <v>84</v>
      </c>
      <c r="E159" t="s">
        <v>111</v>
      </c>
      <c r="F159">
        <v>1</v>
      </c>
      <c r="G159" t="s">
        <v>72</v>
      </c>
      <c r="H159" t="s">
        <v>112</v>
      </c>
      <c r="I159">
        <v>4</v>
      </c>
      <c r="J159" s="19">
        <f>WEEKNUM(tblRidershipData[[#This Row],[MeasurementDate]])</f>
        <v>38</v>
      </c>
      <c r="K159" s="19">
        <f>MONTH(tblRidershipData[[#This Row],[MeasurementDate]])</f>
        <v>9</v>
      </c>
    </row>
    <row r="160" spans="1:11" x14ac:dyDescent="0.25">
      <c r="A160" s="31">
        <v>43724</v>
      </c>
      <c r="B160" t="s">
        <v>2</v>
      </c>
      <c r="C160">
        <v>4503</v>
      </c>
      <c r="D160" t="s">
        <v>84</v>
      </c>
      <c r="E160" t="s">
        <v>109</v>
      </c>
      <c r="F160">
        <v>1</v>
      </c>
      <c r="G160" t="s">
        <v>43</v>
      </c>
      <c r="H160" t="s">
        <v>112</v>
      </c>
      <c r="I160">
        <v>7</v>
      </c>
      <c r="J160" s="19">
        <f>WEEKNUM(tblRidershipData[[#This Row],[MeasurementDate]])</f>
        <v>38</v>
      </c>
      <c r="K160" s="19">
        <f>MONTH(tblRidershipData[[#This Row],[MeasurementDate]])</f>
        <v>9</v>
      </c>
    </row>
    <row r="161" spans="1:11" x14ac:dyDescent="0.25">
      <c r="A161" s="31">
        <v>43724</v>
      </c>
      <c r="B161" t="s">
        <v>2</v>
      </c>
      <c r="C161">
        <v>4503</v>
      </c>
      <c r="D161" t="s">
        <v>84</v>
      </c>
      <c r="E161" t="s">
        <v>109</v>
      </c>
      <c r="F161">
        <v>1</v>
      </c>
      <c r="G161" t="s">
        <v>44</v>
      </c>
      <c r="H161" t="s">
        <v>112</v>
      </c>
      <c r="I161">
        <v>12</v>
      </c>
      <c r="J161" s="19">
        <f>WEEKNUM(tblRidershipData[[#This Row],[MeasurementDate]])</f>
        <v>38</v>
      </c>
      <c r="K161" s="19">
        <f>MONTH(tblRidershipData[[#This Row],[MeasurementDate]])</f>
        <v>9</v>
      </c>
    </row>
    <row r="162" spans="1:11" x14ac:dyDescent="0.25">
      <c r="A162" s="31">
        <v>43724</v>
      </c>
      <c r="B162" t="s">
        <v>2</v>
      </c>
      <c r="C162">
        <v>4503</v>
      </c>
      <c r="D162" t="s">
        <v>84</v>
      </c>
      <c r="E162" t="s">
        <v>109</v>
      </c>
      <c r="F162">
        <v>1</v>
      </c>
      <c r="G162" t="s">
        <v>46</v>
      </c>
      <c r="H162" t="s">
        <v>112</v>
      </c>
      <c r="I162">
        <v>12</v>
      </c>
      <c r="J162" s="19">
        <f>WEEKNUM(tblRidershipData[[#This Row],[MeasurementDate]])</f>
        <v>38</v>
      </c>
      <c r="K162" s="19">
        <f>MONTH(tblRidershipData[[#This Row],[MeasurementDate]])</f>
        <v>9</v>
      </c>
    </row>
    <row r="163" spans="1:11" x14ac:dyDescent="0.25">
      <c r="A163" s="31">
        <v>43724</v>
      </c>
      <c r="B163" t="s">
        <v>2</v>
      </c>
      <c r="C163">
        <v>4503</v>
      </c>
      <c r="D163" t="s">
        <v>84</v>
      </c>
      <c r="E163" t="s">
        <v>109</v>
      </c>
      <c r="F163">
        <v>1</v>
      </c>
      <c r="G163" t="s">
        <v>52</v>
      </c>
      <c r="H163" t="s">
        <v>112</v>
      </c>
      <c r="I163">
        <v>12</v>
      </c>
      <c r="J163" s="19">
        <f>WEEKNUM(tblRidershipData[[#This Row],[MeasurementDate]])</f>
        <v>38</v>
      </c>
      <c r="K163" s="19">
        <f>MONTH(tblRidershipData[[#This Row],[MeasurementDate]])</f>
        <v>9</v>
      </c>
    </row>
    <row r="164" spans="1:11" x14ac:dyDescent="0.25">
      <c r="A164" s="31">
        <v>43724</v>
      </c>
      <c r="B164" t="s">
        <v>2</v>
      </c>
      <c r="C164">
        <v>4503</v>
      </c>
      <c r="D164" t="s">
        <v>84</v>
      </c>
      <c r="E164" t="s">
        <v>109</v>
      </c>
      <c r="F164">
        <v>1</v>
      </c>
      <c r="G164" t="s">
        <v>54</v>
      </c>
      <c r="H164" t="s">
        <v>112</v>
      </c>
      <c r="I164">
        <v>15</v>
      </c>
      <c r="J164" s="19">
        <f>WEEKNUM(tblRidershipData[[#This Row],[MeasurementDate]])</f>
        <v>38</v>
      </c>
      <c r="K164" s="19">
        <f>MONTH(tblRidershipData[[#This Row],[MeasurementDate]])</f>
        <v>9</v>
      </c>
    </row>
    <row r="165" spans="1:11" x14ac:dyDescent="0.25">
      <c r="A165" s="31">
        <v>43724</v>
      </c>
      <c r="B165" t="s">
        <v>2</v>
      </c>
      <c r="C165">
        <v>4503</v>
      </c>
      <c r="D165" t="s">
        <v>84</v>
      </c>
      <c r="E165" t="s">
        <v>109</v>
      </c>
      <c r="F165">
        <v>1</v>
      </c>
      <c r="G165" t="s">
        <v>55</v>
      </c>
      <c r="H165" t="s">
        <v>112</v>
      </c>
      <c r="I165">
        <v>2</v>
      </c>
      <c r="J165" s="19">
        <f>WEEKNUM(tblRidershipData[[#This Row],[MeasurementDate]])</f>
        <v>38</v>
      </c>
      <c r="K165" s="19">
        <f>MONTH(tblRidershipData[[#This Row],[MeasurementDate]])</f>
        <v>9</v>
      </c>
    </row>
    <row r="166" spans="1:11" x14ac:dyDescent="0.25">
      <c r="A166" s="31">
        <v>43724</v>
      </c>
      <c r="B166" t="s">
        <v>2</v>
      </c>
      <c r="C166">
        <v>4503</v>
      </c>
      <c r="D166" t="s">
        <v>84</v>
      </c>
      <c r="E166" t="s">
        <v>109</v>
      </c>
      <c r="F166">
        <v>1</v>
      </c>
      <c r="G166" t="s">
        <v>57</v>
      </c>
      <c r="H166" t="s">
        <v>112</v>
      </c>
      <c r="I166">
        <v>2</v>
      </c>
      <c r="J166" s="19">
        <f>WEEKNUM(tblRidershipData[[#This Row],[MeasurementDate]])</f>
        <v>38</v>
      </c>
      <c r="K166" s="19">
        <f>MONTH(tblRidershipData[[#This Row],[MeasurementDate]])</f>
        <v>9</v>
      </c>
    </row>
    <row r="167" spans="1:11" x14ac:dyDescent="0.25">
      <c r="A167" s="31">
        <v>43724</v>
      </c>
      <c r="B167" t="s">
        <v>2</v>
      </c>
      <c r="C167">
        <v>4503</v>
      </c>
      <c r="D167" t="s">
        <v>84</v>
      </c>
      <c r="E167" t="s">
        <v>109</v>
      </c>
      <c r="F167">
        <v>1</v>
      </c>
      <c r="G167" t="s">
        <v>59</v>
      </c>
      <c r="H167" t="s">
        <v>112</v>
      </c>
      <c r="I167">
        <v>5</v>
      </c>
      <c r="J167" s="19">
        <f>WEEKNUM(tblRidershipData[[#This Row],[MeasurementDate]])</f>
        <v>38</v>
      </c>
      <c r="K167" s="19">
        <f>MONTH(tblRidershipData[[#This Row],[MeasurementDate]])</f>
        <v>9</v>
      </c>
    </row>
    <row r="168" spans="1:11" x14ac:dyDescent="0.25">
      <c r="A168" s="31">
        <v>43724</v>
      </c>
      <c r="B168" t="s">
        <v>2</v>
      </c>
      <c r="C168">
        <v>4503</v>
      </c>
      <c r="D168" t="s">
        <v>84</v>
      </c>
      <c r="E168" t="s">
        <v>109</v>
      </c>
      <c r="F168">
        <v>1</v>
      </c>
      <c r="G168" t="s">
        <v>62</v>
      </c>
      <c r="H168" t="s">
        <v>112</v>
      </c>
      <c r="I168">
        <v>9</v>
      </c>
      <c r="J168" s="19">
        <f>WEEKNUM(tblRidershipData[[#This Row],[MeasurementDate]])</f>
        <v>38</v>
      </c>
      <c r="K168" s="19">
        <f>MONTH(tblRidershipData[[#This Row],[MeasurementDate]])</f>
        <v>9</v>
      </c>
    </row>
    <row r="169" spans="1:11" x14ac:dyDescent="0.25">
      <c r="A169" s="31">
        <v>43724</v>
      </c>
      <c r="B169" t="s">
        <v>2</v>
      </c>
      <c r="C169">
        <v>4503</v>
      </c>
      <c r="D169" t="s">
        <v>84</v>
      </c>
      <c r="E169" t="s">
        <v>109</v>
      </c>
      <c r="F169">
        <v>1</v>
      </c>
      <c r="G169" t="s">
        <v>67</v>
      </c>
      <c r="H169" t="s">
        <v>112</v>
      </c>
      <c r="I169">
        <v>4</v>
      </c>
      <c r="J169" s="19">
        <f>WEEKNUM(tblRidershipData[[#This Row],[MeasurementDate]])</f>
        <v>38</v>
      </c>
      <c r="K169" s="19">
        <f>MONTH(tblRidershipData[[#This Row],[MeasurementDate]])</f>
        <v>9</v>
      </c>
    </row>
    <row r="170" spans="1:11" x14ac:dyDescent="0.25">
      <c r="A170" s="31">
        <v>43724</v>
      </c>
      <c r="B170" t="s">
        <v>2</v>
      </c>
      <c r="C170">
        <v>4503</v>
      </c>
      <c r="D170" t="s">
        <v>84</v>
      </c>
      <c r="E170" t="s">
        <v>109</v>
      </c>
      <c r="F170">
        <v>1</v>
      </c>
      <c r="G170" t="s">
        <v>69</v>
      </c>
      <c r="H170" t="s">
        <v>112</v>
      </c>
      <c r="I170">
        <v>12</v>
      </c>
      <c r="J170" s="19">
        <f>WEEKNUM(tblRidershipData[[#This Row],[MeasurementDate]])</f>
        <v>38</v>
      </c>
      <c r="K170" s="19">
        <f>MONTH(tblRidershipData[[#This Row],[MeasurementDate]])</f>
        <v>9</v>
      </c>
    </row>
    <row r="171" spans="1:11" x14ac:dyDescent="0.25">
      <c r="A171" s="31">
        <v>43724</v>
      </c>
      <c r="B171" t="s">
        <v>2</v>
      </c>
      <c r="C171">
        <v>4503</v>
      </c>
      <c r="D171" t="s">
        <v>84</v>
      </c>
      <c r="E171" t="s">
        <v>109</v>
      </c>
      <c r="F171">
        <v>1</v>
      </c>
      <c r="G171" t="s">
        <v>70</v>
      </c>
      <c r="H171" t="s">
        <v>112</v>
      </c>
      <c r="I171">
        <v>7</v>
      </c>
      <c r="J171" s="19">
        <f>WEEKNUM(tblRidershipData[[#This Row],[MeasurementDate]])</f>
        <v>38</v>
      </c>
      <c r="K171" s="19">
        <f>MONTH(tblRidershipData[[#This Row],[MeasurementDate]])</f>
        <v>9</v>
      </c>
    </row>
    <row r="172" spans="1:11" x14ac:dyDescent="0.25">
      <c r="A172" s="31">
        <v>43724</v>
      </c>
      <c r="B172" t="s">
        <v>2</v>
      </c>
      <c r="C172">
        <v>4503</v>
      </c>
      <c r="D172" t="s">
        <v>84</v>
      </c>
      <c r="E172" t="s">
        <v>109</v>
      </c>
      <c r="F172">
        <v>1</v>
      </c>
      <c r="G172" t="s">
        <v>72</v>
      </c>
      <c r="H172" t="s">
        <v>112</v>
      </c>
      <c r="I172">
        <v>2</v>
      </c>
      <c r="J172" s="19">
        <f>WEEKNUM(tblRidershipData[[#This Row],[MeasurementDate]])</f>
        <v>38</v>
      </c>
      <c r="K172" s="19">
        <f>MONTH(tblRidershipData[[#This Row],[MeasurementDate]])</f>
        <v>9</v>
      </c>
    </row>
    <row r="173" spans="1:11" x14ac:dyDescent="0.25">
      <c r="A173" s="31">
        <v>43724</v>
      </c>
      <c r="B173" t="s">
        <v>2</v>
      </c>
      <c r="C173">
        <v>4503</v>
      </c>
      <c r="D173" t="s">
        <v>84</v>
      </c>
      <c r="E173" t="s">
        <v>109</v>
      </c>
      <c r="F173">
        <v>2</v>
      </c>
      <c r="G173" t="s">
        <v>46</v>
      </c>
      <c r="H173" t="s">
        <v>112</v>
      </c>
      <c r="I173">
        <v>1</v>
      </c>
      <c r="J173" s="19">
        <f>WEEKNUM(tblRidershipData[[#This Row],[MeasurementDate]])</f>
        <v>38</v>
      </c>
      <c r="K173" s="19">
        <f>MONTH(tblRidershipData[[#This Row],[MeasurementDate]])</f>
        <v>9</v>
      </c>
    </row>
    <row r="174" spans="1:11" x14ac:dyDescent="0.25">
      <c r="A174" s="31">
        <v>43724</v>
      </c>
      <c r="B174" t="s">
        <v>2</v>
      </c>
      <c r="C174">
        <v>6552</v>
      </c>
      <c r="D174" t="s">
        <v>85</v>
      </c>
      <c r="E174" t="s">
        <v>111</v>
      </c>
      <c r="F174">
        <v>1</v>
      </c>
      <c r="G174" t="s">
        <v>57</v>
      </c>
      <c r="H174" t="s">
        <v>110</v>
      </c>
      <c r="I174">
        <v>3</v>
      </c>
      <c r="J174" s="19">
        <f>WEEKNUM(tblRidershipData[[#This Row],[MeasurementDate]])</f>
        <v>38</v>
      </c>
      <c r="K174" s="19">
        <f>MONTH(tblRidershipData[[#This Row],[MeasurementDate]])</f>
        <v>9</v>
      </c>
    </row>
    <row r="175" spans="1:11" x14ac:dyDescent="0.25">
      <c r="A175" s="31">
        <v>43724</v>
      </c>
      <c r="B175" t="s">
        <v>2</v>
      </c>
      <c r="C175">
        <v>6552</v>
      </c>
      <c r="D175" t="s">
        <v>85</v>
      </c>
      <c r="E175" t="s">
        <v>111</v>
      </c>
      <c r="F175">
        <v>1</v>
      </c>
      <c r="G175" t="s">
        <v>59</v>
      </c>
      <c r="H175" t="s">
        <v>110</v>
      </c>
      <c r="I175">
        <v>3</v>
      </c>
      <c r="J175" s="19">
        <f>WEEKNUM(tblRidershipData[[#This Row],[MeasurementDate]])</f>
        <v>38</v>
      </c>
      <c r="K175" s="19">
        <f>MONTH(tblRidershipData[[#This Row],[MeasurementDate]])</f>
        <v>9</v>
      </c>
    </row>
    <row r="176" spans="1:11" x14ac:dyDescent="0.25">
      <c r="A176" s="31">
        <v>43724</v>
      </c>
      <c r="B176" t="s">
        <v>2</v>
      </c>
      <c r="C176">
        <v>6552</v>
      </c>
      <c r="D176" t="s">
        <v>85</v>
      </c>
      <c r="E176" t="s">
        <v>111</v>
      </c>
      <c r="F176">
        <v>1</v>
      </c>
      <c r="G176" t="s">
        <v>60</v>
      </c>
      <c r="H176" t="s">
        <v>110</v>
      </c>
      <c r="I176">
        <v>8</v>
      </c>
      <c r="J176" s="19">
        <f>WEEKNUM(tblRidershipData[[#This Row],[MeasurementDate]])</f>
        <v>38</v>
      </c>
      <c r="K176" s="19">
        <f>MONTH(tblRidershipData[[#This Row],[MeasurementDate]])</f>
        <v>9</v>
      </c>
    </row>
    <row r="177" spans="1:11" x14ac:dyDescent="0.25">
      <c r="A177" s="31">
        <v>43724</v>
      </c>
      <c r="B177" t="s">
        <v>2</v>
      </c>
      <c r="C177">
        <v>6552</v>
      </c>
      <c r="D177" t="s">
        <v>85</v>
      </c>
      <c r="E177" t="s">
        <v>111</v>
      </c>
      <c r="F177">
        <v>1</v>
      </c>
      <c r="G177" t="s">
        <v>71</v>
      </c>
      <c r="H177" t="s">
        <v>110</v>
      </c>
      <c r="I177">
        <v>9</v>
      </c>
      <c r="J177" s="19">
        <f>WEEKNUM(tblRidershipData[[#This Row],[MeasurementDate]])</f>
        <v>38</v>
      </c>
      <c r="K177" s="19">
        <f>MONTH(tblRidershipData[[#This Row],[MeasurementDate]])</f>
        <v>9</v>
      </c>
    </row>
    <row r="178" spans="1:11" x14ac:dyDescent="0.25">
      <c r="A178" s="31">
        <v>43724</v>
      </c>
      <c r="B178" t="s">
        <v>2</v>
      </c>
      <c r="C178">
        <v>6552</v>
      </c>
      <c r="D178" t="s">
        <v>85</v>
      </c>
      <c r="E178" t="s">
        <v>111</v>
      </c>
      <c r="F178">
        <v>1</v>
      </c>
      <c r="G178" t="s">
        <v>76</v>
      </c>
      <c r="H178" t="s">
        <v>110</v>
      </c>
      <c r="I178">
        <v>5</v>
      </c>
      <c r="J178" s="19">
        <f>WEEKNUM(tblRidershipData[[#This Row],[MeasurementDate]])</f>
        <v>38</v>
      </c>
      <c r="K178" s="19">
        <f>MONTH(tblRidershipData[[#This Row],[MeasurementDate]])</f>
        <v>9</v>
      </c>
    </row>
    <row r="179" spans="1:11" x14ac:dyDescent="0.25">
      <c r="A179" s="31">
        <v>43724</v>
      </c>
      <c r="B179" t="s">
        <v>2</v>
      </c>
      <c r="C179">
        <v>6552</v>
      </c>
      <c r="D179" t="s">
        <v>85</v>
      </c>
      <c r="E179" t="s">
        <v>109</v>
      </c>
      <c r="F179">
        <v>1</v>
      </c>
      <c r="G179" t="s">
        <v>44</v>
      </c>
      <c r="H179" t="s">
        <v>110</v>
      </c>
      <c r="I179">
        <v>17</v>
      </c>
      <c r="J179" s="19">
        <f>WEEKNUM(tblRidershipData[[#This Row],[MeasurementDate]])</f>
        <v>38</v>
      </c>
      <c r="K179" s="19">
        <f>MONTH(tblRidershipData[[#This Row],[MeasurementDate]])</f>
        <v>9</v>
      </c>
    </row>
    <row r="180" spans="1:11" x14ac:dyDescent="0.25">
      <c r="A180" s="31">
        <v>43724</v>
      </c>
      <c r="B180" t="s">
        <v>2</v>
      </c>
      <c r="C180">
        <v>6552</v>
      </c>
      <c r="D180" t="s">
        <v>85</v>
      </c>
      <c r="E180" t="s">
        <v>109</v>
      </c>
      <c r="F180">
        <v>1</v>
      </c>
      <c r="G180" t="s">
        <v>57</v>
      </c>
      <c r="H180" t="s">
        <v>110</v>
      </c>
      <c r="I180">
        <v>21</v>
      </c>
      <c r="J180" s="19">
        <f>WEEKNUM(tblRidershipData[[#This Row],[MeasurementDate]])</f>
        <v>38</v>
      </c>
      <c r="K180" s="19">
        <f>MONTH(tblRidershipData[[#This Row],[MeasurementDate]])</f>
        <v>9</v>
      </c>
    </row>
    <row r="181" spans="1:11" x14ac:dyDescent="0.25">
      <c r="A181" s="31">
        <v>43724</v>
      </c>
      <c r="B181" t="s">
        <v>2</v>
      </c>
      <c r="C181">
        <v>6552</v>
      </c>
      <c r="D181" t="s">
        <v>85</v>
      </c>
      <c r="E181" t="s">
        <v>109</v>
      </c>
      <c r="F181">
        <v>1</v>
      </c>
      <c r="G181" t="s">
        <v>66</v>
      </c>
      <c r="H181" t="s">
        <v>110</v>
      </c>
      <c r="I181">
        <v>1</v>
      </c>
      <c r="J181" s="19">
        <f>WEEKNUM(tblRidershipData[[#This Row],[MeasurementDate]])</f>
        <v>38</v>
      </c>
      <c r="K181" s="19">
        <f>MONTH(tblRidershipData[[#This Row],[MeasurementDate]])</f>
        <v>9</v>
      </c>
    </row>
    <row r="182" spans="1:11" x14ac:dyDescent="0.25">
      <c r="A182" s="31">
        <v>43724</v>
      </c>
      <c r="B182" t="s">
        <v>2</v>
      </c>
      <c r="C182">
        <v>6552</v>
      </c>
      <c r="D182" t="s">
        <v>85</v>
      </c>
      <c r="E182" t="s">
        <v>109</v>
      </c>
      <c r="F182">
        <v>1</v>
      </c>
      <c r="G182" t="s">
        <v>67</v>
      </c>
      <c r="H182" t="s">
        <v>110</v>
      </c>
      <c r="I182">
        <v>42</v>
      </c>
      <c r="J182" s="19">
        <f>WEEKNUM(tblRidershipData[[#This Row],[MeasurementDate]])</f>
        <v>38</v>
      </c>
      <c r="K182" s="19">
        <f>MONTH(tblRidershipData[[#This Row],[MeasurementDate]])</f>
        <v>9</v>
      </c>
    </row>
    <row r="183" spans="1:11" x14ac:dyDescent="0.25">
      <c r="A183" s="31">
        <v>43724</v>
      </c>
      <c r="B183" t="s">
        <v>2</v>
      </c>
      <c r="C183">
        <v>6552</v>
      </c>
      <c r="D183" t="s">
        <v>85</v>
      </c>
      <c r="E183" t="s">
        <v>109</v>
      </c>
      <c r="F183">
        <v>1</v>
      </c>
      <c r="G183" t="s">
        <v>74</v>
      </c>
      <c r="H183" t="s">
        <v>110</v>
      </c>
      <c r="I183">
        <v>4</v>
      </c>
      <c r="J183" s="19">
        <f>WEEKNUM(tblRidershipData[[#This Row],[MeasurementDate]])</f>
        <v>38</v>
      </c>
      <c r="K183" s="19">
        <f>MONTH(tblRidershipData[[#This Row],[MeasurementDate]])</f>
        <v>9</v>
      </c>
    </row>
    <row r="184" spans="1:11" x14ac:dyDescent="0.25">
      <c r="A184" s="31">
        <v>43724</v>
      </c>
      <c r="B184" t="s">
        <v>2</v>
      </c>
      <c r="C184">
        <v>6552</v>
      </c>
      <c r="D184" t="s">
        <v>85</v>
      </c>
      <c r="E184" t="s">
        <v>111</v>
      </c>
      <c r="F184">
        <v>1</v>
      </c>
      <c r="G184" t="s">
        <v>52</v>
      </c>
      <c r="H184" t="s">
        <v>112</v>
      </c>
      <c r="I184">
        <v>8</v>
      </c>
      <c r="J184" s="19">
        <f>WEEKNUM(tblRidershipData[[#This Row],[MeasurementDate]])</f>
        <v>38</v>
      </c>
      <c r="K184" s="19">
        <f>MONTH(tblRidershipData[[#This Row],[MeasurementDate]])</f>
        <v>9</v>
      </c>
    </row>
    <row r="185" spans="1:11" x14ac:dyDescent="0.25">
      <c r="A185" s="31">
        <v>43724</v>
      </c>
      <c r="B185" t="s">
        <v>2</v>
      </c>
      <c r="C185">
        <v>6552</v>
      </c>
      <c r="D185" t="s">
        <v>85</v>
      </c>
      <c r="E185" t="s">
        <v>111</v>
      </c>
      <c r="F185">
        <v>1</v>
      </c>
      <c r="G185" t="s">
        <v>56</v>
      </c>
      <c r="H185" t="s">
        <v>112</v>
      </c>
      <c r="I185">
        <v>4</v>
      </c>
      <c r="J185" s="19">
        <f>WEEKNUM(tblRidershipData[[#This Row],[MeasurementDate]])</f>
        <v>38</v>
      </c>
      <c r="K185" s="19">
        <f>MONTH(tblRidershipData[[#This Row],[MeasurementDate]])</f>
        <v>9</v>
      </c>
    </row>
    <row r="186" spans="1:11" x14ac:dyDescent="0.25">
      <c r="A186" s="31">
        <v>43724</v>
      </c>
      <c r="B186" t="s">
        <v>2</v>
      </c>
      <c r="C186">
        <v>6552</v>
      </c>
      <c r="D186" t="s">
        <v>85</v>
      </c>
      <c r="E186" t="s">
        <v>111</v>
      </c>
      <c r="F186">
        <v>1</v>
      </c>
      <c r="G186" t="s">
        <v>72</v>
      </c>
      <c r="H186" t="s">
        <v>112</v>
      </c>
      <c r="I186">
        <v>15</v>
      </c>
      <c r="J186" s="19">
        <f>WEEKNUM(tblRidershipData[[#This Row],[MeasurementDate]])</f>
        <v>38</v>
      </c>
      <c r="K186" s="19">
        <f>MONTH(tblRidershipData[[#This Row],[MeasurementDate]])</f>
        <v>9</v>
      </c>
    </row>
    <row r="187" spans="1:11" x14ac:dyDescent="0.25">
      <c r="A187" s="31">
        <v>43724</v>
      </c>
      <c r="B187" t="s">
        <v>2</v>
      </c>
      <c r="C187">
        <v>6552</v>
      </c>
      <c r="D187" t="s">
        <v>85</v>
      </c>
      <c r="E187" t="s">
        <v>109</v>
      </c>
      <c r="F187">
        <v>1</v>
      </c>
      <c r="G187" t="s">
        <v>43</v>
      </c>
      <c r="H187" t="s">
        <v>112</v>
      </c>
      <c r="I187">
        <v>5</v>
      </c>
      <c r="J187" s="19">
        <f>WEEKNUM(tblRidershipData[[#This Row],[MeasurementDate]])</f>
        <v>38</v>
      </c>
      <c r="K187" s="19">
        <f>MONTH(tblRidershipData[[#This Row],[MeasurementDate]])</f>
        <v>9</v>
      </c>
    </row>
    <row r="188" spans="1:11" x14ac:dyDescent="0.25">
      <c r="A188" s="31">
        <v>43724</v>
      </c>
      <c r="B188" t="s">
        <v>2</v>
      </c>
      <c r="C188">
        <v>6552</v>
      </c>
      <c r="D188" t="s">
        <v>85</v>
      </c>
      <c r="E188" t="s">
        <v>109</v>
      </c>
      <c r="F188">
        <v>1</v>
      </c>
      <c r="G188" t="s">
        <v>46</v>
      </c>
      <c r="H188" t="s">
        <v>112</v>
      </c>
      <c r="I188">
        <v>3</v>
      </c>
      <c r="J188" s="19">
        <f>WEEKNUM(tblRidershipData[[#This Row],[MeasurementDate]])</f>
        <v>38</v>
      </c>
      <c r="K188" s="19">
        <f>MONTH(tblRidershipData[[#This Row],[MeasurementDate]])</f>
        <v>9</v>
      </c>
    </row>
    <row r="189" spans="1:11" x14ac:dyDescent="0.25">
      <c r="A189" s="31">
        <v>43724</v>
      </c>
      <c r="B189" t="s">
        <v>2</v>
      </c>
      <c r="C189">
        <v>6552</v>
      </c>
      <c r="D189" t="s">
        <v>85</v>
      </c>
      <c r="E189" t="s">
        <v>109</v>
      </c>
      <c r="F189">
        <v>1</v>
      </c>
      <c r="G189" t="s">
        <v>55</v>
      </c>
      <c r="H189" t="s">
        <v>112</v>
      </c>
      <c r="I189">
        <v>1</v>
      </c>
      <c r="J189" s="19">
        <f>WEEKNUM(tblRidershipData[[#This Row],[MeasurementDate]])</f>
        <v>38</v>
      </c>
      <c r="K189" s="19">
        <f>MONTH(tblRidershipData[[#This Row],[MeasurementDate]])</f>
        <v>9</v>
      </c>
    </row>
    <row r="190" spans="1:11" x14ac:dyDescent="0.25">
      <c r="A190" s="31">
        <v>43724</v>
      </c>
      <c r="B190" t="s">
        <v>2</v>
      </c>
      <c r="C190">
        <v>6552</v>
      </c>
      <c r="D190" t="s">
        <v>85</v>
      </c>
      <c r="E190" t="s">
        <v>109</v>
      </c>
      <c r="F190">
        <v>1</v>
      </c>
      <c r="G190" t="s">
        <v>57</v>
      </c>
      <c r="H190" t="s">
        <v>112</v>
      </c>
      <c r="I190">
        <v>4</v>
      </c>
      <c r="J190" s="19">
        <f>WEEKNUM(tblRidershipData[[#This Row],[MeasurementDate]])</f>
        <v>38</v>
      </c>
      <c r="K190" s="19">
        <f>MONTH(tblRidershipData[[#This Row],[MeasurementDate]])</f>
        <v>9</v>
      </c>
    </row>
    <row r="191" spans="1:11" x14ac:dyDescent="0.25">
      <c r="A191" s="31">
        <v>43724</v>
      </c>
      <c r="B191" t="s">
        <v>2</v>
      </c>
      <c r="C191">
        <v>6552</v>
      </c>
      <c r="D191" t="s">
        <v>85</v>
      </c>
      <c r="E191" t="s">
        <v>109</v>
      </c>
      <c r="F191">
        <v>1</v>
      </c>
      <c r="G191" t="s">
        <v>66</v>
      </c>
      <c r="H191" t="s">
        <v>112</v>
      </c>
      <c r="I191">
        <v>15</v>
      </c>
      <c r="J191" s="19">
        <f>WEEKNUM(tblRidershipData[[#This Row],[MeasurementDate]])</f>
        <v>38</v>
      </c>
      <c r="K191" s="19">
        <f>MONTH(tblRidershipData[[#This Row],[MeasurementDate]])</f>
        <v>9</v>
      </c>
    </row>
    <row r="192" spans="1:11" x14ac:dyDescent="0.25">
      <c r="A192" s="31">
        <v>43724</v>
      </c>
      <c r="B192" t="s">
        <v>2</v>
      </c>
      <c r="C192">
        <v>6552</v>
      </c>
      <c r="D192" t="s">
        <v>85</v>
      </c>
      <c r="E192" t="s">
        <v>109</v>
      </c>
      <c r="F192">
        <v>1</v>
      </c>
      <c r="G192" t="s">
        <v>69</v>
      </c>
      <c r="H192" t="s">
        <v>112</v>
      </c>
      <c r="I192">
        <v>1</v>
      </c>
      <c r="J192" s="19">
        <f>WEEKNUM(tblRidershipData[[#This Row],[MeasurementDate]])</f>
        <v>38</v>
      </c>
      <c r="K192" s="19">
        <f>MONTH(tblRidershipData[[#This Row],[MeasurementDate]])</f>
        <v>9</v>
      </c>
    </row>
    <row r="193" spans="1:11" x14ac:dyDescent="0.25">
      <c r="A193" s="31">
        <v>43724</v>
      </c>
      <c r="B193" t="s">
        <v>2</v>
      </c>
      <c r="C193">
        <v>6552</v>
      </c>
      <c r="D193" t="s">
        <v>85</v>
      </c>
      <c r="E193" t="s">
        <v>109</v>
      </c>
      <c r="F193">
        <v>1</v>
      </c>
      <c r="G193" t="s">
        <v>70</v>
      </c>
      <c r="H193" t="s">
        <v>112</v>
      </c>
      <c r="I193">
        <v>1</v>
      </c>
      <c r="J193" s="19">
        <f>WEEKNUM(tblRidershipData[[#This Row],[MeasurementDate]])</f>
        <v>38</v>
      </c>
      <c r="K193" s="19">
        <f>MONTH(tblRidershipData[[#This Row],[MeasurementDate]])</f>
        <v>9</v>
      </c>
    </row>
    <row r="194" spans="1:11" x14ac:dyDescent="0.25">
      <c r="A194" s="31">
        <v>43724</v>
      </c>
      <c r="B194" t="s">
        <v>2</v>
      </c>
      <c r="C194">
        <v>6552</v>
      </c>
      <c r="D194" t="s">
        <v>85</v>
      </c>
      <c r="E194" t="s">
        <v>109</v>
      </c>
      <c r="F194">
        <v>1</v>
      </c>
      <c r="G194" t="s">
        <v>71</v>
      </c>
      <c r="H194" t="s">
        <v>112</v>
      </c>
      <c r="I194">
        <v>35</v>
      </c>
      <c r="J194" s="19">
        <f>WEEKNUM(tblRidershipData[[#This Row],[MeasurementDate]])</f>
        <v>38</v>
      </c>
      <c r="K194" s="19">
        <f>MONTH(tblRidershipData[[#This Row],[MeasurementDate]])</f>
        <v>9</v>
      </c>
    </row>
    <row r="195" spans="1:11" x14ac:dyDescent="0.25">
      <c r="A195" s="31">
        <v>43724</v>
      </c>
      <c r="B195" t="s">
        <v>2</v>
      </c>
      <c r="C195">
        <v>6552</v>
      </c>
      <c r="D195" t="s">
        <v>85</v>
      </c>
      <c r="E195" t="s">
        <v>109</v>
      </c>
      <c r="F195">
        <v>1</v>
      </c>
      <c r="G195" t="s">
        <v>76</v>
      </c>
      <c r="H195" t="s">
        <v>112</v>
      </c>
      <c r="I195">
        <v>1</v>
      </c>
      <c r="J195" s="19">
        <f>WEEKNUM(tblRidershipData[[#This Row],[MeasurementDate]])</f>
        <v>38</v>
      </c>
      <c r="K195" s="19">
        <f>MONTH(tblRidershipData[[#This Row],[MeasurementDate]])</f>
        <v>9</v>
      </c>
    </row>
    <row r="196" spans="1:11" x14ac:dyDescent="0.25">
      <c r="A196" s="31">
        <v>43724</v>
      </c>
      <c r="B196" t="s">
        <v>2</v>
      </c>
      <c r="C196">
        <v>6552</v>
      </c>
      <c r="D196" t="s">
        <v>85</v>
      </c>
      <c r="E196" t="s">
        <v>109</v>
      </c>
      <c r="F196">
        <v>2</v>
      </c>
      <c r="G196" t="s">
        <v>43</v>
      </c>
      <c r="H196" t="s">
        <v>112</v>
      </c>
      <c r="I196">
        <v>1</v>
      </c>
      <c r="J196" s="19">
        <f>WEEKNUM(tblRidershipData[[#This Row],[MeasurementDate]])</f>
        <v>38</v>
      </c>
      <c r="K196" s="19">
        <f>MONTH(tblRidershipData[[#This Row],[MeasurementDate]])</f>
        <v>9</v>
      </c>
    </row>
    <row r="197" spans="1:11" x14ac:dyDescent="0.25">
      <c r="A197" s="31">
        <v>43724</v>
      </c>
      <c r="B197" t="s">
        <v>2</v>
      </c>
      <c r="C197">
        <v>6552</v>
      </c>
      <c r="D197" t="s">
        <v>85</v>
      </c>
      <c r="E197" t="s">
        <v>109</v>
      </c>
      <c r="F197">
        <v>2</v>
      </c>
      <c r="G197" t="s">
        <v>46</v>
      </c>
      <c r="H197" t="s">
        <v>112</v>
      </c>
      <c r="I197">
        <v>4</v>
      </c>
      <c r="J197" s="19">
        <f>WEEKNUM(tblRidershipData[[#This Row],[MeasurementDate]])</f>
        <v>38</v>
      </c>
      <c r="K197" s="19">
        <f>MONTH(tblRidershipData[[#This Row],[MeasurementDate]])</f>
        <v>9</v>
      </c>
    </row>
    <row r="198" spans="1:11" x14ac:dyDescent="0.25">
      <c r="A198" s="31">
        <v>43724</v>
      </c>
      <c r="B198" t="s">
        <v>2</v>
      </c>
      <c r="C198">
        <v>6552</v>
      </c>
      <c r="D198" t="s">
        <v>85</v>
      </c>
      <c r="E198" t="s">
        <v>109</v>
      </c>
      <c r="F198">
        <v>2</v>
      </c>
      <c r="G198" t="s">
        <v>55</v>
      </c>
      <c r="H198" t="s">
        <v>112</v>
      </c>
      <c r="I198">
        <v>2</v>
      </c>
      <c r="J198" s="19">
        <f>WEEKNUM(tblRidershipData[[#This Row],[MeasurementDate]])</f>
        <v>38</v>
      </c>
      <c r="K198" s="19">
        <f>MONTH(tblRidershipData[[#This Row],[MeasurementDate]])</f>
        <v>9</v>
      </c>
    </row>
    <row r="199" spans="1:11" x14ac:dyDescent="0.25">
      <c r="A199" s="31">
        <v>43724</v>
      </c>
      <c r="B199" t="s">
        <v>2</v>
      </c>
      <c r="C199">
        <v>6552</v>
      </c>
      <c r="D199" t="s">
        <v>85</v>
      </c>
      <c r="E199" t="s">
        <v>109</v>
      </c>
      <c r="F199">
        <v>2</v>
      </c>
      <c r="G199" t="s">
        <v>57</v>
      </c>
      <c r="H199" t="s">
        <v>112</v>
      </c>
      <c r="I199">
        <v>3</v>
      </c>
      <c r="J199" s="19">
        <f>WEEKNUM(tblRidershipData[[#This Row],[MeasurementDate]])</f>
        <v>38</v>
      </c>
      <c r="K199" s="19">
        <f>MONTH(tblRidershipData[[#This Row],[MeasurementDate]])</f>
        <v>9</v>
      </c>
    </row>
    <row r="200" spans="1:11" x14ac:dyDescent="0.25">
      <c r="A200" s="31">
        <v>43724</v>
      </c>
      <c r="B200" t="s">
        <v>2</v>
      </c>
      <c r="C200">
        <v>6552</v>
      </c>
      <c r="D200" t="s">
        <v>85</v>
      </c>
      <c r="E200" t="s">
        <v>109</v>
      </c>
      <c r="F200">
        <v>2</v>
      </c>
      <c r="G200" t="s">
        <v>66</v>
      </c>
      <c r="H200" t="s">
        <v>112</v>
      </c>
      <c r="I200">
        <v>4</v>
      </c>
      <c r="J200" s="19">
        <f>WEEKNUM(tblRidershipData[[#This Row],[MeasurementDate]])</f>
        <v>38</v>
      </c>
      <c r="K200" s="19">
        <f>MONTH(tblRidershipData[[#This Row],[MeasurementDate]])</f>
        <v>9</v>
      </c>
    </row>
    <row r="201" spans="1:11" x14ac:dyDescent="0.25">
      <c r="A201" s="31">
        <v>43724</v>
      </c>
      <c r="B201" t="s">
        <v>2</v>
      </c>
      <c r="C201">
        <v>6552</v>
      </c>
      <c r="D201" t="s">
        <v>85</v>
      </c>
      <c r="E201" t="s">
        <v>109</v>
      </c>
      <c r="F201">
        <v>2</v>
      </c>
      <c r="G201" t="s">
        <v>69</v>
      </c>
      <c r="H201" t="s">
        <v>112</v>
      </c>
      <c r="I201">
        <v>3</v>
      </c>
      <c r="J201" s="19">
        <f>WEEKNUM(tblRidershipData[[#This Row],[MeasurementDate]])</f>
        <v>38</v>
      </c>
      <c r="K201" s="19">
        <f>MONTH(tblRidershipData[[#This Row],[MeasurementDate]])</f>
        <v>9</v>
      </c>
    </row>
    <row r="202" spans="1:11" x14ac:dyDescent="0.25">
      <c r="A202" s="31">
        <v>43724</v>
      </c>
      <c r="B202" t="s">
        <v>2</v>
      </c>
      <c r="C202">
        <v>6552</v>
      </c>
      <c r="D202" t="s">
        <v>85</v>
      </c>
      <c r="E202" t="s">
        <v>109</v>
      </c>
      <c r="F202">
        <v>2</v>
      </c>
      <c r="G202" t="s">
        <v>71</v>
      </c>
      <c r="H202" t="s">
        <v>112</v>
      </c>
      <c r="I202">
        <v>2</v>
      </c>
      <c r="J202" s="19">
        <f>WEEKNUM(tblRidershipData[[#This Row],[MeasurementDate]])</f>
        <v>38</v>
      </c>
      <c r="K202" s="19">
        <f>MONTH(tblRidershipData[[#This Row],[MeasurementDate]])</f>
        <v>9</v>
      </c>
    </row>
    <row r="203" spans="1:11" x14ac:dyDescent="0.25">
      <c r="A203" s="31">
        <v>43724</v>
      </c>
      <c r="B203" t="s">
        <v>2</v>
      </c>
      <c r="C203">
        <v>7311</v>
      </c>
      <c r="D203" t="s">
        <v>87</v>
      </c>
      <c r="E203" t="s">
        <v>111</v>
      </c>
      <c r="F203">
        <v>1</v>
      </c>
      <c r="G203" t="s">
        <v>43</v>
      </c>
      <c r="H203" t="s">
        <v>110</v>
      </c>
      <c r="I203">
        <v>21</v>
      </c>
      <c r="J203" s="19">
        <f>WEEKNUM(tblRidershipData[[#This Row],[MeasurementDate]])</f>
        <v>38</v>
      </c>
      <c r="K203" s="19">
        <f>MONTH(tblRidershipData[[#This Row],[MeasurementDate]])</f>
        <v>9</v>
      </c>
    </row>
    <row r="204" spans="1:11" x14ac:dyDescent="0.25">
      <c r="A204" s="31">
        <v>43724</v>
      </c>
      <c r="B204" t="s">
        <v>2</v>
      </c>
      <c r="C204">
        <v>7311</v>
      </c>
      <c r="D204" t="s">
        <v>87</v>
      </c>
      <c r="E204" t="s">
        <v>111</v>
      </c>
      <c r="F204">
        <v>1</v>
      </c>
      <c r="G204" t="s">
        <v>44</v>
      </c>
      <c r="H204" t="s">
        <v>110</v>
      </c>
      <c r="I204">
        <v>1</v>
      </c>
      <c r="J204" s="19">
        <f>WEEKNUM(tblRidershipData[[#This Row],[MeasurementDate]])</f>
        <v>38</v>
      </c>
      <c r="K204" s="19">
        <f>MONTH(tblRidershipData[[#This Row],[MeasurementDate]])</f>
        <v>9</v>
      </c>
    </row>
    <row r="205" spans="1:11" x14ac:dyDescent="0.25">
      <c r="A205" s="31">
        <v>43724</v>
      </c>
      <c r="B205" t="s">
        <v>2</v>
      </c>
      <c r="C205">
        <v>7311</v>
      </c>
      <c r="D205" t="s">
        <v>87</v>
      </c>
      <c r="E205" t="s">
        <v>111</v>
      </c>
      <c r="F205">
        <v>1</v>
      </c>
      <c r="G205" t="s">
        <v>52</v>
      </c>
      <c r="H205" t="s">
        <v>110</v>
      </c>
      <c r="I205">
        <v>1</v>
      </c>
      <c r="J205" s="19">
        <f>WEEKNUM(tblRidershipData[[#This Row],[MeasurementDate]])</f>
        <v>38</v>
      </c>
      <c r="K205" s="19">
        <f>MONTH(tblRidershipData[[#This Row],[MeasurementDate]])</f>
        <v>9</v>
      </c>
    </row>
    <row r="206" spans="1:11" x14ac:dyDescent="0.25">
      <c r="A206" s="31">
        <v>43724</v>
      </c>
      <c r="B206" t="s">
        <v>2</v>
      </c>
      <c r="C206">
        <v>7311</v>
      </c>
      <c r="D206" t="s">
        <v>87</v>
      </c>
      <c r="E206" t="s">
        <v>111</v>
      </c>
      <c r="F206">
        <v>1</v>
      </c>
      <c r="G206" t="s">
        <v>57</v>
      </c>
      <c r="H206" t="s">
        <v>110</v>
      </c>
      <c r="I206">
        <v>3</v>
      </c>
      <c r="J206" s="19">
        <f>WEEKNUM(tblRidershipData[[#This Row],[MeasurementDate]])</f>
        <v>38</v>
      </c>
      <c r="K206" s="19">
        <f>MONTH(tblRidershipData[[#This Row],[MeasurementDate]])</f>
        <v>9</v>
      </c>
    </row>
    <row r="207" spans="1:11" x14ac:dyDescent="0.25">
      <c r="A207" s="31">
        <v>43724</v>
      </c>
      <c r="B207" t="s">
        <v>2</v>
      </c>
      <c r="C207">
        <v>7311</v>
      </c>
      <c r="D207" t="s">
        <v>87</v>
      </c>
      <c r="E207" t="s">
        <v>111</v>
      </c>
      <c r="F207">
        <v>1</v>
      </c>
      <c r="G207" t="s">
        <v>59</v>
      </c>
      <c r="H207" t="s">
        <v>110</v>
      </c>
      <c r="I207">
        <v>2</v>
      </c>
      <c r="J207" s="19">
        <f>WEEKNUM(tblRidershipData[[#This Row],[MeasurementDate]])</f>
        <v>38</v>
      </c>
      <c r="K207" s="19">
        <f>MONTH(tblRidershipData[[#This Row],[MeasurementDate]])</f>
        <v>9</v>
      </c>
    </row>
    <row r="208" spans="1:11" x14ac:dyDescent="0.25">
      <c r="A208" s="31">
        <v>43724</v>
      </c>
      <c r="B208" t="s">
        <v>2</v>
      </c>
      <c r="C208">
        <v>7311</v>
      </c>
      <c r="D208" t="s">
        <v>87</v>
      </c>
      <c r="E208" t="s">
        <v>111</v>
      </c>
      <c r="F208">
        <v>1</v>
      </c>
      <c r="G208" t="s">
        <v>60</v>
      </c>
      <c r="H208" t="s">
        <v>110</v>
      </c>
      <c r="I208">
        <v>5</v>
      </c>
      <c r="J208" s="19">
        <f>WEEKNUM(tblRidershipData[[#This Row],[MeasurementDate]])</f>
        <v>38</v>
      </c>
      <c r="K208" s="19">
        <f>MONTH(tblRidershipData[[#This Row],[MeasurementDate]])</f>
        <v>9</v>
      </c>
    </row>
    <row r="209" spans="1:11" x14ac:dyDescent="0.25">
      <c r="A209" s="31">
        <v>43724</v>
      </c>
      <c r="B209" t="s">
        <v>2</v>
      </c>
      <c r="C209">
        <v>7311</v>
      </c>
      <c r="D209" t="s">
        <v>87</v>
      </c>
      <c r="E209" t="s">
        <v>111</v>
      </c>
      <c r="F209">
        <v>1</v>
      </c>
      <c r="G209" t="s">
        <v>66</v>
      </c>
      <c r="H209" t="s">
        <v>110</v>
      </c>
      <c r="I209">
        <v>11</v>
      </c>
      <c r="J209" s="19">
        <f>WEEKNUM(tblRidershipData[[#This Row],[MeasurementDate]])</f>
        <v>38</v>
      </c>
      <c r="K209" s="19">
        <f>MONTH(tblRidershipData[[#This Row],[MeasurementDate]])</f>
        <v>9</v>
      </c>
    </row>
    <row r="210" spans="1:11" x14ac:dyDescent="0.25">
      <c r="A210" s="31">
        <v>43724</v>
      </c>
      <c r="B210" t="s">
        <v>2</v>
      </c>
      <c r="C210">
        <v>7311</v>
      </c>
      <c r="D210" t="s">
        <v>87</v>
      </c>
      <c r="E210" t="s">
        <v>111</v>
      </c>
      <c r="F210">
        <v>1</v>
      </c>
      <c r="G210" t="s">
        <v>71</v>
      </c>
      <c r="H210" t="s">
        <v>110</v>
      </c>
      <c r="I210">
        <v>6</v>
      </c>
      <c r="J210" s="19">
        <f>WEEKNUM(tblRidershipData[[#This Row],[MeasurementDate]])</f>
        <v>38</v>
      </c>
      <c r="K210" s="19">
        <f>MONTH(tblRidershipData[[#This Row],[MeasurementDate]])</f>
        <v>9</v>
      </c>
    </row>
    <row r="211" spans="1:11" x14ac:dyDescent="0.25">
      <c r="A211" s="31">
        <v>43724</v>
      </c>
      <c r="B211" t="s">
        <v>2</v>
      </c>
      <c r="C211">
        <v>7311</v>
      </c>
      <c r="D211" t="s">
        <v>87</v>
      </c>
      <c r="E211" t="s">
        <v>111</v>
      </c>
      <c r="F211">
        <v>2</v>
      </c>
      <c r="G211" t="s">
        <v>59</v>
      </c>
      <c r="H211" t="s">
        <v>110</v>
      </c>
      <c r="I211">
        <v>1</v>
      </c>
      <c r="J211" s="19">
        <f>WEEKNUM(tblRidershipData[[#This Row],[MeasurementDate]])</f>
        <v>38</v>
      </c>
      <c r="K211" s="19">
        <f>MONTH(tblRidershipData[[#This Row],[MeasurementDate]])</f>
        <v>9</v>
      </c>
    </row>
    <row r="212" spans="1:11" x14ac:dyDescent="0.25">
      <c r="A212" s="31">
        <v>43724</v>
      </c>
      <c r="B212" t="s">
        <v>2</v>
      </c>
      <c r="C212">
        <v>7311</v>
      </c>
      <c r="D212" t="s">
        <v>87</v>
      </c>
      <c r="E212" t="s">
        <v>111</v>
      </c>
      <c r="F212">
        <v>2</v>
      </c>
      <c r="G212" t="s">
        <v>60</v>
      </c>
      <c r="H212" t="s">
        <v>110</v>
      </c>
      <c r="I212">
        <v>7</v>
      </c>
      <c r="J212" s="19">
        <f>WEEKNUM(tblRidershipData[[#This Row],[MeasurementDate]])</f>
        <v>38</v>
      </c>
      <c r="K212" s="19">
        <f>MONTH(tblRidershipData[[#This Row],[MeasurementDate]])</f>
        <v>9</v>
      </c>
    </row>
    <row r="213" spans="1:11" x14ac:dyDescent="0.25">
      <c r="A213" s="31">
        <v>43724</v>
      </c>
      <c r="B213" t="s">
        <v>2</v>
      </c>
      <c r="C213">
        <v>7311</v>
      </c>
      <c r="D213" t="s">
        <v>87</v>
      </c>
      <c r="E213" t="s">
        <v>111</v>
      </c>
      <c r="F213">
        <v>2</v>
      </c>
      <c r="G213" t="s">
        <v>71</v>
      </c>
      <c r="H213" t="s">
        <v>110</v>
      </c>
      <c r="I213">
        <v>2</v>
      </c>
      <c r="J213" s="19">
        <f>WEEKNUM(tblRidershipData[[#This Row],[MeasurementDate]])</f>
        <v>38</v>
      </c>
      <c r="K213" s="19">
        <f>MONTH(tblRidershipData[[#This Row],[MeasurementDate]])</f>
        <v>9</v>
      </c>
    </row>
    <row r="214" spans="1:11" x14ac:dyDescent="0.25">
      <c r="A214" s="31">
        <v>43724</v>
      </c>
      <c r="B214" t="s">
        <v>2</v>
      </c>
      <c r="C214">
        <v>7311</v>
      </c>
      <c r="D214" t="s">
        <v>87</v>
      </c>
      <c r="E214" t="s">
        <v>111</v>
      </c>
      <c r="F214">
        <v>1</v>
      </c>
      <c r="G214" t="s">
        <v>52</v>
      </c>
      <c r="H214" t="s">
        <v>112</v>
      </c>
      <c r="I214">
        <v>20</v>
      </c>
      <c r="J214" s="19">
        <f>WEEKNUM(tblRidershipData[[#This Row],[MeasurementDate]])</f>
        <v>38</v>
      </c>
      <c r="K214" s="19">
        <f>MONTH(tblRidershipData[[#This Row],[MeasurementDate]])</f>
        <v>9</v>
      </c>
    </row>
    <row r="215" spans="1:11" x14ac:dyDescent="0.25">
      <c r="A215" s="31">
        <v>43724</v>
      </c>
      <c r="B215" t="s">
        <v>2</v>
      </c>
      <c r="C215">
        <v>7311</v>
      </c>
      <c r="D215" t="s">
        <v>87</v>
      </c>
      <c r="E215" t="s">
        <v>111</v>
      </c>
      <c r="F215">
        <v>1</v>
      </c>
      <c r="G215" t="s">
        <v>55</v>
      </c>
      <c r="H215" t="s">
        <v>112</v>
      </c>
      <c r="I215">
        <v>1</v>
      </c>
      <c r="J215" s="19">
        <f>WEEKNUM(tblRidershipData[[#This Row],[MeasurementDate]])</f>
        <v>38</v>
      </c>
      <c r="K215" s="19">
        <f>MONTH(tblRidershipData[[#This Row],[MeasurementDate]])</f>
        <v>9</v>
      </c>
    </row>
    <row r="216" spans="1:11" x14ac:dyDescent="0.25">
      <c r="A216" s="31">
        <v>43724</v>
      </c>
      <c r="B216" t="s">
        <v>2</v>
      </c>
      <c r="C216">
        <v>7311</v>
      </c>
      <c r="D216" t="s">
        <v>87</v>
      </c>
      <c r="E216" t="s">
        <v>111</v>
      </c>
      <c r="F216">
        <v>1</v>
      </c>
      <c r="G216" t="s">
        <v>59</v>
      </c>
      <c r="H216" t="s">
        <v>112</v>
      </c>
      <c r="I216">
        <v>24</v>
      </c>
      <c r="J216" s="19">
        <f>WEEKNUM(tblRidershipData[[#This Row],[MeasurementDate]])</f>
        <v>38</v>
      </c>
      <c r="K216" s="19">
        <f>MONTH(tblRidershipData[[#This Row],[MeasurementDate]])</f>
        <v>9</v>
      </c>
    </row>
    <row r="217" spans="1:11" x14ac:dyDescent="0.25">
      <c r="A217" s="31">
        <v>43724</v>
      </c>
      <c r="B217" t="s">
        <v>2</v>
      </c>
      <c r="C217">
        <v>7311</v>
      </c>
      <c r="D217" t="s">
        <v>87</v>
      </c>
      <c r="E217" t="s">
        <v>111</v>
      </c>
      <c r="F217">
        <v>1</v>
      </c>
      <c r="G217" t="s">
        <v>70</v>
      </c>
      <c r="H217" t="s">
        <v>112</v>
      </c>
      <c r="I217">
        <v>5</v>
      </c>
      <c r="J217" s="19">
        <f>WEEKNUM(tblRidershipData[[#This Row],[MeasurementDate]])</f>
        <v>38</v>
      </c>
      <c r="K217" s="19">
        <f>MONTH(tblRidershipData[[#This Row],[MeasurementDate]])</f>
        <v>9</v>
      </c>
    </row>
    <row r="218" spans="1:11" x14ac:dyDescent="0.25">
      <c r="A218" s="31">
        <v>43724</v>
      </c>
      <c r="B218" t="s">
        <v>2</v>
      </c>
      <c r="C218">
        <v>7311</v>
      </c>
      <c r="D218" t="s">
        <v>87</v>
      </c>
      <c r="E218" t="s">
        <v>111</v>
      </c>
      <c r="F218">
        <v>1</v>
      </c>
      <c r="G218" t="s">
        <v>71</v>
      </c>
      <c r="H218" t="s">
        <v>112</v>
      </c>
      <c r="I218">
        <v>1</v>
      </c>
      <c r="J218" s="19">
        <f>WEEKNUM(tblRidershipData[[#This Row],[MeasurementDate]])</f>
        <v>38</v>
      </c>
      <c r="K218" s="19">
        <f>MONTH(tblRidershipData[[#This Row],[MeasurementDate]])</f>
        <v>9</v>
      </c>
    </row>
    <row r="219" spans="1:11" x14ac:dyDescent="0.25">
      <c r="A219" s="31">
        <v>43724</v>
      </c>
      <c r="B219" t="s">
        <v>2</v>
      </c>
      <c r="C219">
        <v>7311</v>
      </c>
      <c r="D219" t="s">
        <v>87</v>
      </c>
      <c r="E219" t="s">
        <v>111</v>
      </c>
      <c r="F219">
        <v>2</v>
      </c>
      <c r="G219" t="s">
        <v>52</v>
      </c>
      <c r="H219" t="s">
        <v>112</v>
      </c>
      <c r="I219">
        <v>9</v>
      </c>
      <c r="J219" s="19">
        <f>WEEKNUM(tblRidershipData[[#This Row],[MeasurementDate]])</f>
        <v>38</v>
      </c>
      <c r="K219" s="19">
        <f>MONTH(tblRidershipData[[#This Row],[MeasurementDate]])</f>
        <v>9</v>
      </c>
    </row>
    <row r="220" spans="1:11" x14ac:dyDescent="0.25">
      <c r="A220" s="31">
        <v>43724</v>
      </c>
      <c r="B220" t="s">
        <v>2</v>
      </c>
      <c r="C220">
        <v>7311</v>
      </c>
      <c r="D220" t="s">
        <v>87</v>
      </c>
      <c r="E220" t="s">
        <v>109</v>
      </c>
      <c r="F220">
        <v>1</v>
      </c>
      <c r="G220" t="s">
        <v>43</v>
      </c>
      <c r="H220" t="s">
        <v>112</v>
      </c>
      <c r="I220">
        <v>15</v>
      </c>
      <c r="J220" s="19">
        <f>WEEKNUM(tblRidershipData[[#This Row],[MeasurementDate]])</f>
        <v>38</v>
      </c>
      <c r="K220" s="19">
        <f>MONTH(tblRidershipData[[#This Row],[MeasurementDate]])</f>
        <v>9</v>
      </c>
    </row>
    <row r="221" spans="1:11" x14ac:dyDescent="0.25">
      <c r="A221" s="31">
        <v>43724</v>
      </c>
      <c r="B221" t="s">
        <v>2</v>
      </c>
      <c r="C221">
        <v>7311</v>
      </c>
      <c r="D221" t="s">
        <v>87</v>
      </c>
      <c r="E221" t="s">
        <v>109</v>
      </c>
      <c r="F221">
        <v>1</v>
      </c>
      <c r="G221" t="s">
        <v>44</v>
      </c>
      <c r="H221" t="s">
        <v>112</v>
      </c>
      <c r="I221">
        <v>1</v>
      </c>
      <c r="J221" s="19">
        <f>WEEKNUM(tblRidershipData[[#This Row],[MeasurementDate]])</f>
        <v>38</v>
      </c>
      <c r="K221" s="19">
        <f>MONTH(tblRidershipData[[#This Row],[MeasurementDate]])</f>
        <v>9</v>
      </c>
    </row>
    <row r="222" spans="1:11" x14ac:dyDescent="0.25">
      <c r="A222" s="31">
        <v>43724</v>
      </c>
      <c r="B222" t="s">
        <v>2</v>
      </c>
      <c r="C222">
        <v>7311</v>
      </c>
      <c r="D222" t="s">
        <v>87</v>
      </c>
      <c r="E222" t="s">
        <v>109</v>
      </c>
      <c r="F222">
        <v>1</v>
      </c>
      <c r="G222" t="s">
        <v>51</v>
      </c>
      <c r="H222" t="s">
        <v>112</v>
      </c>
      <c r="I222">
        <v>8</v>
      </c>
      <c r="J222" s="19">
        <f>WEEKNUM(tblRidershipData[[#This Row],[MeasurementDate]])</f>
        <v>38</v>
      </c>
      <c r="K222" s="19">
        <f>MONTH(tblRidershipData[[#This Row],[MeasurementDate]])</f>
        <v>9</v>
      </c>
    </row>
    <row r="223" spans="1:11" x14ac:dyDescent="0.25">
      <c r="A223" s="31">
        <v>43724</v>
      </c>
      <c r="B223" t="s">
        <v>2</v>
      </c>
      <c r="C223">
        <v>7311</v>
      </c>
      <c r="D223" t="s">
        <v>87</v>
      </c>
      <c r="E223" t="s">
        <v>109</v>
      </c>
      <c r="F223">
        <v>1</v>
      </c>
      <c r="G223" t="s">
        <v>60</v>
      </c>
      <c r="H223" t="s">
        <v>112</v>
      </c>
      <c r="I223">
        <v>9</v>
      </c>
      <c r="J223" s="19">
        <f>WEEKNUM(tblRidershipData[[#This Row],[MeasurementDate]])</f>
        <v>38</v>
      </c>
      <c r="K223" s="19">
        <f>MONTH(tblRidershipData[[#This Row],[MeasurementDate]])</f>
        <v>9</v>
      </c>
    </row>
    <row r="224" spans="1:11" x14ac:dyDescent="0.25">
      <c r="A224" s="31">
        <v>43724</v>
      </c>
      <c r="B224" t="s">
        <v>2</v>
      </c>
      <c r="C224">
        <v>7311</v>
      </c>
      <c r="D224" t="s">
        <v>87</v>
      </c>
      <c r="E224" t="s">
        <v>109</v>
      </c>
      <c r="F224">
        <v>1</v>
      </c>
      <c r="G224" t="s">
        <v>65</v>
      </c>
      <c r="H224" t="s">
        <v>112</v>
      </c>
      <c r="I224">
        <v>10</v>
      </c>
      <c r="J224" s="19">
        <f>WEEKNUM(tblRidershipData[[#This Row],[MeasurementDate]])</f>
        <v>38</v>
      </c>
      <c r="K224" s="19">
        <f>MONTH(tblRidershipData[[#This Row],[MeasurementDate]])</f>
        <v>9</v>
      </c>
    </row>
    <row r="225" spans="1:11" x14ac:dyDescent="0.25">
      <c r="A225" s="31">
        <v>43724</v>
      </c>
      <c r="B225" t="s">
        <v>2</v>
      </c>
      <c r="C225">
        <v>7311</v>
      </c>
      <c r="D225" t="s">
        <v>87</v>
      </c>
      <c r="E225" t="s">
        <v>109</v>
      </c>
      <c r="F225">
        <v>1</v>
      </c>
      <c r="G225" t="s">
        <v>66</v>
      </c>
      <c r="H225" t="s">
        <v>112</v>
      </c>
      <c r="I225">
        <v>14</v>
      </c>
      <c r="J225" s="19">
        <f>WEEKNUM(tblRidershipData[[#This Row],[MeasurementDate]])</f>
        <v>38</v>
      </c>
      <c r="K225" s="19">
        <f>MONTH(tblRidershipData[[#This Row],[MeasurementDate]])</f>
        <v>9</v>
      </c>
    </row>
    <row r="226" spans="1:11" x14ac:dyDescent="0.25">
      <c r="A226" s="31">
        <v>43724</v>
      </c>
      <c r="B226" t="s">
        <v>2</v>
      </c>
      <c r="C226">
        <v>7311</v>
      </c>
      <c r="D226" t="s">
        <v>87</v>
      </c>
      <c r="E226" t="s">
        <v>109</v>
      </c>
      <c r="F226">
        <v>1</v>
      </c>
      <c r="G226" t="s">
        <v>69</v>
      </c>
      <c r="H226" t="s">
        <v>112</v>
      </c>
      <c r="I226">
        <v>6</v>
      </c>
      <c r="J226" s="19">
        <f>WEEKNUM(tblRidershipData[[#This Row],[MeasurementDate]])</f>
        <v>38</v>
      </c>
      <c r="K226" s="19">
        <f>MONTH(tblRidershipData[[#This Row],[MeasurementDate]])</f>
        <v>9</v>
      </c>
    </row>
    <row r="227" spans="1:11" x14ac:dyDescent="0.25">
      <c r="A227" s="31">
        <v>43724</v>
      </c>
      <c r="B227" t="s">
        <v>2</v>
      </c>
      <c r="C227">
        <v>7311</v>
      </c>
      <c r="D227" t="s">
        <v>87</v>
      </c>
      <c r="E227" t="s">
        <v>109</v>
      </c>
      <c r="F227">
        <v>1</v>
      </c>
      <c r="G227" t="s">
        <v>70</v>
      </c>
      <c r="H227" t="s">
        <v>112</v>
      </c>
      <c r="I227">
        <v>4</v>
      </c>
      <c r="J227" s="19">
        <f>WEEKNUM(tblRidershipData[[#This Row],[MeasurementDate]])</f>
        <v>38</v>
      </c>
      <c r="K227" s="19">
        <f>MONTH(tblRidershipData[[#This Row],[MeasurementDate]])</f>
        <v>9</v>
      </c>
    </row>
    <row r="228" spans="1:11" x14ac:dyDescent="0.25">
      <c r="A228" s="31">
        <v>43724</v>
      </c>
      <c r="B228" t="s">
        <v>2</v>
      </c>
      <c r="C228">
        <v>7311</v>
      </c>
      <c r="D228" t="s">
        <v>87</v>
      </c>
      <c r="E228" t="s">
        <v>109</v>
      </c>
      <c r="F228">
        <v>1</v>
      </c>
      <c r="G228" t="s">
        <v>71</v>
      </c>
      <c r="H228" t="s">
        <v>112</v>
      </c>
      <c r="I228">
        <v>6</v>
      </c>
      <c r="J228" s="19">
        <f>WEEKNUM(tblRidershipData[[#This Row],[MeasurementDate]])</f>
        <v>38</v>
      </c>
      <c r="K228" s="19">
        <f>MONTH(tblRidershipData[[#This Row],[MeasurementDate]])</f>
        <v>9</v>
      </c>
    </row>
    <row r="229" spans="1:11" x14ac:dyDescent="0.25">
      <c r="A229" s="31">
        <v>43724</v>
      </c>
      <c r="B229" t="s">
        <v>2</v>
      </c>
      <c r="C229">
        <v>7311</v>
      </c>
      <c r="D229" t="s">
        <v>87</v>
      </c>
      <c r="E229" t="s">
        <v>109</v>
      </c>
      <c r="F229">
        <v>1</v>
      </c>
      <c r="G229" t="s">
        <v>75</v>
      </c>
      <c r="H229" t="s">
        <v>112</v>
      </c>
      <c r="I229">
        <v>8</v>
      </c>
      <c r="J229" s="19">
        <f>WEEKNUM(tblRidershipData[[#This Row],[MeasurementDate]])</f>
        <v>38</v>
      </c>
      <c r="K229" s="19">
        <f>MONTH(tblRidershipData[[#This Row],[MeasurementDate]])</f>
        <v>9</v>
      </c>
    </row>
    <row r="230" spans="1:11" x14ac:dyDescent="0.25">
      <c r="A230" s="31">
        <v>43724</v>
      </c>
      <c r="B230" t="s">
        <v>2</v>
      </c>
      <c r="C230">
        <v>7311</v>
      </c>
      <c r="D230" t="s">
        <v>87</v>
      </c>
      <c r="E230" t="s">
        <v>109</v>
      </c>
      <c r="F230">
        <v>2</v>
      </c>
      <c r="G230" t="s">
        <v>43</v>
      </c>
      <c r="H230" t="s">
        <v>112</v>
      </c>
      <c r="I230">
        <v>1</v>
      </c>
      <c r="J230" s="19">
        <f>WEEKNUM(tblRidershipData[[#This Row],[MeasurementDate]])</f>
        <v>38</v>
      </c>
      <c r="K230" s="19">
        <f>MONTH(tblRidershipData[[#This Row],[MeasurementDate]])</f>
        <v>9</v>
      </c>
    </row>
    <row r="231" spans="1:11" x14ac:dyDescent="0.25">
      <c r="A231" s="31">
        <v>43724</v>
      </c>
      <c r="B231" t="s">
        <v>2</v>
      </c>
      <c r="C231">
        <v>7311</v>
      </c>
      <c r="D231" t="s">
        <v>87</v>
      </c>
      <c r="E231" t="s">
        <v>109</v>
      </c>
      <c r="F231">
        <v>2</v>
      </c>
      <c r="G231" t="s">
        <v>44</v>
      </c>
      <c r="H231" t="s">
        <v>112</v>
      </c>
      <c r="I231">
        <v>5</v>
      </c>
      <c r="J231" s="19">
        <f>WEEKNUM(tblRidershipData[[#This Row],[MeasurementDate]])</f>
        <v>38</v>
      </c>
      <c r="K231" s="19">
        <f>MONTH(tblRidershipData[[#This Row],[MeasurementDate]])</f>
        <v>9</v>
      </c>
    </row>
    <row r="232" spans="1:11" x14ac:dyDescent="0.25">
      <c r="A232" s="31">
        <v>43724</v>
      </c>
      <c r="B232" t="s">
        <v>2</v>
      </c>
      <c r="C232">
        <v>7311</v>
      </c>
      <c r="D232" t="s">
        <v>87</v>
      </c>
      <c r="E232" t="s">
        <v>109</v>
      </c>
      <c r="F232">
        <v>2</v>
      </c>
      <c r="G232" t="s">
        <v>46</v>
      </c>
      <c r="H232" t="s">
        <v>112</v>
      </c>
      <c r="I232">
        <v>16</v>
      </c>
      <c r="J232" s="19">
        <f>WEEKNUM(tblRidershipData[[#This Row],[MeasurementDate]])</f>
        <v>38</v>
      </c>
      <c r="K232" s="19">
        <f>MONTH(tblRidershipData[[#This Row],[MeasurementDate]])</f>
        <v>9</v>
      </c>
    </row>
    <row r="233" spans="1:11" x14ac:dyDescent="0.25">
      <c r="A233" s="31">
        <v>43724</v>
      </c>
      <c r="B233" t="s">
        <v>2</v>
      </c>
      <c r="C233">
        <v>7311</v>
      </c>
      <c r="D233" t="s">
        <v>87</v>
      </c>
      <c r="E233" t="s">
        <v>109</v>
      </c>
      <c r="F233">
        <v>2</v>
      </c>
      <c r="G233" t="s">
        <v>55</v>
      </c>
      <c r="H233" t="s">
        <v>112</v>
      </c>
      <c r="I233">
        <v>9</v>
      </c>
      <c r="J233" s="19">
        <f>WEEKNUM(tblRidershipData[[#This Row],[MeasurementDate]])</f>
        <v>38</v>
      </c>
      <c r="K233" s="19">
        <f>MONTH(tblRidershipData[[#This Row],[MeasurementDate]])</f>
        <v>9</v>
      </c>
    </row>
    <row r="234" spans="1:11" x14ac:dyDescent="0.25">
      <c r="A234" s="31">
        <v>43724</v>
      </c>
      <c r="B234" t="s">
        <v>2</v>
      </c>
      <c r="C234">
        <v>7311</v>
      </c>
      <c r="D234" t="s">
        <v>87</v>
      </c>
      <c r="E234" t="s">
        <v>109</v>
      </c>
      <c r="F234">
        <v>2</v>
      </c>
      <c r="G234" t="s">
        <v>66</v>
      </c>
      <c r="H234" t="s">
        <v>112</v>
      </c>
      <c r="I234">
        <v>2</v>
      </c>
      <c r="J234" s="19">
        <f>WEEKNUM(tblRidershipData[[#This Row],[MeasurementDate]])</f>
        <v>38</v>
      </c>
      <c r="K234" s="19">
        <f>MONTH(tblRidershipData[[#This Row],[MeasurementDate]])</f>
        <v>9</v>
      </c>
    </row>
    <row r="235" spans="1:11" x14ac:dyDescent="0.25">
      <c r="A235" s="31">
        <v>43724</v>
      </c>
      <c r="B235" t="s">
        <v>2</v>
      </c>
      <c r="C235">
        <v>7311</v>
      </c>
      <c r="D235" t="s">
        <v>87</v>
      </c>
      <c r="E235" t="s">
        <v>109</v>
      </c>
      <c r="F235">
        <v>2</v>
      </c>
      <c r="G235" t="s">
        <v>69</v>
      </c>
      <c r="H235" t="s">
        <v>112</v>
      </c>
      <c r="I235">
        <v>3</v>
      </c>
      <c r="J235" s="19">
        <f>WEEKNUM(tblRidershipData[[#This Row],[MeasurementDate]])</f>
        <v>38</v>
      </c>
      <c r="K235" s="19">
        <f>MONTH(tblRidershipData[[#This Row],[MeasurementDate]])</f>
        <v>9</v>
      </c>
    </row>
    <row r="236" spans="1:11" x14ac:dyDescent="0.25">
      <c r="A236" s="31">
        <v>43724</v>
      </c>
      <c r="B236" t="s">
        <v>2</v>
      </c>
      <c r="C236">
        <v>8312</v>
      </c>
      <c r="D236" t="s">
        <v>83</v>
      </c>
      <c r="E236" t="s">
        <v>111</v>
      </c>
      <c r="F236">
        <v>1</v>
      </c>
      <c r="G236" t="s">
        <v>43</v>
      </c>
      <c r="H236" t="s">
        <v>110</v>
      </c>
      <c r="I236">
        <v>8</v>
      </c>
      <c r="J236" s="19">
        <f>WEEKNUM(tblRidershipData[[#This Row],[MeasurementDate]])</f>
        <v>38</v>
      </c>
      <c r="K236" s="19">
        <f>MONTH(tblRidershipData[[#This Row],[MeasurementDate]])</f>
        <v>9</v>
      </c>
    </row>
    <row r="237" spans="1:11" x14ac:dyDescent="0.25">
      <c r="A237" s="31">
        <v>43724</v>
      </c>
      <c r="B237" t="s">
        <v>2</v>
      </c>
      <c r="C237">
        <v>8312</v>
      </c>
      <c r="D237" t="s">
        <v>83</v>
      </c>
      <c r="E237" t="s">
        <v>111</v>
      </c>
      <c r="F237">
        <v>1</v>
      </c>
      <c r="G237" t="s">
        <v>44</v>
      </c>
      <c r="H237" t="s">
        <v>110</v>
      </c>
      <c r="I237">
        <v>2</v>
      </c>
      <c r="J237" s="19">
        <f>WEEKNUM(tblRidershipData[[#This Row],[MeasurementDate]])</f>
        <v>38</v>
      </c>
      <c r="K237" s="19">
        <f>MONTH(tblRidershipData[[#This Row],[MeasurementDate]])</f>
        <v>9</v>
      </c>
    </row>
    <row r="238" spans="1:11" x14ac:dyDescent="0.25">
      <c r="A238" s="31">
        <v>43724</v>
      </c>
      <c r="B238" t="s">
        <v>2</v>
      </c>
      <c r="C238">
        <v>8312</v>
      </c>
      <c r="D238" t="s">
        <v>83</v>
      </c>
      <c r="E238" t="s">
        <v>111</v>
      </c>
      <c r="F238">
        <v>1</v>
      </c>
      <c r="G238" t="s">
        <v>46</v>
      </c>
      <c r="H238" t="s">
        <v>110</v>
      </c>
      <c r="I238">
        <v>7</v>
      </c>
      <c r="J238" s="19">
        <f>WEEKNUM(tblRidershipData[[#This Row],[MeasurementDate]])</f>
        <v>38</v>
      </c>
      <c r="K238" s="19">
        <f>MONTH(tblRidershipData[[#This Row],[MeasurementDate]])</f>
        <v>9</v>
      </c>
    </row>
    <row r="239" spans="1:11" x14ac:dyDescent="0.25">
      <c r="A239" s="31">
        <v>43724</v>
      </c>
      <c r="B239" t="s">
        <v>2</v>
      </c>
      <c r="C239">
        <v>8312</v>
      </c>
      <c r="D239" t="s">
        <v>83</v>
      </c>
      <c r="E239" t="s">
        <v>111</v>
      </c>
      <c r="F239">
        <v>1</v>
      </c>
      <c r="G239" t="s">
        <v>55</v>
      </c>
      <c r="H239" t="s">
        <v>110</v>
      </c>
      <c r="I239">
        <v>3</v>
      </c>
      <c r="J239" s="19">
        <f>WEEKNUM(tblRidershipData[[#This Row],[MeasurementDate]])</f>
        <v>38</v>
      </c>
      <c r="K239" s="19">
        <f>MONTH(tblRidershipData[[#This Row],[MeasurementDate]])</f>
        <v>9</v>
      </c>
    </row>
    <row r="240" spans="1:11" x14ac:dyDescent="0.25">
      <c r="A240" s="31">
        <v>43724</v>
      </c>
      <c r="B240" t="s">
        <v>2</v>
      </c>
      <c r="C240">
        <v>8312</v>
      </c>
      <c r="D240" t="s">
        <v>83</v>
      </c>
      <c r="E240" t="s">
        <v>111</v>
      </c>
      <c r="F240">
        <v>1</v>
      </c>
      <c r="G240" t="s">
        <v>69</v>
      </c>
      <c r="H240" t="s">
        <v>110</v>
      </c>
      <c r="I240">
        <v>3</v>
      </c>
      <c r="J240" s="19">
        <f>WEEKNUM(tblRidershipData[[#This Row],[MeasurementDate]])</f>
        <v>38</v>
      </c>
      <c r="K240" s="19">
        <f>MONTH(tblRidershipData[[#This Row],[MeasurementDate]])</f>
        <v>9</v>
      </c>
    </row>
    <row r="241" spans="1:11" x14ac:dyDescent="0.25">
      <c r="A241" s="31">
        <v>43724</v>
      </c>
      <c r="B241" t="s">
        <v>2</v>
      </c>
      <c r="C241">
        <v>8312</v>
      </c>
      <c r="D241" t="s">
        <v>83</v>
      </c>
      <c r="E241" t="s">
        <v>111</v>
      </c>
      <c r="F241">
        <v>1</v>
      </c>
      <c r="G241" t="s">
        <v>70</v>
      </c>
      <c r="H241" t="s">
        <v>110</v>
      </c>
      <c r="I241">
        <v>5</v>
      </c>
      <c r="J241" s="19">
        <f>WEEKNUM(tblRidershipData[[#This Row],[MeasurementDate]])</f>
        <v>38</v>
      </c>
      <c r="K241" s="19">
        <f>MONTH(tblRidershipData[[#This Row],[MeasurementDate]])</f>
        <v>9</v>
      </c>
    </row>
    <row r="242" spans="1:11" x14ac:dyDescent="0.25">
      <c r="A242" s="31">
        <v>43724</v>
      </c>
      <c r="B242" t="s">
        <v>2</v>
      </c>
      <c r="C242">
        <v>8312</v>
      </c>
      <c r="D242" t="s">
        <v>83</v>
      </c>
      <c r="E242" t="s">
        <v>111</v>
      </c>
      <c r="F242">
        <v>1</v>
      </c>
      <c r="G242" t="s">
        <v>76</v>
      </c>
      <c r="H242" t="s">
        <v>110</v>
      </c>
      <c r="I242">
        <v>1</v>
      </c>
      <c r="J242" s="19">
        <f>WEEKNUM(tblRidershipData[[#This Row],[MeasurementDate]])</f>
        <v>38</v>
      </c>
      <c r="K242" s="19">
        <f>MONTH(tblRidershipData[[#This Row],[MeasurementDate]])</f>
        <v>9</v>
      </c>
    </row>
    <row r="243" spans="1:11" x14ac:dyDescent="0.25">
      <c r="A243" s="31">
        <v>43724</v>
      </c>
      <c r="B243" t="s">
        <v>2</v>
      </c>
      <c r="C243">
        <v>8312</v>
      </c>
      <c r="D243" t="s">
        <v>83</v>
      </c>
      <c r="E243" t="s">
        <v>111</v>
      </c>
      <c r="F243">
        <v>2</v>
      </c>
      <c r="G243" t="s">
        <v>59</v>
      </c>
      <c r="H243" t="s">
        <v>110</v>
      </c>
      <c r="I243">
        <v>1</v>
      </c>
      <c r="J243" s="19">
        <f>WEEKNUM(tblRidershipData[[#This Row],[MeasurementDate]])</f>
        <v>38</v>
      </c>
      <c r="K243" s="19">
        <f>MONTH(tblRidershipData[[#This Row],[MeasurementDate]])</f>
        <v>9</v>
      </c>
    </row>
    <row r="244" spans="1:11" x14ac:dyDescent="0.25">
      <c r="A244" s="31">
        <v>43724</v>
      </c>
      <c r="B244" t="s">
        <v>2</v>
      </c>
      <c r="C244">
        <v>8312</v>
      </c>
      <c r="D244" t="s">
        <v>83</v>
      </c>
      <c r="E244" t="s">
        <v>111</v>
      </c>
      <c r="F244">
        <v>2</v>
      </c>
      <c r="G244" t="s">
        <v>60</v>
      </c>
      <c r="H244" t="s">
        <v>110</v>
      </c>
      <c r="I244">
        <v>3</v>
      </c>
      <c r="J244" s="19">
        <f>WEEKNUM(tblRidershipData[[#This Row],[MeasurementDate]])</f>
        <v>38</v>
      </c>
      <c r="K244" s="19">
        <f>MONTH(tblRidershipData[[#This Row],[MeasurementDate]])</f>
        <v>9</v>
      </c>
    </row>
    <row r="245" spans="1:11" x14ac:dyDescent="0.25">
      <c r="A245" s="31">
        <v>43724</v>
      </c>
      <c r="B245" t="s">
        <v>2</v>
      </c>
      <c r="C245">
        <v>8312</v>
      </c>
      <c r="D245" t="s">
        <v>83</v>
      </c>
      <c r="E245" t="s">
        <v>111</v>
      </c>
      <c r="F245">
        <v>2</v>
      </c>
      <c r="G245" t="s">
        <v>70</v>
      </c>
      <c r="H245" t="s">
        <v>110</v>
      </c>
      <c r="I245">
        <v>1</v>
      </c>
      <c r="J245" s="19">
        <f>WEEKNUM(tblRidershipData[[#This Row],[MeasurementDate]])</f>
        <v>38</v>
      </c>
      <c r="K245" s="19">
        <f>MONTH(tblRidershipData[[#This Row],[MeasurementDate]])</f>
        <v>9</v>
      </c>
    </row>
    <row r="246" spans="1:11" x14ac:dyDescent="0.25">
      <c r="A246" s="31">
        <v>43724</v>
      </c>
      <c r="B246" t="s">
        <v>2</v>
      </c>
      <c r="C246">
        <v>8312</v>
      </c>
      <c r="D246" t="s">
        <v>83</v>
      </c>
      <c r="E246" t="s">
        <v>109</v>
      </c>
      <c r="F246">
        <v>1</v>
      </c>
      <c r="G246" t="s">
        <v>70</v>
      </c>
      <c r="H246" t="s">
        <v>110</v>
      </c>
      <c r="I246">
        <v>1</v>
      </c>
      <c r="J246" s="19">
        <f>WEEKNUM(tblRidershipData[[#This Row],[MeasurementDate]])</f>
        <v>38</v>
      </c>
      <c r="K246" s="19">
        <f>MONTH(tblRidershipData[[#This Row],[MeasurementDate]])</f>
        <v>9</v>
      </c>
    </row>
    <row r="247" spans="1:11" x14ac:dyDescent="0.25">
      <c r="A247" s="31">
        <v>43724</v>
      </c>
      <c r="B247" t="s">
        <v>2</v>
      </c>
      <c r="C247">
        <v>8312</v>
      </c>
      <c r="D247" t="s">
        <v>83</v>
      </c>
      <c r="E247" t="s">
        <v>109</v>
      </c>
      <c r="F247">
        <v>1</v>
      </c>
      <c r="G247" t="s">
        <v>72</v>
      </c>
      <c r="H247" t="s">
        <v>110</v>
      </c>
      <c r="I247">
        <v>21</v>
      </c>
      <c r="J247" s="19">
        <f>WEEKNUM(tblRidershipData[[#This Row],[MeasurementDate]])</f>
        <v>38</v>
      </c>
      <c r="K247" s="19">
        <f>MONTH(tblRidershipData[[#This Row],[MeasurementDate]])</f>
        <v>9</v>
      </c>
    </row>
    <row r="248" spans="1:11" x14ac:dyDescent="0.25">
      <c r="A248" s="31">
        <v>43724</v>
      </c>
      <c r="B248" t="s">
        <v>2</v>
      </c>
      <c r="C248">
        <v>8312</v>
      </c>
      <c r="D248" t="s">
        <v>83</v>
      </c>
      <c r="E248" t="s">
        <v>109</v>
      </c>
      <c r="F248">
        <v>1</v>
      </c>
      <c r="G248" t="s">
        <v>74</v>
      </c>
      <c r="H248" t="s">
        <v>110</v>
      </c>
      <c r="I248">
        <v>30</v>
      </c>
      <c r="J248" s="19">
        <f>WEEKNUM(tblRidershipData[[#This Row],[MeasurementDate]])</f>
        <v>38</v>
      </c>
      <c r="K248" s="19">
        <f>MONTH(tblRidershipData[[#This Row],[MeasurementDate]])</f>
        <v>9</v>
      </c>
    </row>
    <row r="249" spans="1:11" x14ac:dyDescent="0.25">
      <c r="A249" s="31">
        <v>43724</v>
      </c>
      <c r="B249" t="s">
        <v>2</v>
      </c>
      <c r="C249">
        <v>8312</v>
      </c>
      <c r="D249" t="s">
        <v>83</v>
      </c>
      <c r="E249" t="s">
        <v>109</v>
      </c>
      <c r="F249">
        <v>1</v>
      </c>
      <c r="G249" t="s">
        <v>75</v>
      </c>
      <c r="H249" t="s">
        <v>110</v>
      </c>
      <c r="I249">
        <v>17</v>
      </c>
      <c r="J249" s="19">
        <f>WEEKNUM(tblRidershipData[[#This Row],[MeasurementDate]])</f>
        <v>38</v>
      </c>
      <c r="K249" s="19">
        <f>MONTH(tblRidershipData[[#This Row],[MeasurementDate]])</f>
        <v>9</v>
      </c>
    </row>
    <row r="250" spans="1:11" x14ac:dyDescent="0.25">
      <c r="A250" s="31">
        <v>43724</v>
      </c>
      <c r="B250" t="s">
        <v>2</v>
      </c>
      <c r="C250">
        <v>8312</v>
      </c>
      <c r="D250" t="s">
        <v>83</v>
      </c>
      <c r="E250" t="s">
        <v>111</v>
      </c>
      <c r="F250">
        <v>1</v>
      </c>
      <c r="G250" t="s">
        <v>42</v>
      </c>
      <c r="H250" t="s">
        <v>112</v>
      </c>
      <c r="I250">
        <v>12</v>
      </c>
      <c r="J250" s="19">
        <f>WEEKNUM(tblRidershipData[[#This Row],[MeasurementDate]])</f>
        <v>38</v>
      </c>
      <c r="K250" s="19">
        <f>MONTH(tblRidershipData[[#This Row],[MeasurementDate]])</f>
        <v>9</v>
      </c>
    </row>
    <row r="251" spans="1:11" x14ac:dyDescent="0.25">
      <c r="A251" s="31">
        <v>43724</v>
      </c>
      <c r="B251" t="s">
        <v>2</v>
      </c>
      <c r="C251">
        <v>8312</v>
      </c>
      <c r="D251" t="s">
        <v>83</v>
      </c>
      <c r="E251" t="s">
        <v>111</v>
      </c>
      <c r="F251">
        <v>1</v>
      </c>
      <c r="G251" t="s">
        <v>57</v>
      </c>
      <c r="H251" t="s">
        <v>112</v>
      </c>
      <c r="I251">
        <v>7</v>
      </c>
      <c r="J251" s="19">
        <f>WEEKNUM(tblRidershipData[[#This Row],[MeasurementDate]])</f>
        <v>38</v>
      </c>
      <c r="K251" s="19">
        <f>MONTH(tblRidershipData[[#This Row],[MeasurementDate]])</f>
        <v>9</v>
      </c>
    </row>
    <row r="252" spans="1:11" x14ac:dyDescent="0.25">
      <c r="A252" s="31">
        <v>43724</v>
      </c>
      <c r="B252" t="s">
        <v>2</v>
      </c>
      <c r="C252">
        <v>8312</v>
      </c>
      <c r="D252" t="s">
        <v>83</v>
      </c>
      <c r="E252" t="s">
        <v>111</v>
      </c>
      <c r="F252">
        <v>1</v>
      </c>
      <c r="G252" t="s">
        <v>69</v>
      </c>
      <c r="H252" t="s">
        <v>112</v>
      </c>
      <c r="I252">
        <v>7</v>
      </c>
      <c r="J252" s="19">
        <f>WEEKNUM(tblRidershipData[[#This Row],[MeasurementDate]])</f>
        <v>38</v>
      </c>
      <c r="K252" s="19">
        <f>MONTH(tblRidershipData[[#This Row],[MeasurementDate]])</f>
        <v>9</v>
      </c>
    </row>
    <row r="253" spans="1:11" x14ac:dyDescent="0.25">
      <c r="A253" s="31">
        <v>43724</v>
      </c>
      <c r="B253" t="s">
        <v>2</v>
      </c>
      <c r="C253">
        <v>8312</v>
      </c>
      <c r="D253" t="s">
        <v>83</v>
      </c>
      <c r="E253" t="s">
        <v>111</v>
      </c>
      <c r="F253">
        <v>2</v>
      </c>
      <c r="G253" t="s">
        <v>44</v>
      </c>
      <c r="H253" t="s">
        <v>112</v>
      </c>
      <c r="I253">
        <v>5</v>
      </c>
      <c r="J253" s="19">
        <f>WEEKNUM(tblRidershipData[[#This Row],[MeasurementDate]])</f>
        <v>38</v>
      </c>
      <c r="K253" s="19">
        <f>MONTH(tblRidershipData[[#This Row],[MeasurementDate]])</f>
        <v>9</v>
      </c>
    </row>
    <row r="254" spans="1:11" x14ac:dyDescent="0.25">
      <c r="A254" s="31">
        <v>43724</v>
      </c>
      <c r="B254" t="s">
        <v>2</v>
      </c>
      <c r="C254">
        <v>8312</v>
      </c>
      <c r="D254" t="s">
        <v>83</v>
      </c>
      <c r="E254" t="s">
        <v>109</v>
      </c>
      <c r="F254">
        <v>1</v>
      </c>
      <c r="G254" t="s">
        <v>43</v>
      </c>
      <c r="H254" t="s">
        <v>112</v>
      </c>
      <c r="I254">
        <v>3</v>
      </c>
      <c r="J254" s="19">
        <f>WEEKNUM(tblRidershipData[[#This Row],[MeasurementDate]])</f>
        <v>38</v>
      </c>
      <c r="K254" s="19">
        <f>MONTH(tblRidershipData[[#This Row],[MeasurementDate]])</f>
        <v>9</v>
      </c>
    </row>
    <row r="255" spans="1:11" x14ac:dyDescent="0.25">
      <c r="A255" s="31">
        <v>43724</v>
      </c>
      <c r="B255" t="s">
        <v>2</v>
      </c>
      <c r="C255">
        <v>8312</v>
      </c>
      <c r="D255" t="s">
        <v>83</v>
      </c>
      <c r="E255" t="s">
        <v>109</v>
      </c>
      <c r="F255">
        <v>1</v>
      </c>
      <c r="G255" t="s">
        <v>44</v>
      </c>
      <c r="H255" t="s">
        <v>112</v>
      </c>
      <c r="I255">
        <v>7</v>
      </c>
      <c r="J255" s="19">
        <f>WEEKNUM(tblRidershipData[[#This Row],[MeasurementDate]])</f>
        <v>38</v>
      </c>
      <c r="K255" s="19">
        <f>MONTH(tblRidershipData[[#This Row],[MeasurementDate]])</f>
        <v>9</v>
      </c>
    </row>
    <row r="256" spans="1:11" x14ac:dyDescent="0.25">
      <c r="A256" s="31">
        <v>43724</v>
      </c>
      <c r="B256" t="s">
        <v>2</v>
      </c>
      <c r="C256">
        <v>8312</v>
      </c>
      <c r="D256" t="s">
        <v>83</v>
      </c>
      <c r="E256" t="s">
        <v>109</v>
      </c>
      <c r="F256">
        <v>1</v>
      </c>
      <c r="G256" t="s">
        <v>46</v>
      </c>
      <c r="H256" t="s">
        <v>112</v>
      </c>
      <c r="I256">
        <v>7</v>
      </c>
      <c r="J256" s="19">
        <f>WEEKNUM(tblRidershipData[[#This Row],[MeasurementDate]])</f>
        <v>38</v>
      </c>
      <c r="K256" s="19">
        <f>MONTH(tblRidershipData[[#This Row],[MeasurementDate]])</f>
        <v>9</v>
      </c>
    </row>
    <row r="257" spans="1:11" x14ac:dyDescent="0.25">
      <c r="A257" s="31">
        <v>43724</v>
      </c>
      <c r="B257" t="s">
        <v>2</v>
      </c>
      <c r="C257">
        <v>8312</v>
      </c>
      <c r="D257" t="s">
        <v>83</v>
      </c>
      <c r="E257" t="s">
        <v>109</v>
      </c>
      <c r="F257">
        <v>1</v>
      </c>
      <c r="G257" t="s">
        <v>55</v>
      </c>
      <c r="H257" t="s">
        <v>112</v>
      </c>
      <c r="I257">
        <v>4</v>
      </c>
      <c r="J257" s="19">
        <f>WEEKNUM(tblRidershipData[[#This Row],[MeasurementDate]])</f>
        <v>38</v>
      </c>
      <c r="K257" s="19">
        <f>MONTH(tblRidershipData[[#This Row],[MeasurementDate]])</f>
        <v>9</v>
      </c>
    </row>
    <row r="258" spans="1:11" x14ac:dyDescent="0.25">
      <c r="A258" s="31">
        <v>43724</v>
      </c>
      <c r="B258" t="s">
        <v>2</v>
      </c>
      <c r="C258">
        <v>8312</v>
      </c>
      <c r="D258" t="s">
        <v>83</v>
      </c>
      <c r="E258" t="s">
        <v>109</v>
      </c>
      <c r="F258">
        <v>1</v>
      </c>
      <c r="G258" t="s">
        <v>59</v>
      </c>
      <c r="H258" t="s">
        <v>112</v>
      </c>
      <c r="I258">
        <v>2</v>
      </c>
      <c r="J258" s="19">
        <f>WEEKNUM(tblRidershipData[[#This Row],[MeasurementDate]])</f>
        <v>38</v>
      </c>
      <c r="K258" s="19">
        <f>MONTH(tblRidershipData[[#This Row],[MeasurementDate]])</f>
        <v>9</v>
      </c>
    </row>
    <row r="259" spans="1:11" x14ac:dyDescent="0.25">
      <c r="A259" s="31">
        <v>43724</v>
      </c>
      <c r="B259" t="s">
        <v>2</v>
      </c>
      <c r="C259">
        <v>8312</v>
      </c>
      <c r="D259" t="s">
        <v>83</v>
      </c>
      <c r="E259" t="s">
        <v>109</v>
      </c>
      <c r="F259">
        <v>1</v>
      </c>
      <c r="G259" t="s">
        <v>60</v>
      </c>
      <c r="H259" t="s">
        <v>112</v>
      </c>
      <c r="I259">
        <v>19</v>
      </c>
      <c r="J259" s="19">
        <f>WEEKNUM(tblRidershipData[[#This Row],[MeasurementDate]])</f>
        <v>38</v>
      </c>
      <c r="K259" s="19">
        <f>MONTH(tblRidershipData[[#This Row],[MeasurementDate]])</f>
        <v>9</v>
      </c>
    </row>
    <row r="260" spans="1:11" x14ac:dyDescent="0.25">
      <c r="A260" s="31">
        <v>43724</v>
      </c>
      <c r="B260" t="s">
        <v>2</v>
      </c>
      <c r="C260">
        <v>8312</v>
      </c>
      <c r="D260" t="s">
        <v>83</v>
      </c>
      <c r="E260" t="s">
        <v>109</v>
      </c>
      <c r="F260">
        <v>1</v>
      </c>
      <c r="G260" t="s">
        <v>69</v>
      </c>
      <c r="H260" t="s">
        <v>112</v>
      </c>
      <c r="I260">
        <v>7</v>
      </c>
      <c r="J260" s="19">
        <f>WEEKNUM(tblRidershipData[[#This Row],[MeasurementDate]])</f>
        <v>38</v>
      </c>
      <c r="K260" s="19">
        <f>MONTH(tblRidershipData[[#This Row],[MeasurementDate]])</f>
        <v>9</v>
      </c>
    </row>
    <row r="261" spans="1:11" x14ac:dyDescent="0.25">
      <c r="A261" s="31">
        <v>43724</v>
      </c>
      <c r="B261" t="s">
        <v>2</v>
      </c>
      <c r="C261">
        <v>8312</v>
      </c>
      <c r="D261" t="s">
        <v>83</v>
      </c>
      <c r="E261" t="s">
        <v>109</v>
      </c>
      <c r="F261">
        <v>1</v>
      </c>
      <c r="G261" t="s">
        <v>70</v>
      </c>
      <c r="H261" t="s">
        <v>112</v>
      </c>
      <c r="I261">
        <v>10</v>
      </c>
      <c r="J261" s="19">
        <f>WEEKNUM(tblRidershipData[[#This Row],[MeasurementDate]])</f>
        <v>38</v>
      </c>
      <c r="K261" s="19">
        <f>MONTH(tblRidershipData[[#This Row],[MeasurementDate]])</f>
        <v>9</v>
      </c>
    </row>
    <row r="262" spans="1:11" x14ac:dyDescent="0.25">
      <c r="A262" s="31">
        <v>43724</v>
      </c>
      <c r="B262" t="s">
        <v>2</v>
      </c>
      <c r="C262">
        <v>8312</v>
      </c>
      <c r="D262" t="s">
        <v>83</v>
      </c>
      <c r="E262" t="s">
        <v>109</v>
      </c>
      <c r="F262">
        <v>1</v>
      </c>
      <c r="G262" t="s">
        <v>71</v>
      </c>
      <c r="H262" t="s">
        <v>112</v>
      </c>
      <c r="I262">
        <v>6</v>
      </c>
      <c r="J262" s="19">
        <f>WEEKNUM(tblRidershipData[[#This Row],[MeasurementDate]])</f>
        <v>38</v>
      </c>
      <c r="K262" s="19">
        <f>MONTH(tblRidershipData[[#This Row],[MeasurementDate]])</f>
        <v>9</v>
      </c>
    </row>
    <row r="263" spans="1:11" x14ac:dyDescent="0.25">
      <c r="A263" s="31">
        <v>43724</v>
      </c>
      <c r="B263" t="s">
        <v>2</v>
      </c>
      <c r="C263">
        <v>8314</v>
      </c>
      <c r="D263" t="s">
        <v>86</v>
      </c>
      <c r="E263" t="s">
        <v>111</v>
      </c>
      <c r="F263">
        <v>1</v>
      </c>
      <c r="G263" t="s">
        <v>57</v>
      </c>
      <c r="H263" t="s">
        <v>110</v>
      </c>
      <c r="I263">
        <v>7</v>
      </c>
      <c r="J263" s="19">
        <f>WEEKNUM(tblRidershipData[[#This Row],[MeasurementDate]])</f>
        <v>38</v>
      </c>
      <c r="K263" s="19">
        <f>MONTH(tblRidershipData[[#This Row],[MeasurementDate]])</f>
        <v>9</v>
      </c>
    </row>
    <row r="264" spans="1:11" x14ac:dyDescent="0.25">
      <c r="A264" s="31">
        <v>43724</v>
      </c>
      <c r="B264" t="s">
        <v>2</v>
      </c>
      <c r="C264">
        <v>8314</v>
      </c>
      <c r="D264" t="s">
        <v>86</v>
      </c>
      <c r="E264" t="s">
        <v>111</v>
      </c>
      <c r="F264">
        <v>1</v>
      </c>
      <c r="G264" t="s">
        <v>66</v>
      </c>
      <c r="H264" t="s">
        <v>110</v>
      </c>
      <c r="I264">
        <v>10</v>
      </c>
      <c r="J264" s="19">
        <f>WEEKNUM(tblRidershipData[[#This Row],[MeasurementDate]])</f>
        <v>38</v>
      </c>
      <c r="K264" s="19">
        <f>MONTH(tblRidershipData[[#This Row],[MeasurementDate]])</f>
        <v>9</v>
      </c>
    </row>
    <row r="265" spans="1:11" x14ac:dyDescent="0.25">
      <c r="A265" s="31">
        <v>43724</v>
      </c>
      <c r="B265" t="s">
        <v>2</v>
      </c>
      <c r="C265">
        <v>8314</v>
      </c>
      <c r="D265" t="s">
        <v>86</v>
      </c>
      <c r="E265" t="s">
        <v>111</v>
      </c>
      <c r="F265">
        <v>1</v>
      </c>
      <c r="G265" t="s">
        <v>70</v>
      </c>
      <c r="H265" t="s">
        <v>110</v>
      </c>
      <c r="I265">
        <v>10</v>
      </c>
      <c r="J265" s="19">
        <f>WEEKNUM(tblRidershipData[[#This Row],[MeasurementDate]])</f>
        <v>38</v>
      </c>
      <c r="K265" s="19">
        <f>MONTH(tblRidershipData[[#This Row],[MeasurementDate]])</f>
        <v>9</v>
      </c>
    </row>
    <row r="266" spans="1:11" x14ac:dyDescent="0.25">
      <c r="A266" s="31">
        <v>43724</v>
      </c>
      <c r="B266" t="s">
        <v>2</v>
      </c>
      <c r="C266">
        <v>8314</v>
      </c>
      <c r="D266" t="s">
        <v>86</v>
      </c>
      <c r="E266" t="s">
        <v>111</v>
      </c>
      <c r="F266">
        <v>1</v>
      </c>
      <c r="G266" t="s">
        <v>76</v>
      </c>
      <c r="H266" t="s">
        <v>110</v>
      </c>
      <c r="I266">
        <v>3</v>
      </c>
      <c r="J266" s="19">
        <f>WEEKNUM(tblRidershipData[[#This Row],[MeasurementDate]])</f>
        <v>38</v>
      </c>
      <c r="K266" s="19">
        <f>MONTH(tblRidershipData[[#This Row],[MeasurementDate]])</f>
        <v>9</v>
      </c>
    </row>
    <row r="267" spans="1:11" x14ac:dyDescent="0.25">
      <c r="A267" s="31">
        <v>43724</v>
      </c>
      <c r="B267" t="s">
        <v>2</v>
      </c>
      <c r="C267">
        <v>8314</v>
      </c>
      <c r="D267" t="s">
        <v>86</v>
      </c>
      <c r="E267" t="s">
        <v>111</v>
      </c>
      <c r="F267">
        <v>2</v>
      </c>
      <c r="G267" t="s">
        <v>43</v>
      </c>
      <c r="H267" t="s">
        <v>110</v>
      </c>
      <c r="I267">
        <v>5</v>
      </c>
      <c r="J267" s="19">
        <f>WEEKNUM(tblRidershipData[[#This Row],[MeasurementDate]])</f>
        <v>38</v>
      </c>
      <c r="K267" s="19">
        <f>MONTH(tblRidershipData[[#This Row],[MeasurementDate]])</f>
        <v>9</v>
      </c>
    </row>
    <row r="268" spans="1:11" x14ac:dyDescent="0.25">
      <c r="A268" s="31">
        <v>43724</v>
      </c>
      <c r="B268" t="s">
        <v>2</v>
      </c>
      <c r="C268">
        <v>8314</v>
      </c>
      <c r="D268" t="s">
        <v>86</v>
      </c>
      <c r="E268" t="s">
        <v>111</v>
      </c>
      <c r="F268">
        <v>2</v>
      </c>
      <c r="G268" t="s">
        <v>44</v>
      </c>
      <c r="H268" t="s">
        <v>110</v>
      </c>
      <c r="I268">
        <v>2</v>
      </c>
      <c r="J268" s="19">
        <f>WEEKNUM(tblRidershipData[[#This Row],[MeasurementDate]])</f>
        <v>38</v>
      </c>
      <c r="K268" s="19">
        <f>MONTH(tblRidershipData[[#This Row],[MeasurementDate]])</f>
        <v>9</v>
      </c>
    </row>
    <row r="269" spans="1:11" x14ac:dyDescent="0.25">
      <c r="A269" s="31">
        <v>43724</v>
      </c>
      <c r="B269" t="s">
        <v>2</v>
      </c>
      <c r="C269">
        <v>8314</v>
      </c>
      <c r="D269" t="s">
        <v>86</v>
      </c>
      <c r="E269" t="s">
        <v>111</v>
      </c>
      <c r="F269">
        <v>2</v>
      </c>
      <c r="G269" t="s">
        <v>65</v>
      </c>
      <c r="H269" t="s">
        <v>110</v>
      </c>
      <c r="I269">
        <v>1</v>
      </c>
      <c r="J269" s="19">
        <f>WEEKNUM(tblRidershipData[[#This Row],[MeasurementDate]])</f>
        <v>38</v>
      </c>
      <c r="K269" s="19">
        <f>MONTH(tblRidershipData[[#This Row],[MeasurementDate]])</f>
        <v>9</v>
      </c>
    </row>
    <row r="270" spans="1:11" x14ac:dyDescent="0.25">
      <c r="A270" s="31">
        <v>43724</v>
      </c>
      <c r="B270" t="s">
        <v>2</v>
      </c>
      <c r="C270">
        <v>8314</v>
      </c>
      <c r="D270" t="s">
        <v>86</v>
      </c>
      <c r="E270" t="s">
        <v>111</v>
      </c>
      <c r="F270">
        <v>2</v>
      </c>
      <c r="G270" t="s">
        <v>66</v>
      </c>
      <c r="H270" t="s">
        <v>110</v>
      </c>
      <c r="I270">
        <v>1</v>
      </c>
      <c r="J270" s="19">
        <f>WEEKNUM(tblRidershipData[[#This Row],[MeasurementDate]])</f>
        <v>38</v>
      </c>
      <c r="K270" s="19">
        <f>MONTH(tblRidershipData[[#This Row],[MeasurementDate]])</f>
        <v>9</v>
      </c>
    </row>
    <row r="271" spans="1:11" x14ac:dyDescent="0.25">
      <c r="A271" s="31">
        <v>43724</v>
      </c>
      <c r="B271" t="s">
        <v>2</v>
      </c>
      <c r="C271">
        <v>8314</v>
      </c>
      <c r="D271" t="s">
        <v>86</v>
      </c>
      <c r="E271" t="s">
        <v>111</v>
      </c>
      <c r="F271">
        <v>2</v>
      </c>
      <c r="G271" t="s">
        <v>69</v>
      </c>
      <c r="H271" t="s">
        <v>110</v>
      </c>
      <c r="I271">
        <v>5</v>
      </c>
      <c r="J271" s="19">
        <f>WEEKNUM(tblRidershipData[[#This Row],[MeasurementDate]])</f>
        <v>38</v>
      </c>
      <c r="K271" s="19">
        <f>MONTH(tblRidershipData[[#This Row],[MeasurementDate]])</f>
        <v>9</v>
      </c>
    </row>
    <row r="272" spans="1:11" x14ac:dyDescent="0.25">
      <c r="A272" s="31">
        <v>43724</v>
      </c>
      <c r="B272" t="s">
        <v>2</v>
      </c>
      <c r="C272">
        <v>8314</v>
      </c>
      <c r="D272" t="s">
        <v>86</v>
      </c>
      <c r="E272" t="s">
        <v>111</v>
      </c>
      <c r="F272">
        <v>2</v>
      </c>
      <c r="G272" t="s">
        <v>70</v>
      </c>
      <c r="H272" t="s">
        <v>110</v>
      </c>
      <c r="I272">
        <v>7</v>
      </c>
      <c r="J272" s="19">
        <f>WEEKNUM(tblRidershipData[[#This Row],[MeasurementDate]])</f>
        <v>38</v>
      </c>
      <c r="K272" s="19">
        <f>MONTH(tblRidershipData[[#This Row],[MeasurementDate]])</f>
        <v>9</v>
      </c>
    </row>
    <row r="273" spans="1:11" x14ac:dyDescent="0.25">
      <c r="A273" s="31">
        <v>43724</v>
      </c>
      <c r="B273" t="s">
        <v>2</v>
      </c>
      <c r="C273">
        <v>8314</v>
      </c>
      <c r="D273" t="s">
        <v>86</v>
      </c>
      <c r="E273" t="s">
        <v>109</v>
      </c>
      <c r="F273">
        <v>1</v>
      </c>
      <c r="G273" t="s">
        <v>61</v>
      </c>
      <c r="H273" t="s">
        <v>110</v>
      </c>
      <c r="I273">
        <v>15</v>
      </c>
      <c r="J273" s="19">
        <f>WEEKNUM(tblRidershipData[[#This Row],[MeasurementDate]])</f>
        <v>38</v>
      </c>
      <c r="K273" s="19">
        <f>MONTH(tblRidershipData[[#This Row],[MeasurementDate]])</f>
        <v>9</v>
      </c>
    </row>
    <row r="274" spans="1:11" x14ac:dyDescent="0.25">
      <c r="A274" s="31">
        <v>43724</v>
      </c>
      <c r="B274" t="s">
        <v>2</v>
      </c>
      <c r="C274">
        <v>8314</v>
      </c>
      <c r="D274" t="s">
        <v>86</v>
      </c>
      <c r="E274" t="s">
        <v>109</v>
      </c>
      <c r="F274">
        <v>1</v>
      </c>
      <c r="G274" t="s">
        <v>73</v>
      </c>
      <c r="H274" t="s">
        <v>110</v>
      </c>
      <c r="I274">
        <v>35</v>
      </c>
      <c r="J274" s="19">
        <f>WEEKNUM(tblRidershipData[[#This Row],[MeasurementDate]])</f>
        <v>38</v>
      </c>
      <c r="K274" s="19">
        <f>MONTH(tblRidershipData[[#This Row],[MeasurementDate]])</f>
        <v>9</v>
      </c>
    </row>
    <row r="275" spans="1:11" x14ac:dyDescent="0.25">
      <c r="A275" s="31">
        <v>43724</v>
      </c>
      <c r="B275" t="s">
        <v>2</v>
      </c>
      <c r="C275">
        <v>8314</v>
      </c>
      <c r="D275" t="s">
        <v>86</v>
      </c>
      <c r="E275" t="s">
        <v>109</v>
      </c>
      <c r="F275">
        <v>2</v>
      </c>
      <c r="G275" t="s">
        <v>52</v>
      </c>
      <c r="H275" t="s">
        <v>110</v>
      </c>
      <c r="I275">
        <v>8</v>
      </c>
      <c r="J275" s="19">
        <f>WEEKNUM(tblRidershipData[[#This Row],[MeasurementDate]])</f>
        <v>38</v>
      </c>
      <c r="K275" s="19">
        <f>MONTH(tblRidershipData[[#This Row],[MeasurementDate]])</f>
        <v>9</v>
      </c>
    </row>
    <row r="276" spans="1:11" x14ac:dyDescent="0.25">
      <c r="A276" s="31">
        <v>43724</v>
      </c>
      <c r="B276" t="s">
        <v>2</v>
      </c>
      <c r="C276">
        <v>8314</v>
      </c>
      <c r="D276" t="s">
        <v>86</v>
      </c>
      <c r="E276" t="s">
        <v>109</v>
      </c>
      <c r="F276">
        <v>2</v>
      </c>
      <c r="G276" t="s">
        <v>59</v>
      </c>
      <c r="H276" t="s">
        <v>110</v>
      </c>
      <c r="I276">
        <v>8</v>
      </c>
      <c r="J276" s="19">
        <f>WEEKNUM(tblRidershipData[[#This Row],[MeasurementDate]])</f>
        <v>38</v>
      </c>
      <c r="K276" s="19">
        <f>MONTH(tblRidershipData[[#This Row],[MeasurementDate]])</f>
        <v>9</v>
      </c>
    </row>
    <row r="277" spans="1:11" x14ac:dyDescent="0.25">
      <c r="A277" s="31">
        <v>43724</v>
      </c>
      <c r="B277" t="s">
        <v>2</v>
      </c>
      <c r="C277">
        <v>8314</v>
      </c>
      <c r="D277" t="s">
        <v>86</v>
      </c>
      <c r="E277" t="s">
        <v>111</v>
      </c>
      <c r="F277">
        <v>1</v>
      </c>
      <c r="G277" t="s">
        <v>67</v>
      </c>
      <c r="H277" t="s">
        <v>112</v>
      </c>
      <c r="I277">
        <v>24</v>
      </c>
      <c r="J277" s="19">
        <f>WEEKNUM(tblRidershipData[[#This Row],[MeasurementDate]])</f>
        <v>38</v>
      </c>
      <c r="K277" s="19">
        <f>MONTH(tblRidershipData[[#This Row],[MeasurementDate]])</f>
        <v>9</v>
      </c>
    </row>
    <row r="278" spans="1:11" x14ac:dyDescent="0.25">
      <c r="A278" s="31">
        <v>43724</v>
      </c>
      <c r="B278" t="s">
        <v>2</v>
      </c>
      <c r="C278">
        <v>8314</v>
      </c>
      <c r="D278" t="s">
        <v>86</v>
      </c>
      <c r="E278" t="s">
        <v>111</v>
      </c>
      <c r="F278">
        <v>1</v>
      </c>
      <c r="G278" t="s">
        <v>69</v>
      </c>
      <c r="H278" t="s">
        <v>112</v>
      </c>
      <c r="I278">
        <v>2</v>
      </c>
      <c r="J278" s="19">
        <f>WEEKNUM(tblRidershipData[[#This Row],[MeasurementDate]])</f>
        <v>38</v>
      </c>
      <c r="K278" s="19">
        <f>MONTH(tblRidershipData[[#This Row],[MeasurementDate]])</f>
        <v>9</v>
      </c>
    </row>
    <row r="279" spans="1:11" x14ac:dyDescent="0.25">
      <c r="A279" s="31">
        <v>43724</v>
      </c>
      <c r="B279" t="s">
        <v>2</v>
      </c>
      <c r="C279">
        <v>8314</v>
      </c>
      <c r="D279" t="s">
        <v>86</v>
      </c>
      <c r="E279" t="s">
        <v>111</v>
      </c>
      <c r="F279">
        <v>2</v>
      </c>
      <c r="G279" t="s">
        <v>44</v>
      </c>
      <c r="H279" t="s">
        <v>112</v>
      </c>
      <c r="I279">
        <v>1</v>
      </c>
      <c r="J279" s="19">
        <f>WEEKNUM(tblRidershipData[[#This Row],[MeasurementDate]])</f>
        <v>38</v>
      </c>
      <c r="K279" s="19">
        <f>MONTH(tblRidershipData[[#This Row],[MeasurementDate]])</f>
        <v>9</v>
      </c>
    </row>
    <row r="280" spans="1:11" x14ac:dyDescent="0.25">
      <c r="A280" s="31">
        <v>43724</v>
      </c>
      <c r="B280" t="s">
        <v>2</v>
      </c>
      <c r="C280">
        <v>8314</v>
      </c>
      <c r="D280" t="s">
        <v>86</v>
      </c>
      <c r="E280" t="s">
        <v>111</v>
      </c>
      <c r="F280">
        <v>2</v>
      </c>
      <c r="G280" t="s">
        <v>52</v>
      </c>
      <c r="H280" t="s">
        <v>112</v>
      </c>
      <c r="I280">
        <v>14</v>
      </c>
      <c r="J280" s="19">
        <f>WEEKNUM(tblRidershipData[[#This Row],[MeasurementDate]])</f>
        <v>38</v>
      </c>
      <c r="K280" s="19">
        <f>MONTH(tblRidershipData[[#This Row],[MeasurementDate]])</f>
        <v>9</v>
      </c>
    </row>
    <row r="281" spans="1:11" x14ac:dyDescent="0.25">
      <c r="A281" s="31">
        <v>43724</v>
      </c>
      <c r="B281" t="s">
        <v>2</v>
      </c>
      <c r="C281">
        <v>8314</v>
      </c>
      <c r="D281" t="s">
        <v>86</v>
      </c>
      <c r="E281" t="s">
        <v>111</v>
      </c>
      <c r="F281">
        <v>2</v>
      </c>
      <c r="G281" t="s">
        <v>65</v>
      </c>
      <c r="H281" t="s">
        <v>112</v>
      </c>
      <c r="I281">
        <v>8</v>
      </c>
      <c r="J281" s="19">
        <f>WEEKNUM(tblRidershipData[[#This Row],[MeasurementDate]])</f>
        <v>38</v>
      </c>
      <c r="K281" s="19">
        <f>MONTH(tblRidershipData[[#This Row],[MeasurementDate]])</f>
        <v>9</v>
      </c>
    </row>
    <row r="282" spans="1:11" x14ac:dyDescent="0.25">
      <c r="A282" s="31">
        <v>43724</v>
      </c>
      <c r="B282" t="s">
        <v>2</v>
      </c>
      <c r="C282">
        <v>8314</v>
      </c>
      <c r="D282" t="s">
        <v>86</v>
      </c>
      <c r="E282" t="s">
        <v>111</v>
      </c>
      <c r="F282">
        <v>2</v>
      </c>
      <c r="G282" t="s">
        <v>66</v>
      </c>
      <c r="H282" t="s">
        <v>112</v>
      </c>
      <c r="I282">
        <v>2</v>
      </c>
      <c r="J282" s="19">
        <f>WEEKNUM(tblRidershipData[[#This Row],[MeasurementDate]])</f>
        <v>38</v>
      </c>
      <c r="K282" s="19">
        <f>MONTH(tblRidershipData[[#This Row],[MeasurementDate]])</f>
        <v>9</v>
      </c>
    </row>
    <row r="283" spans="1:11" x14ac:dyDescent="0.25">
      <c r="A283" s="31">
        <v>43724</v>
      </c>
      <c r="B283" t="s">
        <v>2</v>
      </c>
      <c r="C283">
        <v>8314</v>
      </c>
      <c r="D283" t="s">
        <v>86</v>
      </c>
      <c r="E283" t="s">
        <v>109</v>
      </c>
      <c r="F283">
        <v>1</v>
      </c>
      <c r="G283" t="s">
        <v>43</v>
      </c>
      <c r="H283" t="s">
        <v>112</v>
      </c>
      <c r="I283">
        <v>12</v>
      </c>
      <c r="J283" s="19">
        <f>WEEKNUM(tblRidershipData[[#This Row],[MeasurementDate]])</f>
        <v>38</v>
      </c>
      <c r="K283" s="19">
        <f>MONTH(tblRidershipData[[#This Row],[MeasurementDate]])</f>
        <v>9</v>
      </c>
    </row>
    <row r="284" spans="1:11" x14ac:dyDescent="0.25">
      <c r="A284" s="31">
        <v>43724</v>
      </c>
      <c r="B284" t="s">
        <v>2</v>
      </c>
      <c r="C284">
        <v>8314</v>
      </c>
      <c r="D284" t="s">
        <v>86</v>
      </c>
      <c r="E284" t="s">
        <v>109</v>
      </c>
      <c r="F284">
        <v>1</v>
      </c>
      <c r="G284" t="s">
        <v>44</v>
      </c>
      <c r="H284" t="s">
        <v>112</v>
      </c>
      <c r="I284">
        <v>10</v>
      </c>
      <c r="J284" s="19">
        <f>WEEKNUM(tblRidershipData[[#This Row],[MeasurementDate]])</f>
        <v>38</v>
      </c>
      <c r="K284" s="19">
        <f>MONTH(tblRidershipData[[#This Row],[MeasurementDate]])</f>
        <v>9</v>
      </c>
    </row>
    <row r="285" spans="1:11" x14ac:dyDescent="0.25">
      <c r="A285" s="31">
        <v>43724</v>
      </c>
      <c r="B285" t="s">
        <v>2</v>
      </c>
      <c r="C285">
        <v>8314</v>
      </c>
      <c r="D285" t="s">
        <v>86</v>
      </c>
      <c r="E285" t="s">
        <v>109</v>
      </c>
      <c r="F285">
        <v>1</v>
      </c>
      <c r="G285" t="s">
        <v>46</v>
      </c>
      <c r="H285" t="s">
        <v>112</v>
      </c>
      <c r="I285">
        <v>2</v>
      </c>
      <c r="J285" s="19">
        <f>WEEKNUM(tblRidershipData[[#This Row],[MeasurementDate]])</f>
        <v>38</v>
      </c>
      <c r="K285" s="19">
        <f>MONTH(tblRidershipData[[#This Row],[MeasurementDate]])</f>
        <v>9</v>
      </c>
    </row>
    <row r="286" spans="1:11" x14ac:dyDescent="0.25">
      <c r="A286" s="31">
        <v>43724</v>
      </c>
      <c r="B286" t="s">
        <v>2</v>
      </c>
      <c r="C286">
        <v>8314</v>
      </c>
      <c r="D286" t="s">
        <v>86</v>
      </c>
      <c r="E286" t="s">
        <v>109</v>
      </c>
      <c r="F286">
        <v>1</v>
      </c>
      <c r="G286" t="s">
        <v>57</v>
      </c>
      <c r="H286" t="s">
        <v>112</v>
      </c>
      <c r="I286">
        <v>3</v>
      </c>
      <c r="J286" s="19">
        <f>WEEKNUM(tblRidershipData[[#This Row],[MeasurementDate]])</f>
        <v>38</v>
      </c>
      <c r="K286" s="19">
        <f>MONTH(tblRidershipData[[#This Row],[MeasurementDate]])</f>
        <v>9</v>
      </c>
    </row>
    <row r="287" spans="1:11" x14ac:dyDescent="0.25">
      <c r="A287" s="31">
        <v>43724</v>
      </c>
      <c r="B287" t="s">
        <v>2</v>
      </c>
      <c r="C287">
        <v>8314</v>
      </c>
      <c r="D287" t="s">
        <v>86</v>
      </c>
      <c r="E287" t="s">
        <v>109</v>
      </c>
      <c r="F287">
        <v>1</v>
      </c>
      <c r="G287" t="s">
        <v>59</v>
      </c>
      <c r="H287" t="s">
        <v>112</v>
      </c>
      <c r="I287">
        <v>10</v>
      </c>
      <c r="J287" s="19">
        <f>WEEKNUM(tblRidershipData[[#This Row],[MeasurementDate]])</f>
        <v>38</v>
      </c>
      <c r="K287" s="19">
        <f>MONTH(tblRidershipData[[#This Row],[MeasurementDate]])</f>
        <v>9</v>
      </c>
    </row>
    <row r="288" spans="1:11" x14ac:dyDescent="0.25">
      <c r="A288" s="31">
        <v>43724</v>
      </c>
      <c r="B288" t="s">
        <v>2</v>
      </c>
      <c r="C288">
        <v>8314</v>
      </c>
      <c r="D288" t="s">
        <v>86</v>
      </c>
      <c r="E288" t="s">
        <v>109</v>
      </c>
      <c r="F288">
        <v>1</v>
      </c>
      <c r="G288" t="s">
        <v>66</v>
      </c>
      <c r="H288" t="s">
        <v>112</v>
      </c>
      <c r="I288">
        <v>3</v>
      </c>
      <c r="J288" s="19">
        <f>WEEKNUM(tblRidershipData[[#This Row],[MeasurementDate]])</f>
        <v>38</v>
      </c>
      <c r="K288" s="19">
        <f>MONTH(tblRidershipData[[#This Row],[MeasurementDate]])</f>
        <v>9</v>
      </c>
    </row>
    <row r="289" spans="1:11" x14ac:dyDescent="0.25">
      <c r="A289" s="31">
        <v>43724</v>
      </c>
      <c r="B289" t="s">
        <v>2</v>
      </c>
      <c r="C289">
        <v>8314</v>
      </c>
      <c r="D289" t="s">
        <v>86</v>
      </c>
      <c r="E289" t="s">
        <v>109</v>
      </c>
      <c r="F289">
        <v>1</v>
      </c>
      <c r="G289" t="s">
        <v>70</v>
      </c>
      <c r="H289" t="s">
        <v>112</v>
      </c>
      <c r="I289">
        <v>6</v>
      </c>
      <c r="J289" s="19">
        <f>WEEKNUM(tblRidershipData[[#This Row],[MeasurementDate]])</f>
        <v>38</v>
      </c>
      <c r="K289" s="19">
        <f>MONTH(tblRidershipData[[#This Row],[MeasurementDate]])</f>
        <v>9</v>
      </c>
    </row>
    <row r="290" spans="1:11" x14ac:dyDescent="0.25">
      <c r="A290" s="31">
        <v>43724</v>
      </c>
      <c r="B290" t="s">
        <v>2</v>
      </c>
      <c r="C290">
        <v>8314</v>
      </c>
      <c r="D290" t="s">
        <v>86</v>
      </c>
      <c r="E290" t="s">
        <v>109</v>
      </c>
      <c r="F290">
        <v>2</v>
      </c>
      <c r="G290" t="s">
        <v>43</v>
      </c>
      <c r="H290" t="s">
        <v>112</v>
      </c>
      <c r="I290">
        <v>1</v>
      </c>
      <c r="J290" s="19">
        <f>WEEKNUM(tblRidershipData[[#This Row],[MeasurementDate]])</f>
        <v>38</v>
      </c>
      <c r="K290" s="19">
        <f>MONTH(tblRidershipData[[#This Row],[MeasurementDate]])</f>
        <v>9</v>
      </c>
    </row>
    <row r="291" spans="1:11" x14ac:dyDescent="0.25">
      <c r="A291" s="31">
        <v>43724</v>
      </c>
      <c r="B291" t="s">
        <v>2</v>
      </c>
      <c r="C291">
        <v>8314</v>
      </c>
      <c r="D291" t="s">
        <v>86</v>
      </c>
      <c r="E291" t="s">
        <v>109</v>
      </c>
      <c r="F291">
        <v>2</v>
      </c>
      <c r="G291" t="s">
        <v>44</v>
      </c>
      <c r="H291" t="s">
        <v>112</v>
      </c>
      <c r="I291">
        <v>2</v>
      </c>
      <c r="J291" s="19">
        <f>WEEKNUM(tblRidershipData[[#This Row],[MeasurementDate]])</f>
        <v>38</v>
      </c>
      <c r="K291" s="19">
        <f>MONTH(tblRidershipData[[#This Row],[MeasurementDate]])</f>
        <v>9</v>
      </c>
    </row>
    <row r="292" spans="1:11" x14ac:dyDescent="0.25">
      <c r="A292" s="31">
        <v>43724</v>
      </c>
      <c r="B292" t="s">
        <v>2</v>
      </c>
      <c r="C292">
        <v>8314</v>
      </c>
      <c r="D292" t="s">
        <v>86</v>
      </c>
      <c r="E292" t="s">
        <v>109</v>
      </c>
      <c r="F292">
        <v>2</v>
      </c>
      <c r="G292" t="s">
        <v>46</v>
      </c>
      <c r="H292" t="s">
        <v>112</v>
      </c>
      <c r="I292">
        <v>3</v>
      </c>
      <c r="J292" s="19">
        <f>WEEKNUM(tblRidershipData[[#This Row],[MeasurementDate]])</f>
        <v>38</v>
      </c>
      <c r="K292" s="19">
        <f>MONTH(tblRidershipData[[#This Row],[MeasurementDate]])</f>
        <v>9</v>
      </c>
    </row>
    <row r="293" spans="1:11" x14ac:dyDescent="0.25">
      <c r="A293" s="31">
        <v>43724</v>
      </c>
      <c r="B293" t="s">
        <v>2</v>
      </c>
      <c r="C293">
        <v>8314</v>
      </c>
      <c r="D293" t="s">
        <v>86</v>
      </c>
      <c r="E293" t="s">
        <v>109</v>
      </c>
      <c r="F293">
        <v>2</v>
      </c>
      <c r="G293" t="s">
        <v>59</v>
      </c>
      <c r="H293" t="s">
        <v>112</v>
      </c>
      <c r="I293">
        <v>2</v>
      </c>
      <c r="J293" s="19">
        <f>WEEKNUM(tblRidershipData[[#This Row],[MeasurementDate]])</f>
        <v>38</v>
      </c>
      <c r="K293" s="19">
        <f>MONTH(tblRidershipData[[#This Row],[MeasurementDate]])</f>
        <v>9</v>
      </c>
    </row>
    <row r="294" spans="1:11" x14ac:dyDescent="0.25">
      <c r="A294" s="31">
        <v>43724</v>
      </c>
      <c r="B294" t="s">
        <v>2</v>
      </c>
      <c r="C294">
        <v>8314</v>
      </c>
      <c r="D294" t="s">
        <v>86</v>
      </c>
      <c r="E294" t="s">
        <v>109</v>
      </c>
      <c r="F294">
        <v>2</v>
      </c>
      <c r="G294" t="s">
        <v>69</v>
      </c>
      <c r="H294" t="s">
        <v>112</v>
      </c>
      <c r="I294">
        <v>6</v>
      </c>
      <c r="J294" s="19">
        <f>WEEKNUM(tblRidershipData[[#This Row],[MeasurementDate]])</f>
        <v>38</v>
      </c>
      <c r="K294" s="19">
        <f>MONTH(tblRidershipData[[#This Row],[MeasurementDate]])</f>
        <v>9</v>
      </c>
    </row>
    <row r="295" spans="1:11" x14ac:dyDescent="0.25">
      <c r="A295" s="31">
        <v>43724</v>
      </c>
      <c r="B295" t="s">
        <v>2</v>
      </c>
      <c r="C295">
        <v>8314</v>
      </c>
      <c r="D295" t="s">
        <v>86</v>
      </c>
      <c r="E295" t="s">
        <v>109</v>
      </c>
      <c r="F295">
        <v>2</v>
      </c>
      <c r="G295" t="s">
        <v>70</v>
      </c>
      <c r="H295" t="s">
        <v>112</v>
      </c>
      <c r="I295">
        <v>2</v>
      </c>
      <c r="J295" s="19">
        <f>WEEKNUM(tblRidershipData[[#This Row],[MeasurementDate]])</f>
        <v>38</v>
      </c>
      <c r="K295" s="19">
        <f>MONTH(tblRidershipData[[#This Row],[MeasurementDate]])</f>
        <v>9</v>
      </c>
    </row>
    <row r="296" spans="1:11" x14ac:dyDescent="0.25">
      <c r="A296" s="31">
        <v>43724</v>
      </c>
      <c r="B296" t="s">
        <v>2</v>
      </c>
      <c r="C296">
        <v>8314</v>
      </c>
      <c r="D296" t="s">
        <v>86</v>
      </c>
      <c r="E296" t="s">
        <v>109</v>
      </c>
      <c r="F296">
        <v>2</v>
      </c>
      <c r="G296" t="s">
        <v>76</v>
      </c>
      <c r="H296" t="s">
        <v>112</v>
      </c>
      <c r="I296">
        <v>4</v>
      </c>
      <c r="J296" s="19">
        <f>WEEKNUM(tblRidershipData[[#This Row],[MeasurementDate]])</f>
        <v>38</v>
      </c>
      <c r="K296" s="19">
        <f>MONTH(tblRidershipData[[#This Row],[MeasurementDate]])</f>
        <v>9</v>
      </c>
    </row>
    <row r="297" spans="1:11" x14ac:dyDescent="0.25">
      <c r="A297" s="31">
        <v>43724</v>
      </c>
      <c r="B297" t="s">
        <v>2</v>
      </c>
      <c r="C297">
        <v>9308</v>
      </c>
      <c r="D297" t="s">
        <v>87</v>
      </c>
      <c r="E297" t="s">
        <v>109</v>
      </c>
      <c r="F297">
        <v>1</v>
      </c>
      <c r="G297" t="s">
        <v>43</v>
      </c>
      <c r="H297" t="s">
        <v>110</v>
      </c>
      <c r="I297">
        <v>1</v>
      </c>
      <c r="J297" s="19">
        <f>WEEKNUM(tblRidershipData[[#This Row],[MeasurementDate]])</f>
        <v>38</v>
      </c>
      <c r="K297" s="19">
        <f>MONTH(tblRidershipData[[#This Row],[MeasurementDate]])</f>
        <v>9</v>
      </c>
    </row>
    <row r="298" spans="1:11" x14ac:dyDescent="0.25">
      <c r="A298" s="31">
        <v>43724</v>
      </c>
      <c r="B298" t="s">
        <v>2</v>
      </c>
      <c r="C298">
        <v>9308</v>
      </c>
      <c r="D298" t="s">
        <v>87</v>
      </c>
      <c r="E298" t="s">
        <v>109</v>
      </c>
      <c r="F298">
        <v>1</v>
      </c>
      <c r="G298" t="s">
        <v>44</v>
      </c>
      <c r="H298" t="s">
        <v>110</v>
      </c>
      <c r="I298">
        <v>13</v>
      </c>
      <c r="J298" s="19">
        <f>WEEKNUM(tblRidershipData[[#This Row],[MeasurementDate]])</f>
        <v>38</v>
      </c>
      <c r="K298" s="19">
        <f>MONTH(tblRidershipData[[#This Row],[MeasurementDate]])</f>
        <v>9</v>
      </c>
    </row>
    <row r="299" spans="1:11" x14ac:dyDescent="0.25">
      <c r="A299" s="31">
        <v>43724</v>
      </c>
      <c r="B299" t="s">
        <v>2</v>
      </c>
      <c r="C299">
        <v>9308</v>
      </c>
      <c r="D299" t="s">
        <v>87</v>
      </c>
      <c r="E299" t="s">
        <v>109</v>
      </c>
      <c r="F299">
        <v>1</v>
      </c>
      <c r="G299" t="s">
        <v>51</v>
      </c>
      <c r="H299" t="s">
        <v>110</v>
      </c>
      <c r="I299">
        <v>4</v>
      </c>
      <c r="J299" s="19">
        <f>WEEKNUM(tblRidershipData[[#This Row],[MeasurementDate]])</f>
        <v>38</v>
      </c>
      <c r="K299" s="19">
        <f>MONTH(tblRidershipData[[#This Row],[MeasurementDate]])</f>
        <v>9</v>
      </c>
    </row>
    <row r="300" spans="1:11" x14ac:dyDescent="0.25">
      <c r="A300" s="31">
        <v>43724</v>
      </c>
      <c r="B300" t="s">
        <v>2</v>
      </c>
      <c r="C300">
        <v>9308</v>
      </c>
      <c r="D300" t="s">
        <v>87</v>
      </c>
      <c r="E300" t="s">
        <v>109</v>
      </c>
      <c r="F300">
        <v>1</v>
      </c>
      <c r="G300" t="s">
        <v>52</v>
      </c>
      <c r="H300" t="s">
        <v>110</v>
      </c>
      <c r="I300">
        <v>23</v>
      </c>
      <c r="J300" s="19">
        <f>WEEKNUM(tblRidershipData[[#This Row],[MeasurementDate]])</f>
        <v>38</v>
      </c>
      <c r="K300" s="19">
        <f>MONTH(tblRidershipData[[#This Row],[MeasurementDate]])</f>
        <v>9</v>
      </c>
    </row>
    <row r="301" spans="1:11" x14ac:dyDescent="0.25">
      <c r="A301" s="31">
        <v>43724</v>
      </c>
      <c r="B301" t="s">
        <v>2</v>
      </c>
      <c r="C301">
        <v>9308</v>
      </c>
      <c r="D301" t="s">
        <v>87</v>
      </c>
      <c r="E301" t="s">
        <v>109</v>
      </c>
      <c r="F301">
        <v>1</v>
      </c>
      <c r="G301" t="s">
        <v>59</v>
      </c>
      <c r="H301" t="s">
        <v>110</v>
      </c>
      <c r="I301">
        <v>37</v>
      </c>
      <c r="J301" s="19">
        <f>WEEKNUM(tblRidershipData[[#This Row],[MeasurementDate]])</f>
        <v>38</v>
      </c>
      <c r="K301" s="19">
        <f>MONTH(tblRidershipData[[#This Row],[MeasurementDate]])</f>
        <v>9</v>
      </c>
    </row>
    <row r="302" spans="1:11" x14ac:dyDescent="0.25">
      <c r="A302" s="31">
        <v>43724</v>
      </c>
      <c r="B302" t="s">
        <v>2</v>
      </c>
      <c r="C302">
        <v>9308</v>
      </c>
      <c r="D302" t="s">
        <v>87</v>
      </c>
      <c r="E302" t="s">
        <v>109</v>
      </c>
      <c r="F302">
        <v>1</v>
      </c>
      <c r="G302" t="s">
        <v>65</v>
      </c>
      <c r="H302" t="s">
        <v>110</v>
      </c>
      <c r="I302">
        <v>25</v>
      </c>
      <c r="J302" s="19">
        <f>WEEKNUM(tblRidershipData[[#This Row],[MeasurementDate]])</f>
        <v>38</v>
      </c>
      <c r="K302" s="19">
        <f>MONTH(tblRidershipData[[#This Row],[MeasurementDate]])</f>
        <v>9</v>
      </c>
    </row>
    <row r="303" spans="1:11" x14ac:dyDescent="0.25">
      <c r="A303" s="31">
        <v>43724</v>
      </c>
      <c r="B303" t="s">
        <v>2</v>
      </c>
      <c r="C303">
        <v>9308</v>
      </c>
      <c r="D303" t="s">
        <v>87</v>
      </c>
      <c r="E303" t="s">
        <v>109</v>
      </c>
      <c r="F303">
        <v>1</v>
      </c>
      <c r="G303" t="s">
        <v>66</v>
      </c>
      <c r="H303" t="s">
        <v>110</v>
      </c>
      <c r="I303">
        <v>5</v>
      </c>
      <c r="J303" s="19">
        <f>WEEKNUM(tblRidershipData[[#This Row],[MeasurementDate]])</f>
        <v>38</v>
      </c>
      <c r="K303" s="19">
        <f>MONTH(tblRidershipData[[#This Row],[MeasurementDate]])</f>
        <v>9</v>
      </c>
    </row>
    <row r="304" spans="1:11" x14ac:dyDescent="0.25">
      <c r="A304" s="31">
        <v>43724</v>
      </c>
      <c r="B304" t="s">
        <v>2</v>
      </c>
      <c r="C304">
        <v>9308</v>
      </c>
      <c r="D304" t="s">
        <v>87</v>
      </c>
      <c r="E304" t="s">
        <v>109</v>
      </c>
      <c r="F304">
        <v>1</v>
      </c>
      <c r="G304" t="s">
        <v>69</v>
      </c>
      <c r="H304" t="s">
        <v>110</v>
      </c>
      <c r="I304">
        <v>15</v>
      </c>
      <c r="J304" s="19">
        <f>WEEKNUM(tblRidershipData[[#This Row],[MeasurementDate]])</f>
        <v>38</v>
      </c>
      <c r="K304" s="19">
        <f>MONTH(tblRidershipData[[#This Row],[MeasurementDate]])</f>
        <v>9</v>
      </c>
    </row>
    <row r="305" spans="1:11" x14ac:dyDescent="0.25">
      <c r="A305" s="31">
        <v>43724</v>
      </c>
      <c r="B305" t="s">
        <v>2</v>
      </c>
      <c r="C305">
        <v>9308</v>
      </c>
      <c r="D305" t="s">
        <v>87</v>
      </c>
      <c r="E305" t="s">
        <v>109</v>
      </c>
      <c r="F305">
        <v>1</v>
      </c>
      <c r="G305" t="s">
        <v>70</v>
      </c>
      <c r="H305" t="s">
        <v>110</v>
      </c>
      <c r="I305">
        <v>1</v>
      </c>
      <c r="J305" s="19">
        <f>WEEKNUM(tblRidershipData[[#This Row],[MeasurementDate]])</f>
        <v>38</v>
      </c>
      <c r="K305" s="19">
        <f>MONTH(tblRidershipData[[#This Row],[MeasurementDate]])</f>
        <v>9</v>
      </c>
    </row>
    <row r="306" spans="1:11" x14ac:dyDescent="0.25">
      <c r="A306" s="31">
        <v>43724</v>
      </c>
      <c r="B306" t="s">
        <v>2</v>
      </c>
      <c r="C306">
        <v>9311</v>
      </c>
      <c r="D306" t="s">
        <v>90</v>
      </c>
      <c r="E306" t="s">
        <v>111</v>
      </c>
      <c r="F306">
        <v>1</v>
      </c>
      <c r="G306" t="s">
        <v>46</v>
      </c>
      <c r="H306" t="s">
        <v>110</v>
      </c>
      <c r="I306">
        <v>16</v>
      </c>
      <c r="J306" s="19">
        <f>WEEKNUM(tblRidershipData[[#This Row],[MeasurementDate]])</f>
        <v>38</v>
      </c>
      <c r="K306" s="19">
        <f>MONTH(tblRidershipData[[#This Row],[MeasurementDate]])</f>
        <v>9</v>
      </c>
    </row>
    <row r="307" spans="1:11" x14ac:dyDescent="0.25">
      <c r="A307" s="31">
        <v>43724</v>
      </c>
      <c r="B307" t="s">
        <v>2</v>
      </c>
      <c r="C307">
        <v>9311</v>
      </c>
      <c r="D307" t="s">
        <v>90</v>
      </c>
      <c r="E307" t="s">
        <v>111</v>
      </c>
      <c r="F307">
        <v>1</v>
      </c>
      <c r="G307" t="s">
        <v>55</v>
      </c>
      <c r="H307" t="s">
        <v>110</v>
      </c>
      <c r="I307">
        <v>6</v>
      </c>
      <c r="J307" s="19">
        <f>WEEKNUM(tblRidershipData[[#This Row],[MeasurementDate]])</f>
        <v>38</v>
      </c>
      <c r="K307" s="19">
        <f>MONTH(tblRidershipData[[#This Row],[MeasurementDate]])</f>
        <v>9</v>
      </c>
    </row>
    <row r="308" spans="1:11" x14ac:dyDescent="0.25">
      <c r="A308" s="31">
        <v>43724</v>
      </c>
      <c r="B308" t="s">
        <v>2</v>
      </c>
      <c r="C308">
        <v>9311</v>
      </c>
      <c r="D308" t="s">
        <v>90</v>
      </c>
      <c r="E308" t="s">
        <v>111</v>
      </c>
      <c r="F308">
        <v>1</v>
      </c>
      <c r="G308" t="s">
        <v>69</v>
      </c>
      <c r="H308" t="s">
        <v>110</v>
      </c>
      <c r="I308">
        <v>4</v>
      </c>
      <c r="J308" s="19">
        <f>WEEKNUM(tblRidershipData[[#This Row],[MeasurementDate]])</f>
        <v>38</v>
      </c>
      <c r="K308" s="19">
        <f>MONTH(tblRidershipData[[#This Row],[MeasurementDate]])</f>
        <v>9</v>
      </c>
    </row>
    <row r="309" spans="1:11" x14ac:dyDescent="0.25">
      <c r="A309" s="31">
        <v>43724</v>
      </c>
      <c r="B309" t="s">
        <v>2</v>
      </c>
      <c r="C309">
        <v>9311</v>
      </c>
      <c r="D309" t="s">
        <v>90</v>
      </c>
      <c r="E309" t="s">
        <v>111</v>
      </c>
      <c r="F309">
        <v>1</v>
      </c>
      <c r="G309" t="s">
        <v>70</v>
      </c>
      <c r="H309" t="s">
        <v>110</v>
      </c>
      <c r="I309">
        <v>10</v>
      </c>
      <c r="J309" s="19">
        <f>WEEKNUM(tblRidershipData[[#This Row],[MeasurementDate]])</f>
        <v>38</v>
      </c>
      <c r="K309" s="19">
        <f>MONTH(tblRidershipData[[#This Row],[MeasurementDate]])</f>
        <v>9</v>
      </c>
    </row>
    <row r="310" spans="1:11" x14ac:dyDescent="0.25">
      <c r="A310" s="31">
        <v>43724</v>
      </c>
      <c r="B310" t="s">
        <v>2</v>
      </c>
      <c r="C310">
        <v>9311</v>
      </c>
      <c r="D310" t="s">
        <v>90</v>
      </c>
      <c r="E310" t="s">
        <v>111</v>
      </c>
      <c r="F310">
        <v>1</v>
      </c>
      <c r="G310" t="s">
        <v>71</v>
      </c>
      <c r="H310" t="s">
        <v>110</v>
      </c>
      <c r="I310">
        <v>5</v>
      </c>
      <c r="J310" s="19">
        <f>WEEKNUM(tblRidershipData[[#This Row],[MeasurementDate]])</f>
        <v>38</v>
      </c>
      <c r="K310" s="19">
        <f>MONTH(tblRidershipData[[#This Row],[MeasurementDate]])</f>
        <v>9</v>
      </c>
    </row>
    <row r="311" spans="1:11" x14ac:dyDescent="0.25">
      <c r="A311" s="31">
        <v>43724</v>
      </c>
      <c r="B311" t="s">
        <v>2</v>
      </c>
      <c r="C311">
        <v>9311</v>
      </c>
      <c r="D311" t="s">
        <v>90</v>
      </c>
      <c r="E311" t="s">
        <v>109</v>
      </c>
      <c r="F311">
        <v>1</v>
      </c>
      <c r="G311" t="s">
        <v>55</v>
      </c>
      <c r="H311" t="s">
        <v>110</v>
      </c>
      <c r="I311">
        <v>10</v>
      </c>
      <c r="J311" s="19">
        <f>WEEKNUM(tblRidershipData[[#This Row],[MeasurementDate]])</f>
        <v>38</v>
      </c>
      <c r="K311" s="19">
        <f>MONTH(tblRidershipData[[#This Row],[MeasurementDate]])</f>
        <v>9</v>
      </c>
    </row>
    <row r="312" spans="1:11" x14ac:dyDescent="0.25">
      <c r="A312" s="31">
        <v>43724</v>
      </c>
      <c r="B312" t="s">
        <v>2</v>
      </c>
      <c r="C312">
        <v>9311</v>
      </c>
      <c r="D312" t="s">
        <v>90</v>
      </c>
      <c r="E312" t="s">
        <v>109</v>
      </c>
      <c r="F312">
        <v>1</v>
      </c>
      <c r="G312" t="s">
        <v>56</v>
      </c>
      <c r="H312" t="s">
        <v>110</v>
      </c>
      <c r="I312">
        <v>9</v>
      </c>
      <c r="J312" s="19">
        <f>WEEKNUM(tblRidershipData[[#This Row],[MeasurementDate]])</f>
        <v>38</v>
      </c>
      <c r="K312" s="19">
        <f>MONTH(tblRidershipData[[#This Row],[MeasurementDate]])</f>
        <v>9</v>
      </c>
    </row>
    <row r="313" spans="1:11" x14ac:dyDescent="0.25">
      <c r="A313" s="31">
        <v>43724</v>
      </c>
      <c r="B313" t="s">
        <v>2</v>
      </c>
      <c r="C313">
        <v>9311</v>
      </c>
      <c r="D313" t="s">
        <v>90</v>
      </c>
      <c r="E313" t="s">
        <v>109</v>
      </c>
      <c r="F313">
        <v>1</v>
      </c>
      <c r="G313" t="s">
        <v>67</v>
      </c>
      <c r="H313" t="s">
        <v>110</v>
      </c>
      <c r="I313">
        <v>39</v>
      </c>
      <c r="J313" s="19">
        <f>WEEKNUM(tblRidershipData[[#This Row],[MeasurementDate]])</f>
        <v>38</v>
      </c>
      <c r="K313" s="19">
        <f>MONTH(tblRidershipData[[#This Row],[MeasurementDate]])</f>
        <v>9</v>
      </c>
    </row>
    <row r="314" spans="1:11" x14ac:dyDescent="0.25">
      <c r="A314" s="31">
        <v>43724</v>
      </c>
      <c r="B314" t="s">
        <v>2</v>
      </c>
      <c r="C314">
        <v>9311</v>
      </c>
      <c r="D314" t="s">
        <v>90</v>
      </c>
      <c r="E314" t="s">
        <v>109</v>
      </c>
      <c r="F314">
        <v>2</v>
      </c>
      <c r="G314" t="s">
        <v>42</v>
      </c>
      <c r="H314" t="s">
        <v>110</v>
      </c>
      <c r="I314">
        <v>19</v>
      </c>
      <c r="J314" s="19">
        <f>WEEKNUM(tblRidershipData[[#This Row],[MeasurementDate]])</f>
        <v>38</v>
      </c>
      <c r="K314" s="19">
        <f>MONTH(tblRidershipData[[#This Row],[MeasurementDate]])</f>
        <v>9</v>
      </c>
    </row>
    <row r="315" spans="1:11" x14ac:dyDescent="0.25">
      <c r="A315" s="31">
        <v>43724</v>
      </c>
      <c r="B315" t="s">
        <v>2</v>
      </c>
      <c r="C315">
        <v>9311</v>
      </c>
      <c r="D315" t="s">
        <v>90</v>
      </c>
      <c r="E315" t="s">
        <v>111</v>
      </c>
      <c r="F315">
        <v>1</v>
      </c>
      <c r="G315" t="s">
        <v>52</v>
      </c>
      <c r="H315" t="s">
        <v>112</v>
      </c>
      <c r="I315">
        <v>36</v>
      </c>
      <c r="J315" s="19">
        <f>WEEKNUM(tblRidershipData[[#This Row],[MeasurementDate]])</f>
        <v>38</v>
      </c>
      <c r="K315" s="19">
        <f>MONTH(tblRidershipData[[#This Row],[MeasurementDate]])</f>
        <v>9</v>
      </c>
    </row>
    <row r="316" spans="1:11" x14ac:dyDescent="0.25">
      <c r="A316" s="31">
        <v>43724</v>
      </c>
      <c r="B316" t="s">
        <v>2</v>
      </c>
      <c r="C316">
        <v>9311</v>
      </c>
      <c r="D316" t="s">
        <v>90</v>
      </c>
      <c r="E316" t="s">
        <v>111</v>
      </c>
      <c r="F316">
        <v>1</v>
      </c>
      <c r="G316" t="s">
        <v>57</v>
      </c>
      <c r="H316" t="s">
        <v>112</v>
      </c>
      <c r="I316">
        <v>5</v>
      </c>
      <c r="J316" s="19">
        <f>WEEKNUM(tblRidershipData[[#This Row],[MeasurementDate]])</f>
        <v>38</v>
      </c>
      <c r="K316" s="19">
        <f>MONTH(tblRidershipData[[#This Row],[MeasurementDate]])</f>
        <v>9</v>
      </c>
    </row>
    <row r="317" spans="1:11" x14ac:dyDescent="0.25">
      <c r="A317" s="31">
        <v>43724</v>
      </c>
      <c r="B317" t="s">
        <v>2</v>
      </c>
      <c r="C317">
        <v>9311</v>
      </c>
      <c r="D317" t="s">
        <v>90</v>
      </c>
      <c r="E317" t="s">
        <v>109</v>
      </c>
      <c r="F317">
        <v>1</v>
      </c>
      <c r="G317" t="s">
        <v>45</v>
      </c>
      <c r="H317" t="s">
        <v>112</v>
      </c>
      <c r="I317">
        <v>5</v>
      </c>
      <c r="J317" s="19">
        <f>WEEKNUM(tblRidershipData[[#This Row],[MeasurementDate]])</f>
        <v>38</v>
      </c>
      <c r="K317" s="19">
        <f>MONTH(tblRidershipData[[#This Row],[MeasurementDate]])</f>
        <v>9</v>
      </c>
    </row>
    <row r="318" spans="1:11" x14ac:dyDescent="0.25">
      <c r="A318" s="31">
        <v>43724</v>
      </c>
      <c r="B318" t="s">
        <v>2</v>
      </c>
      <c r="C318">
        <v>9311</v>
      </c>
      <c r="D318" t="s">
        <v>90</v>
      </c>
      <c r="E318" t="s">
        <v>109</v>
      </c>
      <c r="F318">
        <v>1</v>
      </c>
      <c r="G318" t="s">
        <v>46</v>
      </c>
      <c r="H318" t="s">
        <v>112</v>
      </c>
      <c r="I318">
        <v>1</v>
      </c>
      <c r="J318" s="19">
        <f>WEEKNUM(tblRidershipData[[#This Row],[MeasurementDate]])</f>
        <v>38</v>
      </c>
      <c r="K318" s="19">
        <f>MONTH(tblRidershipData[[#This Row],[MeasurementDate]])</f>
        <v>9</v>
      </c>
    </row>
    <row r="319" spans="1:11" x14ac:dyDescent="0.25">
      <c r="A319" s="31">
        <v>43724</v>
      </c>
      <c r="B319" t="s">
        <v>2</v>
      </c>
      <c r="C319">
        <v>9311</v>
      </c>
      <c r="D319" t="s">
        <v>90</v>
      </c>
      <c r="E319" t="s">
        <v>109</v>
      </c>
      <c r="F319">
        <v>1</v>
      </c>
      <c r="G319" t="s">
        <v>55</v>
      </c>
      <c r="H319" t="s">
        <v>112</v>
      </c>
      <c r="I319">
        <v>20</v>
      </c>
      <c r="J319" s="19">
        <f>WEEKNUM(tblRidershipData[[#This Row],[MeasurementDate]])</f>
        <v>38</v>
      </c>
      <c r="K319" s="19">
        <f>MONTH(tblRidershipData[[#This Row],[MeasurementDate]])</f>
        <v>9</v>
      </c>
    </row>
    <row r="320" spans="1:11" x14ac:dyDescent="0.25">
      <c r="A320" s="31">
        <v>43724</v>
      </c>
      <c r="B320" t="s">
        <v>2</v>
      </c>
      <c r="C320">
        <v>9311</v>
      </c>
      <c r="D320" t="s">
        <v>90</v>
      </c>
      <c r="E320" t="s">
        <v>109</v>
      </c>
      <c r="F320">
        <v>1</v>
      </c>
      <c r="G320" t="s">
        <v>66</v>
      </c>
      <c r="H320" t="s">
        <v>112</v>
      </c>
      <c r="I320">
        <v>5</v>
      </c>
      <c r="J320" s="19">
        <f>WEEKNUM(tblRidershipData[[#This Row],[MeasurementDate]])</f>
        <v>38</v>
      </c>
      <c r="K320" s="19">
        <f>MONTH(tblRidershipData[[#This Row],[MeasurementDate]])</f>
        <v>9</v>
      </c>
    </row>
    <row r="321" spans="1:11" x14ac:dyDescent="0.25">
      <c r="A321" s="31">
        <v>43724</v>
      </c>
      <c r="B321" t="s">
        <v>2</v>
      </c>
      <c r="C321">
        <v>9311</v>
      </c>
      <c r="D321" t="s">
        <v>90</v>
      </c>
      <c r="E321" t="s">
        <v>109</v>
      </c>
      <c r="F321">
        <v>1</v>
      </c>
      <c r="G321" t="s">
        <v>69</v>
      </c>
      <c r="H321" t="s">
        <v>112</v>
      </c>
      <c r="I321">
        <v>6</v>
      </c>
      <c r="J321" s="19">
        <f>WEEKNUM(tblRidershipData[[#This Row],[MeasurementDate]])</f>
        <v>38</v>
      </c>
      <c r="K321" s="19">
        <f>MONTH(tblRidershipData[[#This Row],[MeasurementDate]])</f>
        <v>9</v>
      </c>
    </row>
    <row r="322" spans="1:11" x14ac:dyDescent="0.25">
      <c r="A322" s="31">
        <v>43724</v>
      </c>
      <c r="B322" t="s">
        <v>2</v>
      </c>
      <c r="C322">
        <v>9311</v>
      </c>
      <c r="D322" t="s">
        <v>90</v>
      </c>
      <c r="E322" t="s">
        <v>109</v>
      </c>
      <c r="F322">
        <v>1</v>
      </c>
      <c r="G322" t="s">
        <v>70</v>
      </c>
      <c r="H322" t="s">
        <v>112</v>
      </c>
      <c r="I322">
        <v>5</v>
      </c>
      <c r="J322" s="19">
        <f>WEEKNUM(tblRidershipData[[#This Row],[MeasurementDate]])</f>
        <v>38</v>
      </c>
      <c r="K322" s="19">
        <f>MONTH(tblRidershipData[[#This Row],[MeasurementDate]])</f>
        <v>9</v>
      </c>
    </row>
    <row r="323" spans="1:11" x14ac:dyDescent="0.25">
      <c r="A323" s="31">
        <v>43724</v>
      </c>
      <c r="B323" t="s">
        <v>2</v>
      </c>
      <c r="C323">
        <v>9311</v>
      </c>
      <c r="D323" t="s">
        <v>90</v>
      </c>
      <c r="E323" t="s">
        <v>109</v>
      </c>
      <c r="F323">
        <v>1</v>
      </c>
      <c r="G323" t="s">
        <v>71</v>
      </c>
      <c r="H323" t="s">
        <v>112</v>
      </c>
      <c r="I323">
        <v>2</v>
      </c>
      <c r="J323" s="19">
        <f>WEEKNUM(tblRidershipData[[#This Row],[MeasurementDate]])</f>
        <v>38</v>
      </c>
      <c r="K323" s="19">
        <f>MONTH(tblRidershipData[[#This Row],[MeasurementDate]])</f>
        <v>9</v>
      </c>
    </row>
    <row r="324" spans="1:11" x14ac:dyDescent="0.25">
      <c r="A324" s="31">
        <v>43724</v>
      </c>
      <c r="B324" t="s">
        <v>2</v>
      </c>
      <c r="C324">
        <v>9311</v>
      </c>
      <c r="D324" t="s">
        <v>90</v>
      </c>
      <c r="E324" t="s">
        <v>109</v>
      </c>
      <c r="F324">
        <v>1</v>
      </c>
      <c r="G324" t="s">
        <v>76</v>
      </c>
      <c r="H324" t="s">
        <v>112</v>
      </c>
      <c r="I324">
        <v>2</v>
      </c>
      <c r="J324" s="19">
        <f>WEEKNUM(tblRidershipData[[#This Row],[MeasurementDate]])</f>
        <v>38</v>
      </c>
      <c r="K324" s="19">
        <f>MONTH(tblRidershipData[[#This Row],[MeasurementDate]])</f>
        <v>9</v>
      </c>
    </row>
    <row r="325" spans="1:11" x14ac:dyDescent="0.25">
      <c r="A325" s="31">
        <v>43724</v>
      </c>
      <c r="B325" t="s">
        <v>2</v>
      </c>
      <c r="C325">
        <v>9311</v>
      </c>
      <c r="D325" t="s">
        <v>90</v>
      </c>
      <c r="E325" t="s">
        <v>109</v>
      </c>
      <c r="F325">
        <v>2</v>
      </c>
      <c r="G325" t="s">
        <v>45</v>
      </c>
      <c r="H325" t="s">
        <v>112</v>
      </c>
      <c r="I325">
        <v>1</v>
      </c>
      <c r="J325" s="19">
        <f>WEEKNUM(tblRidershipData[[#This Row],[MeasurementDate]])</f>
        <v>38</v>
      </c>
      <c r="K325" s="19">
        <f>MONTH(tblRidershipData[[#This Row],[MeasurementDate]])</f>
        <v>9</v>
      </c>
    </row>
    <row r="326" spans="1:11" x14ac:dyDescent="0.25">
      <c r="A326" s="31">
        <v>43724</v>
      </c>
      <c r="B326" t="s">
        <v>2</v>
      </c>
      <c r="C326">
        <v>9311</v>
      </c>
      <c r="D326" t="s">
        <v>90</v>
      </c>
      <c r="E326" t="s">
        <v>109</v>
      </c>
      <c r="F326">
        <v>2</v>
      </c>
      <c r="G326" t="s">
        <v>46</v>
      </c>
      <c r="H326" t="s">
        <v>112</v>
      </c>
      <c r="I326">
        <v>10</v>
      </c>
      <c r="J326" s="19">
        <f>WEEKNUM(tblRidershipData[[#This Row],[MeasurementDate]])</f>
        <v>38</v>
      </c>
      <c r="K326" s="19">
        <f>MONTH(tblRidershipData[[#This Row],[MeasurementDate]])</f>
        <v>9</v>
      </c>
    </row>
    <row r="327" spans="1:11" x14ac:dyDescent="0.25">
      <c r="A327" s="31">
        <v>43724</v>
      </c>
      <c r="B327" t="s">
        <v>2</v>
      </c>
      <c r="C327">
        <v>9311</v>
      </c>
      <c r="D327" t="s">
        <v>90</v>
      </c>
      <c r="E327" t="s">
        <v>109</v>
      </c>
      <c r="F327">
        <v>2</v>
      </c>
      <c r="G327" t="s">
        <v>55</v>
      </c>
      <c r="H327" t="s">
        <v>112</v>
      </c>
      <c r="I327">
        <v>2</v>
      </c>
      <c r="J327" s="19">
        <f>WEEKNUM(tblRidershipData[[#This Row],[MeasurementDate]])</f>
        <v>38</v>
      </c>
      <c r="K327" s="19">
        <f>MONTH(tblRidershipData[[#This Row],[MeasurementDate]])</f>
        <v>9</v>
      </c>
    </row>
    <row r="328" spans="1:11" x14ac:dyDescent="0.25">
      <c r="A328" s="31">
        <v>43724</v>
      </c>
      <c r="B328" t="s">
        <v>2</v>
      </c>
      <c r="C328">
        <v>9311</v>
      </c>
      <c r="D328" t="s">
        <v>90</v>
      </c>
      <c r="E328" t="s">
        <v>109</v>
      </c>
      <c r="F328">
        <v>2</v>
      </c>
      <c r="G328" t="s">
        <v>70</v>
      </c>
      <c r="H328" t="s">
        <v>112</v>
      </c>
      <c r="I328">
        <v>2</v>
      </c>
      <c r="J328" s="19">
        <f>WEEKNUM(tblRidershipData[[#This Row],[MeasurementDate]])</f>
        <v>38</v>
      </c>
      <c r="K328" s="19">
        <f>MONTH(tblRidershipData[[#This Row],[MeasurementDate]])</f>
        <v>9</v>
      </c>
    </row>
    <row r="329" spans="1:11" x14ac:dyDescent="0.25">
      <c r="A329" s="31">
        <v>43724</v>
      </c>
      <c r="B329" t="s">
        <v>2</v>
      </c>
      <c r="C329">
        <v>9313</v>
      </c>
      <c r="D329" t="s">
        <v>89</v>
      </c>
      <c r="E329" t="s">
        <v>111</v>
      </c>
      <c r="F329">
        <v>1</v>
      </c>
      <c r="G329" t="s">
        <v>45</v>
      </c>
      <c r="H329" t="s">
        <v>110</v>
      </c>
      <c r="I329">
        <v>2</v>
      </c>
      <c r="J329" s="19">
        <f>WEEKNUM(tblRidershipData[[#This Row],[MeasurementDate]])</f>
        <v>38</v>
      </c>
      <c r="K329" s="19">
        <f>MONTH(tblRidershipData[[#This Row],[MeasurementDate]])</f>
        <v>9</v>
      </c>
    </row>
    <row r="330" spans="1:11" x14ac:dyDescent="0.25">
      <c r="A330" s="31">
        <v>43724</v>
      </c>
      <c r="B330" t="s">
        <v>2</v>
      </c>
      <c r="C330">
        <v>9313</v>
      </c>
      <c r="D330" t="s">
        <v>89</v>
      </c>
      <c r="E330" t="s">
        <v>111</v>
      </c>
      <c r="F330">
        <v>1</v>
      </c>
      <c r="G330" t="s">
        <v>50</v>
      </c>
      <c r="H330" t="s">
        <v>110</v>
      </c>
      <c r="I330">
        <v>1</v>
      </c>
      <c r="J330" s="19">
        <f>WEEKNUM(tblRidershipData[[#This Row],[MeasurementDate]])</f>
        <v>38</v>
      </c>
      <c r="K330" s="19">
        <f>MONTH(tblRidershipData[[#This Row],[MeasurementDate]])</f>
        <v>9</v>
      </c>
    </row>
    <row r="331" spans="1:11" x14ac:dyDescent="0.25">
      <c r="A331" s="31">
        <v>43724</v>
      </c>
      <c r="B331" t="s">
        <v>2</v>
      </c>
      <c r="C331">
        <v>9313</v>
      </c>
      <c r="D331" t="s">
        <v>89</v>
      </c>
      <c r="E331" t="s">
        <v>111</v>
      </c>
      <c r="F331">
        <v>1</v>
      </c>
      <c r="G331" t="s">
        <v>58</v>
      </c>
      <c r="H331" t="s">
        <v>110</v>
      </c>
      <c r="I331">
        <v>2</v>
      </c>
      <c r="J331" s="19">
        <f>WEEKNUM(tblRidershipData[[#This Row],[MeasurementDate]])</f>
        <v>38</v>
      </c>
      <c r="K331" s="19">
        <f>MONTH(tblRidershipData[[#This Row],[MeasurementDate]])</f>
        <v>9</v>
      </c>
    </row>
    <row r="332" spans="1:11" x14ac:dyDescent="0.25">
      <c r="A332" s="31">
        <v>43724</v>
      </c>
      <c r="B332" t="s">
        <v>2</v>
      </c>
      <c r="C332">
        <v>9313</v>
      </c>
      <c r="D332" t="s">
        <v>89</v>
      </c>
      <c r="E332" t="s">
        <v>111</v>
      </c>
      <c r="F332">
        <v>1</v>
      </c>
      <c r="G332" t="s">
        <v>72</v>
      </c>
      <c r="H332" t="s">
        <v>110</v>
      </c>
      <c r="I332">
        <v>3</v>
      </c>
      <c r="J332" s="19">
        <f>WEEKNUM(tblRidershipData[[#This Row],[MeasurementDate]])</f>
        <v>38</v>
      </c>
      <c r="K332" s="19">
        <f>MONTH(tblRidershipData[[#This Row],[MeasurementDate]])</f>
        <v>9</v>
      </c>
    </row>
    <row r="333" spans="1:11" x14ac:dyDescent="0.25">
      <c r="A333" s="31">
        <v>43724</v>
      </c>
      <c r="B333" t="s">
        <v>2</v>
      </c>
      <c r="C333">
        <v>9313</v>
      </c>
      <c r="D333" t="s">
        <v>89</v>
      </c>
      <c r="E333" t="s">
        <v>111</v>
      </c>
      <c r="F333">
        <v>1</v>
      </c>
      <c r="G333" t="s">
        <v>77</v>
      </c>
      <c r="H333" t="s">
        <v>110</v>
      </c>
      <c r="I333">
        <v>2</v>
      </c>
      <c r="J333" s="19">
        <f>WEEKNUM(tblRidershipData[[#This Row],[MeasurementDate]])</f>
        <v>38</v>
      </c>
      <c r="K333" s="19">
        <f>MONTH(tblRidershipData[[#This Row],[MeasurementDate]])</f>
        <v>9</v>
      </c>
    </row>
    <row r="334" spans="1:11" x14ac:dyDescent="0.25">
      <c r="A334" s="31">
        <v>43724</v>
      </c>
      <c r="B334" t="s">
        <v>2</v>
      </c>
      <c r="C334">
        <v>9313</v>
      </c>
      <c r="D334" t="s">
        <v>89</v>
      </c>
      <c r="E334" t="s">
        <v>109</v>
      </c>
      <c r="F334">
        <v>1</v>
      </c>
      <c r="G334" t="s">
        <v>52</v>
      </c>
      <c r="H334" t="s">
        <v>110</v>
      </c>
      <c r="I334">
        <v>58</v>
      </c>
      <c r="J334" s="19">
        <f>WEEKNUM(tblRidershipData[[#This Row],[MeasurementDate]])</f>
        <v>38</v>
      </c>
      <c r="K334" s="19">
        <f>MONTH(tblRidershipData[[#This Row],[MeasurementDate]])</f>
        <v>9</v>
      </c>
    </row>
    <row r="335" spans="1:11" x14ac:dyDescent="0.25">
      <c r="A335" s="31">
        <v>43724</v>
      </c>
      <c r="B335" t="s">
        <v>2</v>
      </c>
      <c r="C335">
        <v>9313</v>
      </c>
      <c r="D335" t="s">
        <v>89</v>
      </c>
      <c r="E335" t="s">
        <v>109</v>
      </c>
      <c r="F335">
        <v>2</v>
      </c>
      <c r="G335" t="s">
        <v>43</v>
      </c>
      <c r="H335" t="s">
        <v>112</v>
      </c>
      <c r="I335">
        <v>5</v>
      </c>
      <c r="J335" s="19">
        <f>WEEKNUM(tblRidershipData[[#This Row],[MeasurementDate]])</f>
        <v>38</v>
      </c>
      <c r="K335" s="19">
        <f>MONTH(tblRidershipData[[#This Row],[MeasurementDate]])</f>
        <v>9</v>
      </c>
    </row>
    <row r="336" spans="1:11" x14ac:dyDescent="0.25">
      <c r="A336" s="31">
        <v>43724</v>
      </c>
      <c r="B336" t="s">
        <v>2</v>
      </c>
      <c r="C336">
        <v>9313</v>
      </c>
      <c r="D336" t="s">
        <v>89</v>
      </c>
      <c r="E336" t="s">
        <v>109</v>
      </c>
      <c r="F336">
        <v>2</v>
      </c>
      <c r="G336" t="s">
        <v>44</v>
      </c>
      <c r="H336" t="s">
        <v>112</v>
      </c>
      <c r="I336">
        <v>6</v>
      </c>
      <c r="J336" s="19">
        <f>WEEKNUM(tblRidershipData[[#This Row],[MeasurementDate]])</f>
        <v>38</v>
      </c>
      <c r="K336" s="19">
        <f>MONTH(tblRidershipData[[#This Row],[MeasurementDate]])</f>
        <v>9</v>
      </c>
    </row>
    <row r="337" spans="1:11" x14ac:dyDescent="0.25">
      <c r="A337" s="31">
        <v>43724</v>
      </c>
      <c r="B337" t="s">
        <v>2</v>
      </c>
      <c r="C337">
        <v>9313</v>
      </c>
      <c r="D337" t="s">
        <v>89</v>
      </c>
      <c r="E337" t="s">
        <v>109</v>
      </c>
      <c r="F337">
        <v>2</v>
      </c>
      <c r="G337" t="s">
        <v>46</v>
      </c>
      <c r="H337" t="s">
        <v>112</v>
      </c>
      <c r="I337">
        <v>5</v>
      </c>
      <c r="J337" s="19">
        <f>WEEKNUM(tblRidershipData[[#This Row],[MeasurementDate]])</f>
        <v>38</v>
      </c>
      <c r="K337" s="19">
        <f>MONTH(tblRidershipData[[#This Row],[MeasurementDate]])</f>
        <v>9</v>
      </c>
    </row>
    <row r="338" spans="1:11" x14ac:dyDescent="0.25">
      <c r="A338" s="31">
        <v>43724</v>
      </c>
      <c r="B338" t="s">
        <v>2</v>
      </c>
      <c r="C338">
        <v>9313</v>
      </c>
      <c r="D338" t="s">
        <v>89</v>
      </c>
      <c r="E338" t="s">
        <v>109</v>
      </c>
      <c r="F338">
        <v>2</v>
      </c>
      <c r="G338" t="s">
        <v>60</v>
      </c>
      <c r="H338" t="s">
        <v>112</v>
      </c>
      <c r="I338">
        <v>9</v>
      </c>
      <c r="J338" s="19">
        <f>WEEKNUM(tblRidershipData[[#This Row],[MeasurementDate]])</f>
        <v>38</v>
      </c>
      <c r="K338" s="19">
        <f>MONTH(tblRidershipData[[#This Row],[MeasurementDate]])</f>
        <v>9</v>
      </c>
    </row>
    <row r="339" spans="1:11" x14ac:dyDescent="0.25">
      <c r="A339" s="31">
        <v>43724</v>
      </c>
      <c r="B339" t="s">
        <v>2</v>
      </c>
      <c r="C339">
        <v>9313</v>
      </c>
      <c r="D339" t="s">
        <v>89</v>
      </c>
      <c r="E339" t="s">
        <v>109</v>
      </c>
      <c r="F339">
        <v>2</v>
      </c>
      <c r="G339" t="s">
        <v>66</v>
      </c>
      <c r="H339" t="s">
        <v>112</v>
      </c>
      <c r="I339">
        <v>5</v>
      </c>
      <c r="J339" s="19">
        <f>WEEKNUM(tblRidershipData[[#This Row],[MeasurementDate]])</f>
        <v>38</v>
      </c>
      <c r="K339" s="19">
        <f>MONTH(tblRidershipData[[#This Row],[MeasurementDate]])</f>
        <v>9</v>
      </c>
    </row>
    <row r="340" spans="1:11" x14ac:dyDescent="0.25">
      <c r="A340" s="31">
        <v>43724</v>
      </c>
      <c r="B340" t="s">
        <v>2</v>
      </c>
      <c r="C340">
        <v>9313</v>
      </c>
      <c r="D340" t="s">
        <v>89</v>
      </c>
      <c r="E340" t="s">
        <v>109</v>
      </c>
      <c r="F340">
        <v>2</v>
      </c>
      <c r="G340" t="s">
        <v>70</v>
      </c>
      <c r="H340" t="s">
        <v>112</v>
      </c>
      <c r="I340">
        <v>20</v>
      </c>
      <c r="J340" s="19">
        <f>WEEKNUM(tblRidershipData[[#This Row],[MeasurementDate]])</f>
        <v>38</v>
      </c>
      <c r="K340" s="19">
        <f>MONTH(tblRidershipData[[#This Row],[MeasurementDate]])</f>
        <v>9</v>
      </c>
    </row>
    <row r="341" spans="1:11" x14ac:dyDescent="0.25">
      <c r="A341" s="31">
        <v>43724</v>
      </c>
      <c r="B341" t="s">
        <v>2</v>
      </c>
      <c r="C341">
        <v>9313</v>
      </c>
      <c r="D341" t="s">
        <v>89</v>
      </c>
      <c r="E341" t="s">
        <v>109</v>
      </c>
      <c r="F341">
        <v>2</v>
      </c>
      <c r="G341" t="s">
        <v>71</v>
      </c>
      <c r="H341" t="s">
        <v>112</v>
      </c>
      <c r="I341">
        <v>1</v>
      </c>
      <c r="J341" s="19">
        <f>WEEKNUM(tblRidershipData[[#This Row],[MeasurementDate]])</f>
        <v>38</v>
      </c>
      <c r="K341" s="19">
        <f>MONTH(tblRidershipData[[#This Row],[MeasurementDate]])</f>
        <v>9</v>
      </c>
    </row>
    <row r="342" spans="1:11" x14ac:dyDescent="0.25">
      <c r="A342" s="31">
        <v>43724</v>
      </c>
      <c r="B342" t="s">
        <v>2</v>
      </c>
      <c r="C342">
        <v>9313</v>
      </c>
      <c r="D342" t="s">
        <v>89</v>
      </c>
      <c r="E342" t="s">
        <v>109</v>
      </c>
      <c r="F342">
        <v>2</v>
      </c>
      <c r="G342" t="s">
        <v>76</v>
      </c>
      <c r="H342" t="s">
        <v>112</v>
      </c>
      <c r="I342">
        <v>6</v>
      </c>
      <c r="J342" s="19">
        <f>WEEKNUM(tblRidershipData[[#This Row],[MeasurementDate]])</f>
        <v>38</v>
      </c>
      <c r="K342" s="19">
        <f>MONTH(tblRidershipData[[#This Row],[MeasurementDate]])</f>
        <v>9</v>
      </c>
    </row>
    <row r="343" spans="1:11" x14ac:dyDescent="0.25">
      <c r="A343" s="31">
        <v>43724</v>
      </c>
      <c r="B343" t="s">
        <v>2</v>
      </c>
      <c r="C343">
        <v>1027</v>
      </c>
      <c r="D343" t="s">
        <v>113</v>
      </c>
      <c r="E343" t="s">
        <v>111</v>
      </c>
      <c r="F343">
        <v>1</v>
      </c>
      <c r="G343" t="s">
        <v>45</v>
      </c>
      <c r="H343" t="s">
        <v>110</v>
      </c>
      <c r="I343">
        <v>5</v>
      </c>
      <c r="J343" s="19">
        <f>WEEKNUM(tblRidershipData[[#This Row],[MeasurementDate]])</f>
        <v>38</v>
      </c>
      <c r="K343" s="19">
        <f>MONTH(tblRidershipData[[#This Row],[MeasurementDate]])</f>
        <v>9</v>
      </c>
    </row>
    <row r="344" spans="1:11" x14ac:dyDescent="0.25">
      <c r="A344" s="31">
        <v>43724</v>
      </c>
      <c r="B344" t="s">
        <v>2</v>
      </c>
      <c r="C344">
        <v>1027</v>
      </c>
      <c r="D344" t="s">
        <v>113</v>
      </c>
      <c r="E344" t="s">
        <v>111</v>
      </c>
      <c r="F344">
        <v>1</v>
      </c>
      <c r="G344" t="s">
        <v>48</v>
      </c>
      <c r="H344" t="s">
        <v>110</v>
      </c>
      <c r="I344">
        <v>5</v>
      </c>
      <c r="J344" s="19">
        <f>WEEKNUM(tblRidershipData[[#This Row],[MeasurementDate]])</f>
        <v>38</v>
      </c>
      <c r="K344" s="19">
        <f>MONTH(tblRidershipData[[#This Row],[MeasurementDate]])</f>
        <v>9</v>
      </c>
    </row>
    <row r="345" spans="1:11" x14ac:dyDescent="0.25">
      <c r="A345" s="31">
        <v>43724</v>
      </c>
      <c r="B345" t="s">
        <v>2</v>
      </c>
      <c r="C345">
        <v>1027</v>
      </c>
      <c r="D345" t="s">
        <v>113</v>
      </c>
      <c r="E345" t="s">
        <v>111</v>
      </c>
      <c r="F345">
        <v>1</v>
      </c>
      <c r="G345" t="s">
        <v>49</v>
      </c>
      <c r="H345" t="s">
        <v>110</v>
      </c>
      <c r="I345">
        <v>1</v>
      </c>
      <c r="J345" s="19">
        <f>WEEKNUM(tblRidershipData[[#This Row],[MeasurementDate]])</f>
        <v>38</v>
      </c>
      <c r="K345" s="19">
        <f>MONTH(tblRidershipData[[#This Row],[MeasurementDate]])</f>
        <v>9</v>
      </c>
    </row>
    <row r="346" spans="1:11" x14ac:dyDescent="0.25">
      <c r="A346" s="31">
        <v>43724</v>
      </c>
      <c r="B346" t="s">
        <v>2</v>
      </c>
      <c r="C346">
        <v>1027</v>
      </c>
      <c r="D346" t="s">
        <v>113</v>
      </c>
      <c r="E346" t="s">
        <v>111</v>
      </c>
      <c r="F346">
        <v>1</v>
      </c>
      <c r="G346" t="s">
        <v>50</v>
      </c>
      <c r="H346" t="s">
        <v>110</v>
      </c>
      <c r="I346">
        <v>4</v>
      </c>
      <c r="J346" s="19">
        <f>WEEKNUM(tblRidershipData[[#This Row],[MeasurementDate]])</f>
        <v>38</v>
      </c>
      <c r="K346" s="19">
        <f>MONTH(tblRidershipData[[#This Row],[MeasurementDate]])</f>
        <v>9</v>
      </c>
    </row>
    <row r="347" spans="1:11" x14ac:dyDescent="0.25">
      <c r="A347" s="31">
        <v>43724</v>
      </c>
      <c r="B347" t="s">
        <v>2</v>
      </c>
      <c r="C347">
        <v>1027</v>
      </c>
      <c r="D347" t="s">
        <v>113</v>
      </c>
      <c r="E347" t="s">
        <v>111</v>
      </c>
      <c r="F347">
        <v>1</v>
      </c>
      <c r="G347" t="s">
        <v>52</v>
      </c>
      <c r="H347" t="s">
        <v>110</v>
      </c>
      <c r="I347">
        <v>1</v>
      </c>
      <c r="J347" s="19">
        <f>WEEKNUM(tblRidershipData[[#This Row],[MeasurementDate]])</f>
        <v>38</v>
      </c>
      <c r="K347" s="19">
        <f>MONTH(tblRidershipData[[#This Row],[MeasurementDate]])</f>
        <v>9</v>
      </c>
    </row>
    <row r="348" spans="1:11" x14ac:dyDescent="0.25">
      <c r="A348" s="31">
        <v>43724</v>
      </c>
      <c r="B348" t="s">
        <v>2</v>
      </c>
      <c r="C348">
        <v>1027</v>
      </c>
      <c r="D348" t="s">
        <v>113</v>
      </c>
      <c r="E348" t="s">
        <v>111</v>
      </c>
      <c r="F348">
        <v>1</v>
      </c>
      <c r="G348" t="s">
        <v>54</v>
      </c>
      <c r="H348" t="s">
        <v>110</v>
      </c>
      <c r="I348">
        <v>2</v>
      </c>
      <c r="J348" s="19">
        <f>WEEKNUM(tblRidershipData[[#This Row],[MeasurementDate]])</f>
        <v>38</v>
      </c>
      <c r="K348" s="19">
        <f>MONTH(tblRidershipData[[#This Row],[MeasurementDate]])</f>
        <v>9</v>
      </c>
    </row>
    <row r="349" spans="1:11" x14ac:dyDescent="0.25">
      <c r="A349" s="31">
        <v>43724</v>
      </c>
      <c r="B349" t="s">
        <v>2</v>
      </c>
      <c r="C349">
        <v>1027</v>
      </c>
      <c r="D349" t="s">
        <v>113</v>
      </c>
      <c r="E349" t="s">
        <v>111</v>
      </c>
      <c r="F349">
        <v>1</v>
      </c>
      <c r="G349" t="s">
        <v>56</v>
      </c>
      <c r="H349" t="s">
        <v>110</v>
      </c>
      <c r="I349">
        <v>5</v>
      </c>
      <c r="J349" s="19">
        <f>WEEKNUM(tblRidershipData[[#This Row],[MeasurementDate]])</f>
        <v>38</v>
      </c>
      <c r="K349" s="19">
        <f>MONTH(tblRidershipData[[#This Row],[MeasurementDate]])</f>
        <v>9</v>
      </c>
    </row>
    <row r="350" spans="1:11" x14ac:dyDescent="0.25">
      <c r="A350" s="31">
        <v>43724</v>
      </c>
      <c r="B350" t="s">
        <v>2</v>
      </c>
      <c r="C350">
        <v>1027</v>
      </c>
      <c r="D350" t="s">
        <v>113</v>
      </c>
      <c r="E350" t="s">
        <v>111</v>
      </c>
      <c r="F350">
        <v>1</v>
      </c>
      <c r="G350" t="s">
        <v>64</v>
      </c>
      <c r="H350" t="s">
        <v>110</v>
      </c>
      <c r="I350">
        <v>5</v>
      </c>
      <c r="J350" s="19">
        <f>WEEKNUM(tblRidershipData[[#This Row],[MeasurementDate]])</f>
        <v>38</v>
      </c>
      <c r="K350" s="19">
        <f>MONTH(tblRidershipData[[#This Row],[MeasurementDate]])</f>
        <v>9</v>
      </c>
    </row>
    <row r="351" spans="1:11" x14ac:dyDescent="0.25">
      <c r="A351" s="31">
        <v>43724</v>
      </c>
      <c r="B351" t="s">
        <v>2</v>
      </c>
      <c r="C351">
        <v>1027</v>
      </c>
      <c r="D351" t="s">
        <v>113</v>
      </c>
      <c r="E351" t="s">
        <v>111</v>
      </c>
      <c r="F351">
        <v>1</v>
      </c>
      <c r="G351" t="s">
        <v>67</v>
      </c>
      <c r="H351" t="s">
        <v>110</v>
      </c>
      <c r="I351">
        <v>4</v>
      </c>
      <c r="J351" s="19">
        <f>WEEKNUM(tblRidershipData[[#This Row],[MeasurementDate]])</f>
        <v>38</v>
      </c>
      <c r="K351" s="19">
        <f>MONTH(tblRidershipData[[#This Row],[MeasurementDate]])</f>
        <v>9</v>
      </c>
    </row>
    <row r="352" spans="1:11" x14ac:dyDescent="0.25">
      <c r="A352" s="31">
        <v>43724</v>
      </c>
      <c r="B352" t="s">
        <v>2</v>
      </c>
      <c r="C352">
        <v>1027</v>
      </c>
      <c r="D352" t="s">
        <v>113</v>
      </c>
      <c r="E352" t="s">
        <v>111</v>
      </c>
      <c r="F352">
        <v>1</v>
      </c>
      <c r="G352" t="s">
        <v>71</v>
      </c>
      <c r="H352" t="s">
        <v>110</v>
      </c>
      <c r="I352">
        <v>2</v>
      </c>
      <c r="J352" s="19">
        <f>WEEKNUM(tblRidershipData[[#This Row],[MeasurementDate]])</f>
        <v>38</v>
      </c>
      <c r="K352" s="19">
        <f>MONTH(tblRidershipData[[#This Row],[MeasurementDate]])</f>
        <v>9</v>
      </c>
    </row>
    <row r="353" spans="1:11" x14ac:dyDescent="0.25">
      <c r="A353" s="31">
        <v>43724</v>
      </c>
      <c r="B353" t="s">
        <v>2</v>
      </c>
      <c r="C353">
        <v>1027</v>
      </c>
      <c r="D353" t="s">
        <v>113</v>
      </c>
      <c r="E353" t="s">
        <v>111</v>
      </c>
      <c r="F353">
        <v>1</v>
      </c>
      <c r="G353" t="s">
        <v>72</v>
      </c>
      <c r="H353" t="s">
        <v>110</v>
      </c>
      <c r="I353">
        <v>2</v>
      </c>
      <c r="J353" s="19">
        <f>WEEKNUM(tblRidershipData[[#This Row],[MeasurementDate]])</f>
        <v>38</v>
      </c>
      <c r="K353" s="19">
        <f>MONTH(tblRidershipData[[#This Row],[MeasurementDate]])</f>
        <v>9</v>
      </c>
    </row>
    <row r="354" spans="1:11" x14ac:dyDescent="0.25">
      <c r="A354" s="31">
        <v>43724</v>
      </c>
      <c r="B354" t="s">
        <v>2</v>
      </c>
      <c r="C354">
        <v>1027</v>
      </c>
      <c r="D354" t="s">
        <v>113</v>
      </c>
      <c r="E354" t="s">
        <v>109</v>
      </c>
      <c r="F354">
        <v>1</v>
      </c>
      <c r="G354" t="s">
        <v>64</v>
      </c>
      <c r="H354" t="s">
        <v>110</v>
      </c>
      <c r="I354">
        <v>22</v>
      </c>
      <c r="J354" s="19">
        <f>WEEKNUM(tblRidershipData[[#This Row],[MeasurementDate]])</f>
        <v>38</v>
      </c>
      <c r="K354" s="19">
        <f>MONTH(tblRidershipData[[#This Row],[MeasurementDate]])</f>
        <v>9</v>
      </c>
    </row>
    <row r="355" spans="1:11" x14ac:dyDescent="0.25">
      <c r="A355" s="31">
        <v>43724</v>
      </c>
      <c r="B355" t="s">
        <v>2</v>
      </c>
      <c r="C355">
        <v>1027</v>
      </c>
      <c r="D355" t="s">
        <v>113</v>
      </c>
      <c r="E355" t="s">
        <v>109</v>
      </c>
      <c r="F355">
        <v>1</v>
      </c>
      <c r="G355" t="s">
        <v>73</v>
      </c>
      <c r="H355" t="s">
        <v>110</v>
      </c>
      <c r="I355">
        <v>34</v>
      </c>
      <c r="J355" s="19">
        <f>WEEKNUM(tblRidershipData[[#This Row],[MeasurementDate]])</f>
        <v>38</v>
      </c>
      <c r="K355" s="19">
        <f>MONTH(tblRidershipData[[#This Row],[MeasurementDate]])</f>
        <v>9</v>
      </c>
    </row>
    <row r="356" spans="1:11" x14ac:dyDescent="0.25">
      <c r="A356" s="31">
        <v>43724</v>
      </c>
      <c r="B356" t="s">
        <v>2</v>
      </c>
      <c r="C356">
        <v>1027</v>
      </c>
      <c r="D356" t="s">
        <v>113</v>
      </c>
      <c r="E356" t="s">
        <v>109</v>
      </c>
      <c r="F356">
        <v>1</v>
      </c>
      <c r="G356" t="s">
        <v>74</v>
      </c>
      <c r="H356" t="s">
        <v>110</v>
      </c>
      <c r="I356">
        <v>21</v>
      </c>
      <c r="J356" s="19">
        <f>WEEKNUM(tblRidershipData[[#This Row],[MeasurementDate]])</f>
        <v>38</v>
      </c>
      <c r="K356" s="19">
        <f>MONTH(tblRidershipData[[#This Row],[MeasurementDate]])</f>
        <v>9</v>
      </c>
    </row>
    <row r="357" spans="1:11" x14ac:dyDescent="0.25">
      <c r="A357" s="31">
        <v>43724</v>
      </c>
      <c r="B357" t="s">
        <v>2</v>
      </c>
      <c r="C357">
        <v>1736</v>
      </c>
      <c r="D357" t="s">
        <v>93</v>
      </c>
      <c r="E357" t="s">
        <v>111</v>
      </c>
      <c r="F357">
        <v>1</v>
      </c>
      <c r="G357" t="s">
        <v>45</v>
      </c>
      <c r="H357" t="s">
        <v>110</v>
      </c>
      <c r="I357">
        <v>1</v>
      </c>
      <c r="J357" s="19">
        <f>WEEKNUM(tblRidershipData[[#This Row],[MeasurementDate]])</f>
        <v>38</v>
      </c>
      <c r="K357" s="19">
        <f>MONTH(tblRidershipData[[#This Row],[MeasurementDate]])</f>
        <v>9</v>
      </c>
    </row>
    <row r="358" spans="1:11" x14ac:dyDescent="0.25">
      <c r="A358" s="31">
        <v>43724</v>
      </c>
      <c r="B358" t="s">
        <v>2</v>
      </c>
      <c r="C358">
        <v>1736</v>
      </c>
      <c r="D358" t="s">
        <v>93</v>
      </c>
      <c r="E358" t="s">
        <v>111</v>
      </c>
      <c r="F358">
        <v>1</v>
      </c>
      <c r="G358" t="s">
        <v>50</v>
      </c>
      <c r="H358" t="s">
        <v>110</v>
      </c>
      <c r="I358">
        <v>3</v>
      </c>
      <c r="J358" s="19">
        <f>WEEKNUM(tblRidershipData[[#This Row],[MeasurementDate]])</f>
        <v>38</v>
      </c>
      <c r="K358" s="19">
        <f>MONTH(tblRidershipData[[#This Row],[MeasurementDate]])</f>
        <v>9</v>
      </c>
    </row>
    <row r="359" spans="1:11" x14ac:dyDescent="0.25">
      <c r="A359" s="31">
        <v>43724</v>
      </c>
      <c r="B359" t="s">
        <v>2</v>
      </c>
      <c r="C359">
        <v>1736</v>
      </c>
      <c r="D359" t="s">
        <v>93</v>
      </c>
      <c r="E359" t="s">
        <v>111</v>
      </c>
      <c r="F359">
        <v>1</v>
      </c>
      <c r="G359" t="s">
        <v>54</v>
      </c>
      <c r="H359" t="s">
        <v>110</v>
      </c>
      <c r="I359">
        <v>3</v>
      </c>
      <c r="J359" s="19">
        <f>WEEKNUM(tblRidershipData[[#This Row],[MeasurementDate]])</f>
        <v>38</v>
      </c>
      <c r="K359" s="19">
        <f>MONTH(tblRidershipData[[#This Row],[MeasurementDate]])</f>
        <v>9</v>
      </c>
    </row>
    <row r="360" spans="1:11" x14ac:dyDescent="0.25">
      <c r="A360" s="31">
        <v>43724</v>
      </c>
      <c r="B360" t="s">
        <v>2</v>
      </c>
      <c r="C360">
        <v>1736</v>
      </c>
      <c r="D360" t="s">
        <v>93</v>
      </c>
      <c r="E360" t="s">
        <v>111</v>
      </c>
      <c r="F360">
        <v>1</v>
      </c>
      <c r="G360" t="s">
        <v>56</v>
      </c>
      <c r="H360" t="s">
        <v>110</v>
      </c>
      <c r="I360">
        <v>1</v>
      </c>
      <c r="J360" s="19">
        <f>WEEKNUM(tblRidershipData[[#This Row],[MeasurementDate]])</f>
        <v>38</v>
      </c>
      <c r="K360" s="19">
        <f>MONTH(tblRidershipData[[#This Row],[MeasurementDate]])</f>
        <v>9</v>
      </c>
    </row>
    <row r="361" spans="1:11" x14ac:dyDescent="0.25">
      <c r="A361" s="31">
        <v>43724</v>
      </c>
      <c r="B361" t="s">
        <v>2</v>
      </c>
      <c r="C361">
        <v>1736</v>
      </c>
      <c r="D361" t="s">
        <v>93</v>
      </c>
      <c r="E361" t="s">
        <v>111</v>
      </c>
      <c r="F361">
        <v>1</v>
      </c>
      <c r="G361" t="s">
        <v>73</v>
      </c>
      <c r="H361" t="s">
        <v>110</v>
      </c>
      <c r="I361">
        <v>1</v>
      </c>
      <c r="J361" s="19">
        <f>WEEKNUM(tblRidershipData[[#This Row],[MeasurementDate]])</f>
        <v>38</v>
      </c>
      <c r="K361" s="19">
        <f>MONTH(tblRidershipData[[#This Row],[MeasurementDate]])</f>
        <v>9</v>
      </c>
    </row>
    <row r="362" spans="1:11" x14ac:dyDescent="0.25">
      <c r="A362" s="31">
        <v>43724</v>
      </c>
      <c r="B362" t="s">
        <v>2</v>
      </c>
      <c r="C362">
        <v>1736</v>
      </c>
      <c r="D362" t="s">
        <v>93</v>
      </c>
      <c r="E362" t="s">
        <v>111</v>
      </c>
      <c r="F362">
        <v>1</v>
      </c>
      <c r="G362" t="s">
        <v>77</v>
      </c>
      <c r="H362" t="s">
        <v>110</v>
      </c>
      <c r="I362">
        <v>1</v>
      </c>
      <c r="J362" s="19">
        <f>WEEKNUM(tblRidershipData[[#This Row],[MeasurementDate]])</f>
        <v>38</v>
      </c>
      <c r="K362" s="19">
        <f>MONTH(tblRidershipData[[#This Row],[MeasurementDate]])</f>
        <v>9</v>
      </c>
    </row>
    <row r="363" spans="1:11" x14ac:dyDescent="0.25">
      <c r="A363" s="31">
        <v>43724</v>
      </c>
      <c r="B363" t="s">
        <v>2</v>
      </c>
      <c r="C363">
        <v>1736</v>
      </c>
      <c r="D363" t="s">
        <v>93</v>
      </c>
      <c r="E363" t="s">
        <v>111</v>
      </c>
      <c r="F363">
        <v>2</v>
      </c>
      <c r="G363" t="s">
        <v>49</v>
      </c>
      <c r="H363" t="s">
        <v>110</v>
      </c>
      <c r="I363">
        <v>2</v>
      </c>
      <c r="J363" s="19">
        <f>WEEKNUM(tblRidershipData[[#This Row],[MeasurementDate]])</f>
        <v>38</v>
      </c>
      <c r="K363" s="19">
        <f>MONTH(tblRidershipData[[#This Row],[MeasurementDate]])</f>
        <v>9</v>
      </c>
    </row>
    <row r="364" spans="1:11" x14ac:dyDescent="0.25">
      <c r="A364" s="31">
        <v>43724</v>
      </c>
      <c r="B364" t="s">
        <v>2</v>
      </c>
      <c r="C364">
        <v>1736</v>
      </c>
      <c r="D364" t="s">
        <v>93</v>
      </c>
      <c r="E364" t="s">
        <v>111</v>
      </c>
      <c r="F364">
        <v>2</v>
      </c>
      <c r="G364" t="s">
        <v>50</v>
      </c>
      <c r="H364" t="s">
        <v>110</v>
      </c>
      <c r="I364">
        <v>7</v>
      </c>
      <c r="J364" s="19">
        <f>WEEKNUM(tblRidershipData[[#This Row],[MeasurementDate]])</f>
        <v>38</v>
      </c>
      <c r="K364" s="19">
        <f>MONTH(tblRidershipData[[#This Row],[MeasurementDate]])</f>
        <v>9</v>
      </c>
    </row>
    <row r="365" spans="1:11" x14ac:dyDescent="0.25">
      <c r="A365" s="31">
        <v>43724</v>
      </c>
      <c r="B365" t="s">
        <v>2</v>
      </c>
      <c r="C365">
        <v>1736</v>
      </c>
      <c r="D365" t="s">
        <v>93</v>
      </c>
      <c r="E365" t="s">
        <v>111</v>
      </c>
      <c r="F365">
        <v>2</v>
      </c>
      <c r="G365" t="s">
        <v>72</v>
      </c>
      <c r="H365" t="s">
        <v>110</v>
      </c>
      <c r="I365">
        <v>1</v>
      </c>
      <c r="J365" s="19">
        <f>WEEKNUM(tblRidershipData[[#This Row],[MeasurementDate]])</f>
        <v>38</v>
      </c>
      <c r="K365" s="19">
        <f>MONTH(tblRidershipData[[#This Row],[MeasurementDate]])</f>
        <v>9</v>
      </c>
    </row>
    <row r="366" spans="1:11" x14ac:dyDescent="0.25">
      <c r="A366" s="31">
        <v>43724</v>
      </c>
      <c r="B366" t="s">
        <v>2</v>
      </c>
      <c r="C366">
        <v>1736</v>
      </c>
      <c r="D366" t="s">
        <v>93</v>
      </c>
      <c r="E366" t="s">
        <v>109</v>
      </c>
      <c r="F366">
        <v>1</v>
      </c>
      <c r="G366" t="s">
        <v>54</v>
      </c>
      <c r="H366" t="s">
        <v>110</v>
      </c>
      <c r="I366">
        <v>12</v>
      </c>
      <c r="J366" s="19">
        <f>WEEKNUM(tblRidershipData[[#This Row],[MeasurementDate]])</f>
        <v>38</v>
      </c>
      <c r="K366" s="19">
        <f>MONTH(tblRidershipData[[#This Row],[MeasurementDate]])</f>
        <v>9</v>
      </c>
    </row>
    <row r="367" spans="1:11" x14ac:dyDescent="0.25">
      <c r="A367" s="31">
        <v>43724</v>
      </c>
      <c r="B367" t="s">
        <v>2</v>
      </c>
      <c r="C367">
        <v>1736</v>
      </c>
      <c r="D367" t="s">
        <v>93</v>
      </c>
      <c r="E367" t="s">
        <v>109</v>
      </c>
      <c r="F367">
        <v>1</v>
      </c>
      <c r="G367" t="s">
        <v>67</v>
      </c>
      <c r="H367" t="s">
        <v>110</v>
      </c>
      <c r="I367">
        <v>54</v>
      </c>
      <c r="J367" s="19">
        <f>WEEKNUM(tblRidershipData[[#This Row],[MeasurementDate]])</f>
        <v>38</v>
      </c>
      <c r="K367" s="19">
        <f>MONTH(tblRidershipData[[#This Row],[MeasurementDate]])</f>
        <v>9</v>
      </c>
    </row>
    <row r="368" spans="1:11" x14ac:dyDescent="0.25">
      <c r="A368" s="31">
        <v>43724</v>
      </c>
      <c r="B368" t="s">
        <v>2</v>
      </c>
      <c r="C368">
        <v>1736</v>
      </c>
      <c r="D368" t="s">
        <v>93</v>
      </c>
      <c r="E368" t="s">
        <v>109</v>
      </c>
      <c r="F368">
        <v>1</v>
      </c>
      <c r="G368" t="s">
        <v>70</v>
      </c>
      <c r="H368" t="s">
        <v>110</v>
      </c>
      <c r="I368">
        <v>18</v>
      </c>
      <c r="J368" s="19">
        <f>WEEKNUM(tblRidershipData[[#This Row],[MeasurementDate]])</f>
        <v>38</v>
      </c>
      <c r="K368" s="19">
        <f>MONTH(tblRidershipData[[#This Row],[MeasurementDate]])</f>
        <v>9</v>
      </c>
    </row>
    <row r="369" spans="1:11" x14ac:dyDescent="0.25">
      <c r="A369" s="31">
        <v>43724</v>
      </c>
      <c r="B369" t="s">
        <v>2</v>
      </c>
      <c r="C369">
        <v>1736</v>
      </c>
      <c r="D369" t="s">
        <v>93</v>
      </c>
      <c r="E369" t="s">
        <v>109</v>
      </c>
      <c r="F369">
        <v>1</v>
      </c>
      <c r="G369" t="s">
        <v>73</v>
      </c>
      <c r="H369" t="s">
        <v>110</v>
      </c>
      <c r="I369">
        <v>54</v>
      </c>
      <c r="J369" s="19">
        <f>WEEKNUM(tblRidershipData[[#This Row],[MeasurementDate]])</f>
        <v>38</v>
      </c>
      <c r="K369" s="19">
        <f>MONTH(tblRidershipData[[#This Row],[MeasurementDate]])</f>
        <v>9</v>
      </c>
    </row>
    <row r="370" spans="1:11" x14ac:dyDescent="0.25">
      <c r="A370" s="31">
        <v>43724</v>
      </c>
      <c r="B370" t="s">
        <v>2</v>
      </c>
      <c r="C370">
        <v>1736</v>
      </c>
      <c r="D370" t="s">
        <v>93</v>
      </c>
      <c r="E370" t="s">
        <v>109</v>
      </c>
      <c r="F370">
        <v>2</v>
      </c>
      <c r="G370" t="s">
        <v>52</v>
      </c>
      <c r="H370" t="s">
        <v>110</v>
      </c>
      <c r="I370">
        <v>20</v>
      </c>
      <c r="J370" s="19">
        <f>WEEKNUM(tblRidershipData[[#This Row],[MeasurementDate]])</f>
        <v>38</v>
      </c>
      <c r="K370" s="19">
        <f>MONTH(tblRidershipData[[#This Row],[MeasurementDate]])</f>
        <v>9</v>
      </c>
    </row>
    <row r="371" spans="1:11" x14ac:dyDescent="0.25">
      <c r="A371" s="31">
        <v>43724</v>
      </c>
      <c r="B371" t="s">
        <v>2</v>
      </c>
      <c r="C371">
        <v>1751</v>
      </c>
      <c r="D371" t="s">
        <v>102</v>
      </c>
      <c r="E371" t="s">
        <v>111</v>
      </c>
      <c r="F371">
        <v>1</v>
      </c>
      <c r="G371" t="s">
        <v>45</v>
      </c>
      <c r="H371" t="s">
        <v>110</v>
      </c>
      <c r="I371">
        <v>14</v>
      </c>
      <c r="J371" s="19">
        <f>WEEKNUM(tblRidershipData[[#This Row],[MeasurementDate]])</f>
        <v>38</v>
      </c>
      <c r="K371" s="19">
        <f>MONTH(tblRidershipData[[#This Row],[MeasurementDate]])</f>
        <v>9</v>
      </c>
    </row>
    <row r="372" spans="1:11" x14ac:dyDescent="0.25">
      <c r="A372" s="31">
        <v>43724</v>
      </c>
      <c r="B372" t="s">
        <v>2</v>
      </c>
      <c r="C372">
        <v>1751</v>
      </c>
      <c r="D372" t="s">
        <v>102</v>
      </c>
      <c r="E372" t="s">
        <v>111</v>
      </c>
      <c r="F372">
        <v>1</v>
      </c>
      <c r="G372" t="s">
        <v>47</v>
      </c>
      <c r="H372" t="s">
        <v>110</v>
      </c>
      <c r="I372">
        <v>7</v>
      </c>
      <c r="J372" s="19">
        <f>WEEKNUM(tblRidershipData[[#This Row],[MeasurementDate]])</f>
        <v>38</v>
      </c>
      <c r="K372" s="19">
        <f>MONTH(tblRidershipData[[#This Row],[MeasurementDate]])</f>
        <v>9</v>
      </c>
    </row>
    <row r="373" spans="1:11" x14ac:dyDescent="0.25">
      <c r="A373" s="31">
        <v>43724</v>
      </c>
      <c r="B373" t="s">
        <v>2</v>
      </c>
      <c r="C373">
        <v>1751</v>
      </c>
      <c r="D373" t="s">
        <v>102</v>
      </c>
      <c r="E373" t="s">
        <v>111</v>
      </c>
      <c r="F373">
        <v>1</v>
      </c>
      <c r="G373" t="s">
        <v>54</v>
      </c>
      <c r="H373" t="s">
        <v>110</v>
      </c>
      <c r="I373">
        <v>9</v>
      </c>
      <c r="J373" s="19">
        <f>WEEKNUM(tblRidershipData[[#This Row],[MeasurementDate]])</f>
        <v>38</v>
      </c>
      <c r="K373" s="19">
        <f>MONTH(tblRidershipData[[#This Row],[MeasurementDate]])</f>
        <v>9</v>
      </c>
    </row>
    <row r="374" spans="1:11" x14ac:dyDescent="0.25">
      <c r="A374" s="31">
        <v>43724</v>
      </c>
      <c r="B374" t="s">
        <v>2</v>
      </c>
      <c r="C374">
        <v>1751</v>
      </c>
      <c r="D374" t="s">
        <v>102</v>
      </c>
      <c r="E374" t="s">
        <v>111</v>
      </c>
      <c r="F374">
        <v>1</v>
      </c>
      <c r="G374" t="s">
        <v>58</v>
      </c>
      <c r="H374" t="s">
        <v>110</v>
      </c>
      <c r="I374">
        <v>2</v>
      </c>
      <c r="J374" s="19">
        <f>WEEKNUM(tblRidershipData[[#This Row],[MeasurementDate]])</f>
        <v>38</v>
      </c>
      <c r="K374" s="19">
        <f>MONTH(tblRidershipData[[#This Row],[MeasurementDate]])</f>
        <v>9</v>
      </c>
    </row>
    <row r="375" spans="1:11" x14ac:dyDescent="0.25">
      <c r="A375" s="31">
        <v>43724</v>
      </c>
      <c r="B375" t="s">
        <v>2</v>
      </c>
      <c r="C375">
        <v>1751</v>
      </c>
      <c r="D375" t="s">
        <v>102</v>
      </c>
      <c r="E375" t="s">
        <v>111</v>
      </c>
      <c r="F375">
        <v>1</v>
      </c>
      <c r="G375" t="s">
        <v>62</v>
      </c>
      <c r="H375" t="s">
        <v>110</v>
      </c>
      <c r="I375">
        <v>5</v>
      </c>
      <c r="J375" s="19">
        <f>WEEKNUM(tblRidershipData[[#This Row],[MeasurementDate]])</f>
        <v>38</v>
      </c>
      <c r="K375" s="19">
        <f>MONTH(tblRidershipData[[#This Row],[MeasurementDate]])</f>
        <v>9</v>
      </c>
    </row>
    <row r="376" spans="1:11" x14ac:dyDescent="0.25">
      <c r="A376" s="31">
        <v>43724</v>
      </c>
      <c r="B376" t="s">
        <v>2</v>
      </c>
      <c r="C376">
        <v>1751</v>
      </c>
      <c r="D376" t="s">
        <v>102</v>
      </c>
      <c r="E376" t="s">
        <v>111</v>
      </c>
      <c r="F376">
        <v>1</v>
      </c>
      <c r="G376" t="s">
        <v>63</v>
      </c>
      <c r="H376" t="s">
        <v>110</v>
      </c>
      <c r="I376">
        <v>7</v>
      </c>
      <c r="J376" s="19">
        <f>WEEKNUM(tblRidershipData[[#This Row],[MeasurementDate]])</f>
        <v>38</v>
      </c>
      <c r="K376" s="19">
        <f>MONTH(tblRidershipData[[#This Row],[MeasurementDate]])</f>
        <v>9</v>
      </c>
    </row>
    <row r="377" spans="1:11" x14ac:dyDescent="0.25">
      <c r="A377" s="31">
        <v>43724</v>
      </c>
      <c r="B377" t="s">
        <v>2</v>
      </c>
      <c r="C377">
        <v>1751</v>
      </c>
      <c r="D377" t="s">
        <v>102</v>
      </c>
      <c r="E377" t="s">
        <v>111</v>
      </c>
      <c r="F377">
        <v>1</v>
      </c>
      <c r="G377" t="s">
        <v>64</v>
      </c>
      <c r="H377" t="s">
        <v>110</v>
      </c>
      <c r="I377">
        <v>6</v>
      </c>
      <c r="J377" s="19">
        <f>WEEKNUM(tblRidershipData[[#This Row],[MeasurementDate]])</f>
        <v>38</v>
      </c>
      <c r="K377" s="19">
        <f>MONTH(tblRidershipData[[#This Row],[MeasurementDate]])</f>
        <v>9</v>
      </c>
    </row>
    <row r="378" spans="1:11" x14ac:dyDescent="0.25">
      <c r="A378" s="31">
        <v>43724</v>
      </c>
      <c r="B378" t="s">
        <v>2</v>
      </c>
      <c r="C378">
        <v>1751</v>
      </c>
      <c r="D378" t="s">
        <v>102</v>
      </c>
      <c r="E378" t="s">
        <v>111</v>
      </c>
      <c r="F378">
        <v>1</v>
      </c>
      <c r="G378" t="s">
        <v>67</v>
      </c>
      <c r="H378" t="s">
        <v>110</v>
      </c>
      <c r="I378">
        <v>7</v>
      </c>
      <c r="J378" s="19">
        <f>WEEKNUM(tblRidershipData[[#This Row],[MeasurementDate]])</f>
        <v>38</v>
      </c>
      <c r="K378" s="19">
        <f>MONTH(tblRidershipData[[#This Row],[MeasurementDate]])</f>
        <v>9</v>
      </c>
    </row>
    <row r="379" spans="1:11" x14ac:dyDescent="0.25">
      <c r="A379" s="31">
        <v>43724</v>
      </c>
      <c r="B379" t="s">
        <v>2</v>
      </c>
      <c r="C379">
        <v>1751</v>
      </c>
      <c r="D379" t="s">
        <v>102</v>
      </c>
      <c r="E379" t="s">
        <v>111</v>
      </c>
      <c r="F379">
        <v>1</v>
      </c>
      <c r="G379" t="s">
        <v>72</v>
      </c>
      <c r="H379" t="s">
        <v>110</v>
      </c>
      <c r="I379">
        <v>1</v>
      </c>
      <c r="J379" s="19">
        <f>WEEKNUM(tblRidershipData[[#This Row],[MeasurementDate]])</f>
        <v>38</v>
      </c>
      <c r="K379" s="19">
        <f>MONTH(tblRidershipData[[#This Row],[MeasurementDate]])</f>
        <v>9</v>
      </c>
    </row>
    <row r="380" spans="1:11" x14ac:dyDescent="0.25">
      <c r="A380" s="31">
        <v>43724</v>
      </c>
      <c r="B380" t="s">
        <v>2</v>
      </c>
      <c r="C380">
        <v>1751</v>
      </c>
      <c r="D380" t="s">
        <v>102</v>
      </c>
      <c r="E380" t="s">
        <v>111</v>
      </c>
      <c r="F380">
        <v>1</v>
      </c>
      <c r="G380" t="s">
        <v>73</v>
      </c>
      <c r="H380" t="s">
        <v>110</v>
      </c>
      <c r="I380">
        <v>2</v>
      </c>
      <c r="J380" s="19">
        <f>WEEKNUM(tblRidershipData[[#This Row],[MeasurementDate]])</f>
        <v>38</v>
      </c>
      <c r="K380" s="19">
        <f>MONTH(tblRidershipData[[#This Row],[MeasurementDate]])</f>
        <v>9</v>
      </c>
    </row>
    <row r="381" spans="1:11" x14ac:dyDescent="0.25">
      <c r="A381" s="31">
        <v>43724</v>
      </c>
      <c r="B381" t="s">
        <v>2</v>
      </c>
      <c r="C381">
        <v>1751</v>
      </c>
      <c r="D381" t="s">
        <v>102</v>
      </c>
      <c r="E381" t="s">
        <v>109</v>
      </c>
      <c r="F381">
        <v>1</v>
      </c>
      <c r="G381" t="s">
        <v>44</v>
      </c>
      <c r="H381" t="s">
        <v>110</v>
      </c>
      <c r="I381">
        <v>3</v>
      </c>
      <c r="J381" s="19">
        <f>WEEKNUM(tblRidershipData[[#This Row],[MeasurementDate]])</f>
        <v>38</v>
      </c>
      <c r="K381" s="19">
        <f>MONTH(tblRidershipData[[#This Row],[MeasurementDate]])</f>
        <v>9</v>
      </c>
    </row>
    <row r="382" spans="1:11" x14ac:dyDescent="0.25">
      <c r="A382" s="31">
        <v>43724</v>
      </c>
      <c r="B382" t="s">
        <v>2</v>
      </c>
      <c r="C382">
        <v>1751</v>
      </c>
      <c r="D382" t="s">
        <v>102</v>
      </c>
      <c r="E382" t="s">
        <v>109</v>
      </c>
      <c r="F382">
        <v>1</v>
      </c>
      <c r="G382" t="s">
        <v>59</v>
      </c>
      <c r="H382" t="s">
        <v>110</v>
      </c>
      <c r="I382">
        <v>8</v>
      </c>
      <c r="J382" s="19">
        <f>WEEKNUM(tblRidershipData[[#This Row],[MeasurementDate]])</f>
        <v>38</v>
      </c>
      <c r="K382" s="19">
        <f>MONTH(tblRidershipData[[#This Row],[MeasurementDate]])</f>
        <v>9</v>
      </c>
    </row>
    <row r="383" spans="1:11" x14ac:dyDescent="0.25">
      <c r="A383" s="31">
        <v>43724</v>
      </c>
      <c r="B383" t="s">
        <v>2</v>
      </c>
      <c r="C383">
        <v>1751</v>
      </c>
      <c r="D383" t="s">
        <v>102</v>
      </c>
      <c r="E383" t="s">
        <v>109</v>
      </c>
      <c r="F383">
        <v>1</v>
      </c>
      <c r="G383" t="s">
        <v>67</v>
      </c>
      <c r="H383" t="s">
        <v>110</v>
      </c>
      <c r="I383">
        <v>27</v>
      </c>
      <c r="J383" s="19">
        <f>WEEKNUM(tblRidershipData[[#This Row],[MeasurementDate]])</f>
        <v>38</v>
      </c>
      <c r="K383" s="19">
        <f>MONTH(tblRidershipData[[#This Row],[MeasurementDate]])</f>
        <v>9</v>
      </c>
    </row>
    <row r="384" spans="1:11" x14ac:dyDescent="0.25">
      <c r="A384" s="31">
        <v>43724</v>
      </c>
      <c r="B384" t="s">
        <v>2</v>
      </c>
      <c r="C384">
        <v>1751</v>
      </c>
      <c r="D384" t="s">
        <v>102</v>
      </c>
      <c r="E384" t="s">
        <v>109</v>
      </c>
      <c r="F384">
        <v>1</v>
      </c>
      <c r="G384" t="s">
        <v>69</v>
      </c>
      <c r="H384" t="s">
        <v>110</v>
      </c>
      <c r="I384">
        <v>9</v>
      </c>
      <c r="J384" s="19">
        <f>WEEKNUM(tblRidershipData[[#This Row],[MeasurementDate]])</f>
        <v>38</v>
      </c>
      <c r="K384" s="19">
        <f>MONTH(tblRidershipData[[#This Row],[MeasurementDate]])</f>
        <v>9</v>
      </c>
    </row>
    <row r="385" spans="1:11" x14ac:dyDescent="0.25">
      <c r="A385" s="31">
        <v>43724</v>
      </c>
      <c r="B385" t="s">
        <v>2</v>
      </c>
      <c r="C385">
        <v>1751</v>
      </c>
      <c r="E385" t="s">
        <v>111</v>
      </c>
      <c r="F385">
        <v>1</v>
      </c>
      <c r="G385" t="s">
        <v>59</v>
      </c>
      <c r="H385" t="s">
        <v>112</v>
      </c>
      <c r="I385">
        <v>8</v>
      </c>
      <c r="J385" s="19">
        <f>WEEKNUM(tblRidershipData[[#This Row],[MeasurementDate]])</f>
        <v>38</v>
      </c>
      <c r="K385" s="19">
        <f>MONTH(tblRidershipData[[#This Row],[MeasurementDate]])</f>
        <v>9</v>
      </c>
    </row>
    <row r="386" spans="1:11" x14ac:dyDescent="0.25">
      <c r="A386" s="31">
        <v>43724</v>
      </c>
      <c r="B386" t="s">
        <v>2</v>
      </c>
      <c r="C386">
        <v>1751</v>
      </c>
      <c r="E386" t="s">
        <v>111</v>
      </c>
      <c r="F386">
        <v>1</v>
      </c>
      <c r="G386" t="s">
        <v>67</v>
      </c>
      <c r="H386" t="s">
        <v>112</v>
      </c>
      <c r="I386">
        <v>10</v>
      </c>
      <c r="J386" s="19">
        <f>WEEKNUM(tblRidershipData[[#This Row],[MeasurementDate]])</f>
        <v>38</v>
      </c>
      <c r="K386" s="19">
        <f>MONTH(tblRidershipData[[#This Row],[MeasurementDate]])</f>
        <v>9</v>
      </c>
    </row>
    <row r="387" spans="1:11" x14ac:dyDescent="0.25">
      <c r="A387" s="31">
        <v>43724</v>
      </c>
      <c r="B387" t="s">
        <v>2</v>
      </c>
      <c r="C387">
        <v>1751</v>
      </c>
      <c r="E387" t="s">
        <v>111</v>
      </c>
      <c r="F387">
        <v>1</v>
      </c>
      <c r="G387" t="s">
        <v>69</v>
      </c>
      <c r="H387" t="s">
        <v>112</v>
      </c>
      <c r="I387">
        <v>6</v>
      </c>
      <c r="J387" s="19">
        <f>WEEKNUM(tblRidershipData[[#This Row],[MeasurementDate]])</f>
        <v>38</v>
      </c>
      <c r="K387" s="19">
        <f>MONTH(tblRidershipData[[#This Row],[MeasurementDate]])</f>
        <v>9</v>
      </c>
    </row>
    <row r="388" spans="1:11" x14ac:dyDescent="0.25">
      <c r="A388" s="31">
        <v>43724</v>
      </c>
      <c r="B388" t="s">
        <v>2</v>
      </c>
      <c r="C388">
        <v>1751</v>
      </c>
      <c r="E388" t="s">
        <v>111</v>
      </c>
      <c r="F388">
        <v>1</v>
      </c>
      <c r="G388" t="s">
        <v>70</v>
      </c>
      <c r="H388" t="s">
        <v>112</v>
      </c>
      <c r="I388">
        <v>30</v>
      </c>
      <c r="J388" s="19">
        <f>WEEKNUM(tblRidershipData[[#This Row],[MeasurementDate]])</f>
        <v>38</v>
      </c>
      <c r="K388" s="19">
        <f>MONTH(tblRidershipData[[#This Row],[MeasurementDate]])</f>
        <v>9</v>
      </c>
    </row>
    <row r="389" spans="1:11" x14ac:dyDescent="0.25">
      <c r="A389" s="31">
        <v>43724</v>
      </c>
      <c r="B389" t="s">
        <v>2</v>
      </c>
      <c r="C389">
        <v>1751</v>
      </c>
      <c r="E389" t="s">
        <v>111</v>
      </c>
      <c r="F389">
        <v>1</v>
      </c>
      <c r="G389" t="s">
        <v>72</v>
      </c>
      <c r="H389" t="s">
        <v>112</v>
      </c>
      <c r="I389">
        <v>6</v>
      </c>
      <c r="J389" s="19">
        <f>WEEKNUM(tblRidershipData[[#This Row],[MeasurementDate]])</f>
        <v>38</v>
      </c>
      <c r="K389" s="19">
        <f>MONTH(tblRidershipData[[#This Row],[MeasurementDate]])</f>
        <v>9</v>
      </c>
    </row>
    <row r="390" spans="1:11" x14ac:dyDescent="0.25">
      <c r="A390" s="31">
        <v>43724</v>
      </c>
      <c r="B390" t="s">
        <v>2</v>
      </c>
      <c r="C390">
        <v>1751</v>
      </c>
      <c r="E390" t="s">
        <v>109</v>
      </c>
      <c r="F390">
        <v>1</v>
      </c>
      <c r="G390" t="s">
        <v>43</v>
      </c>
      <c r="H390" t="s">
        <v>112</v>
      </c>
      <c r="I390">
        <v>5</v>
      </c>
      <c r="J390" s="19">
        <f>WEEKNUM(tblRidershipData[[#This Row],[MeasurementDate]])</f>
        <v>38</v>
      </c>
      <c r="K390" s="19">
        <f>MONTH(tblRidershipData[[#This Row],[MeasurementDate]])</f>
        <v>9</v>
      </c>
    </row>
    <row r="391" spans="1:11" x14ac:dyDescent="0.25">
      <c r="A391" s="31">
        <v>43724</v>
      </c>
      <c r="B391" t="s">
        <v>2</v>
      </c>
      <c r="C391">
        <v>1751</v>
      </c>
      <c r="E391" t="s">
        <v>109</v>
      </c>
      <c r="F391">
        <v>1</v>
      </c>
      <c r="G391" t="s">
        <v>44</v>
      </c>
      <c r="H391" t="s">
        <v>112</v>
      </c>
      <c r="I391">
        <v>2</v>
      </c>
      <c r="J391" s="19">
        <f>WEEKNUM(tblRidershipData[[#This Row],[MeasurementDate]])</f>
        <v>38</v>
      </c>
      <c r="K391" s="19">
        <f>MONTH(tblRidershipData[[#This Row],[MeasurementDate]])</f>
        <v>9</v>
      </c>
    </row>
    <row r="392" spans="1:11" x14ac:dyDescent="0.25">
      <c r="A392" s="31">
        <v>43724</v>
      </c>
      <c r="B392" t="s">
        <v>2</v>
      </c>
      <c r="C392">
        <v>1751</v>
      </c>
      <c r="E392" t="s">
        <v>109</v>
      </c>
      <c r="F392">
        <v>1</v>
      </c>
      <c r="G392" t="s">
        <v>46</v>
      </c>
      <c r="H392" t="s">
        <v>112</v>
      </c>
      <c r="I392">
        <v>3</v>
      </c>
      <c r="J392" s="19">
        <f>WEEKNUM(tblRidershipData[[#This Row],[MeasurementDate]])</f>
        <v>38</v>
      </c>
      <c r="K392" s="19">
        <f>MONTH(tblRidershipData[[#This Row],[MeasurementDate]])</f>
        <v>9</v>
      </c>
    </row>
    <row r="393" spans="1:11" x14ac:dyDescent="0.25">
      <c r="A393" s="31">
        <v>43724</v>
      </c>
      <c r="B393" t="s">
        <v>2</v>
      </c>
      <c r="C393">
        <v>1751</v>
      </c>
      <c r="E393" t="s">
        <v>109</v>
      </c>
      <c r="F393">
        <v>1</v>
      </c>
      <c r="G393" t="s">
        <v>47</v>
      </c>
      <c r="H393" t="s">
        <v>112</v>
      </c>
      <c r="I393">
        <v>1</v>
      </c>
      <c r="J393" s="19">
        <f>WEEKNUM(tblRidershipData[[#This Row],[MeasurementDate]])</f>
        <v>38</v>
      </c>
      <c r="K393" s="19">
        <f>MONTH(tblRidershipData[[#This Row],[MeasurementDate]])</f>
        <v>9</v>
      </c>
    </row>
    <row r="394" spans="1:11" x14ac:dyDescent="0.25">
      <c r="A394" s="31">
        <v>43724</v>
      </c>
      <c r="B394" t="s">
        <v>2</v>
      </c>
      <c r="C394">
        <v>1751</v>
      </c>
      <c r="E394" t="s">
        <v>109</v>
      </c>
      <c r="F394">
        <v>1</v>
      </c>
      <c r="G394" t="s">
        <v>48</v>
      </c>
      <c r="H394" t="s">
        <v>112</v>
      </c>
      <c r="I394">
        <v>2</v>
      </c>
      <c r="J394" s="19">
        <f>WEEKNUM(tblRidershipData[[#This Row],[MeasurementDate]])</f>
        <v>38</v>
      </c>
      <c r="K394" s="19">
        <f>MONTH(tblRidershipData[[#This Row],[MeasurementDate]])</f>
        <v>9</v>
      </c>
    </row>
    <row r="395" spans="1:11" x14ac:dyDescent="0.25">
      <c r="A395" s="31">
        <v>43724</v>
      </c>
      <c r="B395" t="s">
        <v>2</v>
      </c>
      <c r="C395">
        <v>1751</v>
      </c>
      <c r="E395" t="s">
        <v>109</v>
      </c>
      <c r="F395">
        <v>1</v>
      </c>
      <c r="G395" t="s">
        <v>49</v>
      </c>
      <c r="H395" t="s">
        <v>112</v>
      </c>
      <c r="I395">
        <v>1</v>
      </c>
      <c r="J395" s="19">
        <f>WEEKNUM(tblRidershipData[[#This Row],[MeasurementDate]])</f>
        <v>38</v>
      </c>
      <c r="K395" s="19">
        <f>MONTH(tblRidershipData[[#This Row],[MeasurementDate]])</f>
        <v>9</v>
      </c>
    </row>
    <row r="396" spans="1:11" x14ac:dyDescent="0.25">
      <c r="A396" s="31">
        <v>43724</v>
      </c>
      <c r="B396" t="s">
        <v>2</v>
      </c>
      <c r="C396">
        <v>1751</v>
      </c>
      <c r="E396" t="s">
        <v>109</v>
      </c>
      <c r="F396">
        <v>1</v>
      </c>
      <c r="G396" t="s">
        <v>54</v>
      </c>
      <c r="H396" t="s">
        <v>112</v>
      </c>
      <c r="I396">
        <v>1</v>
      </c>
      <c r="J396" s="19">
        <f>WEEKNUM(tblRidershipData[[#This Row],[MeasurementDate]])</f>
        <v>38</v>
      </c>
      <c r="K396" s="19">
        <f>MONTH(tblRidershipData[[#This Row],[MeasurementDate]])</f>
        <v>9</v>
      </c>
    </row>
    <row r="397" spans="1:11" x14ac:dyDescent="0.25">
      <c r="A397" s="31">
        <v>43724</v>
      </c>
      <c r="B397" t="s">
        <v>2</v>
      </c>
      <c r="C397">
        <v>1751</v>
      </c>
      <c r="E397" t="s">
        <v>109</v>
      </c>
      <c r="F397">
        <v>1</v>
      </c>
      <c r="G397" t="s">
        <v>56</v>
      </c>
      <c r="H397" t="s">
        <v>112</v>
      </c>
      <c r="I397">
        <v>3</v>
      </c>
      <c r="J397" s="19">
        <f>WEEKNUM(tblRidershipData[[#This Row],[MeasurementDate]])</f>
        <v>38</v>
      </c>
      <c r="K397" s="19">
        <f>MONTH(tblRidershipData[[#This Row],[MeasurementDate]])</f>
        <v>9</v>
      </c>
    </row>
    <row r="398" spans="1:11" x14ac:dyDescent="0.25">
      <c r="A398" s="31">
        <v>43724</v>
      </c>
      <c r="B398" t="s">
        <v>2</v>
      </c>
      <c r="C398">
        <v>1751</v>
      </c>
      <c r="E398" t="s">
        <v>109</v>
      </c>
      <c r="F398">
        <v>1</v>
      </c>
      <c r="G398" t="s">
        <v>58</v>
      </c>
      <c r="H398" t="s">
        <v>112</v>
      </c>
      <c r="I398">
        <v>1</v>
      </c>
      <c r="J398" s="19">
        <f>WEEKNUM(tblRidershipData[[#This Row],[MeasurementDate]])</f>
        <v>38</v>
      </c>
      <c r="K398" s="19">
        <f>MONTH(tblRidershipData[[#This Row],[MeasurementDate]])</f>
        <v>9</v>
      </c>
    </row>
    <row r="399" spans="1:11" x14ac:dyDescent="0.25">
      <c r="A399" s="31">
        <v>43724</v>
      </c>
      <c r="B399" t="s">
        <v>2</v>
      </c>
      <c r="C399">
        <v>1751</v>
      </c>
      <c r="E399" t="s">
        <v>109</v>
      </c>
      <c r="F399">
        <v>1</v>
      </c>
      <c r="G399" t="s">
        <v>59</v>
      </c>
      <c r="H399" t="s">
        <v>112</v>
      </c>
      <c r="I399">
        <v>5</v>
      </c>
      <c r="J399" s="19">
        <f>WEEKNUM(tblRidershipData[[#This Row],[MeasurementDate]])</f>
        <v>38</v>
      </c>
      <c r="K399" s="19">
        <f>MONTH(tblRidershipData[[#This Row],[MeasurementDate]])</f>
        <v>9</v>
      </c>
    </row>
    <row r="400" spans="1:11" x14ac:dyDescent="0.25">
      <c r="A400" s="31">
        <v>43724</v>
      </c>
      <c r="B400" t="s">
        <v>2</v>
      </c>
      <c r="C400">
        <v>1751</v>
      </c>
      <c r="E400" t="s">
        <v>109</v>
      </c>
      <c r="F400">
        <v>1</v>
      </c>
      <c r="G400" t="s">
        <v>60</v>
      </c>
      <c r="H400" t="s">
        <v>112</v>
      </c>
      <c r="I400">
        <v>2</v>
      </c>
      <c r="J400" s="19">
        <f>WEEKNUM(tblRidershipData[[#This Row],[MeasurementDate]])</f>
        <v>38</v>
      </c>
      <c r="K400" s="19">
        <f>MONTH(tblRidershipData[[#This Row],[MeasurementDate]])</f>
        <v>9</v>
      </c>
    </row>
    <row r="401" spans="1:11" x14ac:dyDescent="0.25">
      <c r="A401" s="31">
        <v>43724</v>
      </c>
      <c r="B401" t="s">
        <v>2</v>
      </c>
      <c r="C401">
        <v>1751</v>
      </c>
      <c r="E401" t="s">
        <v>109</v>
      </c>
      <c r="F401">
        <v>1</v>
      </c>
      <c r="G401" t="s">
        <v>69</v>
      </c>
      <c r="H401" t="s">
        <v>112</v>
      </c>
      <c r="I401">
        <v>13</v>
      </c>
      <c r="J401" s="19">
        <f>WEEKNUM(tblRidershipData[[#This Row],[MeasurementDate]])</f>
        <v>38</v>
      </c>
      <c r="K401" s="19">
        <f>MONTH(tblRidershipData[[#This Row],[MeasurementDate]])</f>
        <v>9</v>
      </c>
    </row>
    <row r="402" spans="1:11" x14ac:dyDescent="0.25">
      <c r="A402" s="31">
        <v>43724</v>
      </c>
      <c r="B402" t="s">
        <v>2</v>
      </c>
      <c r="C402">
        <v>1751</v>
      </c>
      <c r="E402" t="s">
        <v>109</v>
      </c>
      <c r="F402">
        <v>1</v>
      </c>
      <c r="G402" t="s">
        <v>70</v>
      </c>
      <c r="H402" t="s">
        <v>112</v>
      </c>
      <c r="I402">
        <v>2</v>
      </c>
      <c r="J402" s="19">
        <f>WEEKNUM(tblRidershipData[[#This Row],[MeasurementDate]])</f>
        <v>38</v>
      </c>
      <c r="K402" s="19">
        <f>MONTH(tblRidershipData[[#This Row],[MeasurementDate]])</f>
        <v>9</v>
      </c>
    </row>
    <row r="403" spans="1:11" x14ac:dyDescent="0.25">
      <c r="A403" s="31">
        <v>43724</v>
      </c>
      <c r="B403" t="s">
        <v>2</v>
      </c>
      <c r="C403">
        <v>1751</v>
      </c>
      <c r="E403" t="s">
        <v>109</v>
      </c>
      <c r="F403">
        <v>1</v>
      </c>
      <c r="G403" t="s">
        <v>71</v>
      </c>
      <c r="H403" t="s">
        <v>112</v>
      </c>
      <c r="I403">
        <v>2</v>
      </c>
      <c r="J403" s="19">
        <f>WEEKNUM(tblRidershipData[[#This Row],[MeasurementDate]])</f>
        <v>38</v>
      </c>
      <c r="K403" s="19">
        <f>MONTH(tblRidershipData[[#This Row],[MeasurementDate]])</f>
        <v>9</v>
      </c>
    </row>
    <row r="404" spans="1:11" x14ac:dyDescent="0.25">
      <c r="A404" s="31">
        <v>43724</v>
      </c>
      <c r="B404" t="s">
        <v>2</v>
      </c>
      <c r="C404">
        <v>1751</v>
      </c>
      <c r="E404" t="s">
        <v>109</v>
      </c>
      <c r="F404">
        <v>1</v>
      </c>
      <c r="G404" t="s">
        <v>72</v>
      </c>
      <c r="H404" t="s">
        <v>112</v>
      </c>
      <c r="I404">
        <v>4</v>
      </c>
      <c r="J404" s="19">
        <f>WEEKNUM(tblRidershipData[[#This Row],[MeasurementDate]])</f>
        <v>38</v>
      </c>
      <c r="K404" s="19">
        <f>MONTH(tblRidershipData[[#This Row],[MeasurementDate]])</f>
        <v>9</v>
      </c>
    </row>
    <row r="405" spans="1:11" x14ac:dyDescent="0.25">
      <c r="A405" s="31">
        <v>43724</v>
      </c>
      <c r="B405" t="s">
        <v>2</v>
      </c>
      <c r="C405">
        <v>1761</v>
      </c>
      <c r="D405" t="s">
        <v>92</v>
      </c>
      <c r="E405" t="s">
        <v>111</v>
      </c>
      <c r="F405">
        <v>1</v>
      </c>
      <c r="G405" t="s">
        <v>45</v>
      </c>
      <c r="H405" t="s">
        <v>110</v>
      </c>
      <c r="I405">
        <v>3</v>
      </c>
      <c r="J405" s="19">
        <f>WEEKNUM(tblRidershipData[[#This Row],[MeasurementDate]])</f>
        <v>38</v>
      </c>
      <c r="K405" s="19">
        <f>MONTH(tblRidershipData[[#This Row],[MeasurementDate]])</f>
        <v>9</v>
      </c>
    </row>
    <row r="406" spans="1:11" x14ac:dyDescent="0.25">
      <c r="A406" s="31">
        <v>43724</v>
      </c>
      <c r="B406" t="s">
        <v>2</v>
      </c>
      <c r="C406">
        <v>1761</v>
      </c>
      <c r="D406" t="s">
        <v>92</v>
      </c>
      <c r="E406" t="s">
        <v>111</v>
      </c>
      <c r="F406">
        <v>1</v>
      </c>
      <c r="G406" t="s">
        <v>47</v>
      </c>
      <c r="H406" t="s">
        <v>110</v>
      </c>
      <c r="I406">
        <v>7</v>
      </c>
      <c r="J406" s="19">
        <f>WEEKNUM(tblRidershipData[[#This Row],[MeasurementDate]])</f>
        <v>38</v>
      </c>
      <c r="K406" s="19">
        <f>MONTH(tblRidershipData[[#This Row],[MeasurementDate]])</f>
        <v>9</v>
      </c>
    </row>
    <row r="407" spans="1:11" x14ac:dyDescent="0.25">
      <c r="A407" s="31">
        <v>43724</v>
      </c>
      <c r="B407" t="s">
        <v>2</v>
      </c>
      <c r="C407">
        <v>1761</v>
      </c>
      <c r="D407" t="s">
        <v>92</v>
      </c>
      <c r="E407" t="s">
        <v>111</v>
      </c>
      <c r="F407">
        <v>1</v>
      </c>
      <c r="G407" t="s">
        <v>54</v>
      </c>
      <c r="H407" t="s">
        <v>110</v>
      </c>
      <c r="I407">
        <v>24</v>
      </c>
      <c r="J407" s="19">
        <f>WEEKNUM(tblRidershipData[[#This Row],[MeasurementDate]])</f>
        <v>38</v>
      </c>
      <c r="K407" s="19">
        <f>MONTH(tblRidershipData[[#This Row],[MeasurementDate]])</f>
        <v>9</v>
      </c>
    </row>
    <row r="408" spans="1:11" x14ac:dyDescent="0.25">
      <c r="A408" s="31">
        <v>43724</v>
      </c>
      <c r="B408" t="s">
        <v>2</v>
      </c>
      <c r="C408">
        <v>1761</v>
      </c>
      <c r="D408" t="s">
        <v>92</v>
      </c>
      <c r="E408" t="s">
        <v>111</v>
      </c>
      <c r="F408">
        <v>1</v>
      </c>
      <c r="G408" t="s">
        <v>58</v>
      </c>
      <c r="H408" t="s">
        <v>110</v>
      </c>
      <c r="I408">
        <v>4</v>
      </c>
      <c r="J408" s="19">
        <f>WEEKNUM(tblRidershipData[[#This Row],[MeasurementDate]])</f>
        <v>38</v>
      </c>
      <c r="K408" s="19">
        <f>MONTH(tblRidershipData[[#This Row],[MeasurementDate]])</f>
        <v>9</v>
      </c>
    </row>
    <row r="409" spans="1:11" x14ac:dyDescent="0.25">
      <c r="A409" s="31">
        <v>43724</v>
      </c>
      <c r="B409" t="s">
        <v>2</v>
      </c>
      <c r="C409">
        <v>1761</v>
      </c>
      <c r="D409" t="s">
        <v>92</v>
      </c>
      <c r="E409" t="s">
        <v>111</v>
      </c>
      <c r="F409">
        <v>1</v>
      </c>
      <c r="G409" t="s">
        <v>62</v>
      </c>
      <c r="H409" t="s">
        <v>110</v>
      </c>
      <c r="I409">
        <v>5</v>
      </c>
      <c r="J409" s="19">
        <f>WEEKNUM(tblRidershipData[[#This Row],[MeasurementDate]])</f>
        <v>38</v>
      </c>
      <c r="K409" s="19">
        <f>MONTH(tblRidershipData[[#This Row],[MeasurementDate]])</f>
        <v>9</v>
      </c>
    </row>
    <row r="410" spans="1:11" x14ac:dyDescent="0.25">
      <c r="A410" s="31">
        <v>43724</v>
      </c>
      <c r="B410" t="s">
        <v>2</v>
      </c>
      <c r="C410">
        <v>1761</v>
      </c>
      <c r="D410" t="s">
        <v>92</v>
      </c>
      <c r="E410" t="s">
        <v>111</v>
      </c>
      <c r="F410">
        <v>1</v>
      </c>
      <c r="G410" t="s">
        <v>63</v>
      </c>
      <c r="H410" t="s">
        <v>110</v>
      </c>
      <c r="I410">
        <v>4</v>
      </c>
      <c r="J410" s="19">
        <f>WEEKNUM(tblRidershipData[[#This Row],[MeasurementDate]])</f>
        <v>38</v>
      </c>
      <c r="K410" s="19">
        <f>MONTH(tblRidershipData[[#This Row],[MeasurementDate]])</f>
        <v>9</v>
      </c>
    </row>
    <row r="411" spans="1:11" x14ac:dyDescent="0.25">
      <c r="A411" s="31">
        <v>43724</v>
      </c>
      <c r="B411" t="s">
        <v>2</v>
      </c>
      <c r="C411">
        <v>1761</v>
      </c>
      <c r="D411" t="s">
        <v>92</v>
      </c>
      <c r="E411" t="s">
        <v>111</v>
      </c>
      <c r="F411">
        <v>1</v>
      </c>
      <c r="G411" t="s">
        <v>64</v>
      </c>
      <c r="H411" t="s">
        <v>110</v>
      </c>
      <c r="I411">
        <v>10</v>
      </c>
      <c r="J411" s="19">
        <f>WEEKNUM(tblRidershipData[[#This Row],[MeasurementDate]])</f>
        <v>38</v>
      </c>
      <c r="K411" s="19">
        <f>MONTH(tblRidershipData[[#This Row],[MeasurementDate]])</f>
        <v>9</v>
      </c>
    </row>
    <row r="412" spans="1:11" x14ac:dyDescent="0.25">
      <c r="A412" s="31">
        <v>43724</v>
      </c>
      <c r="B412" t="s">
        <v>2</v>
      </c>
      <c r="C412">
        <v>1761</v>
      </c>
      <c r="D412" t="s">
        <v>92</v>
      </c>
      <c r="E412" t="s">
        <v>111</v>
      </c>
      <c r="F412">
        <v>1</v>
      </c>
      <c r="G412" t="s">
        <v>67</v>
      </c>
      <c r="H412" t="s">
        <v>110</v>
      </c>
      <c r="I412">
        <v>8</v>
      </c>
      <c r="J412" s="19">
        <f>WEEKNUM(tblRidershipData[[#This Row],[MeasurementDate]])</f>
        <v>38</v>
      </c>
      <c r="K412" s="19">
        <f>MONTH(tblRidershipData[[#This Row],[MeasurementDate]])</f>
        <v>9</v>
      </c>
    </row>
    <row r="413" spans="1:11" x14ac:dyDescent="0.25">
      <c r="A413" s="31">
        <v>43724</v>
      </c>
      <c r="B413" t="s">
        <v>2</v>
      </c>
      <c r="C413">
        <v>1761</v>
      </c>
      <c r="D413" t="s">
        <v>92</v>
      </c>
      <c r="E413" t="s">
        <v>111</v>
      </c>
      <c r="F413">
        <v>1</v>
      </c>
      <c r="G413" t="s">
        <v>73</v>
      </c>
      <c r="H413" t="s">
        <v>110</v>
      </c>
      <c r="I413">
        <v>5</v>
      </c>
      <c r="J413" s="19">
        <f>WEEKNUM(tblRidershipData[[#This Row],[MeasurementDate]])</f>
        <v>38</v>
      </c>
      <c r="K413" s="19">
        <f>MONTH(tblRidershipData[[#This Row],[MeasurementDate]])</f>
        <v>9</v>
      </c>
    </row>
    <row r="414" spans="1:11" x14ac:dyDescent="0.25">
      <c r="A414" s="31">
        <v>43724</v>
      </c>
      <c r="B414" t="s">
        <v>2</v>
      </c>
      <c r="C414">
        <v>1761</v>
      </c>
      <c r="D414" t="s">
        <v>92</v>
      </c>
      <c r="E414" t="s">
        <v>109</v>
      </c>
      <c r="F414">
        <v>1</v>
      </c>
      <c r="G414" t="s">
        <v>52</v>
      </c>
      <c r="H414" t="s">
        <v>110</v>
      </c>
      <c r="I414">
        <v>22</v>
      </c>
      <c r="J414" s="19">
        <f>WEEKNUM(tblRidershipData[[#This Row],[MeasurementDate]])</f>
        <v>38</v>
      </c>
      <c r="K414" s="19">
        <f>MONTH(tblRidershipData[[#This Row],[MeasurementDate]])</f>
        <v>9</v>
      </c>
    </row>
    <row r="415" spans="1:11" x14ac:dyDescent="0.25">
      <c r="A415" s="31">
        <v>43724</v>
      </c>
      <c r="B415" t="s">
        <v>2</v>
      </c>
      <c r="C415">
        <v>1761</v>
      </c>
      <c r="D415" t="s">
        <v>92</v>
      </c>
      <c r="E415" t="s">
        <v>109</v>
      </c>
      <c r="F415">
        <v>1</v>
      </c>
      <c r="G415" t="s">
        <v>67</v>
      </c>
      <c r="H415" t="s">
        <v>110</v>
      </c>
      <c r="I415">
        <v>29</v>
      </c>
      <c r="J415" s="19">
        <f>WEEKNUM(tblRidershipData[[#This Row],[MeasurementDate]])</f>
        <v>38</v>
      </c>
      <c r="K415" s="19">
        <f>MONTH(tblRidershipData[[#This Row],[MeasurementDate]])</f>
        <v>9</v>
      </c>
    </row>
    <row r="416" spans="1:11" x14ac:dyDescent="0.25">
      <c r="A416" s="31">
        <v>43724</v>
      </c>
      <c r="B416" t="s">
        <v>2</v>
      </c>
      <c r="C416">
        <v>4504</v>
      </c>
      <c r="D416" t="s">
        <v>96</v>
      </c>
      <c r="E416" t="s">
        <v>111</v>
      </c>
      <c r="F416">
        <v>1</v>
      </c>
      <c r="G416" t="s">
        <v>45</v>
      </c>
      <c r="H416" t="s">
        <v>110</v>
      </c>
      <c r="I416">
        <v>9</v>
      </c>
      <c r="J416" s="19">
        <f>WEEKNUM(tblRidershipData[[#This Row],[MeasurementDate]])</f>
        <v>38</v>
      </c>
      <c r="K416" s="19">
        <f>MONTH(tblRidershipData[[#This Row],[MeasurementDate]])</f>
        <v>9</v>
      </c>
    </row>
    <row r="417" spans="1:11" x14ac:dyDescent="0.25">
      <c r="A417" s="31">
        <v>43724</v>
      </c>
      <c r="B417" t="s">
        <v>2</v>
      </c>
      <c r="C417">
        <v>4504</v>
      </c>
      <c r="D417" t="s">
        <v>96</v>
      </c>
      <c r="E417" t="s">
        <v>111</v>
      </c>
      <c r="F417">
        <v>1</v>
      </c>
      <c r="G417" t="s">
        <v>47</v>
      </c>
      <c r="H417" t="s">
        <v>110</v>
      </c>
      <c r="I417">
        <v>10</v>
      </c>
      <c r="J417" s="19">
        <f>WEEKNUM(tblRidershipData[[#This Row],[MeasurementDate]])</f>
        <v>38</v>
      </c>
      <c r="K417" s="19">
        <f>MONTH(tblRidershipData[[#This Row],[MeasurementDate]])</f>
        <v>9</v>
      </c>
    </row>
    <row r="418" spans="1:11" x14ac:dyDescent="0.25">
      <c r="A418" s="31">
        <v>43724</v>
      </c>
      <c r="B418" t="s">
        <v>2</v>
      </c>
      <c r="C418">
        <v>4504</v>
      </c>
      <c r="D418" t="s">
        <v>96</v>
      </c>
      <c r="E418" t="s">
        <v>111</v>
      </c>
      <c r="F418">
        <v>1</v>
      </c>
      <c r="G418" t="s">
        <v>58</v>
      </c>
      <c r="H418" t="s">
        <v>110</v>
      </c>
      <c r="I418">
        <v>2</v>
      </c>
      <c r="J418" s="19">
        <f>WEEKNUM(tblRidershipData[[#This Row],[MeasurementDate]])</f>
        <v>38</v>
      </c>
      <c r="K418" s="19">
        <f>MONTH(tblRidershipData[[#This Row],[MeasurementDate]])</f>
        <v>9</v>
      </c>
    </row>
    <row r="419" spans="1:11" x14ac:dyDescent="0.25">
      <c r="A419" s="31">
        <v>43724</v>
      </c>
      <c r="B419" t="s">
        <v>2</v>
      </c>
      <c r="C419">
        <v>4504</v>
      </c>
      <c r="D419" t="s">
        <v>96</v>
      </c>
      <c r="E419" t="s">
        <v>111</v>
      </c>
      <c r="F419">
        <v>1</v>
      </c>
      <c r="G419" t="s">
        <v>62</v>
      </c>
      <c r="H419" t="s">
        <v>110</v>
      </c>
      <c r="I419">
        <v>10</v>
      </c>
      <c r="J419" s="19">
        <f>WEEKNUM(tblRidershipData[[#This Row],[MeasurementDate]])</f>
        <v>38</v>
      </c>
      <c r="K419" s="19">
        <f>MONTH(tblRidershipData[[#This Row],[MeasurementDate]])</f>
        <v>9</v>
      </c>
    </row>
    <row r="420" spans="1:11" x14ac:dyDescent="0.25">
      <c r="A420" s="31">
        <v>43724</v>
      </c>
      <c r="B420" t="s">
        <v>2</v>
      </c>
      <c r="C420">
        <v>4504</v>
      </c>
      <c r="D420" t="s">
        <v>96</v>
      </c>
      <c r="E420" t="s">
        <v>111</v>
      </c>
      <c r="F420">
        <v>1</v>
      </c>
      <c r="G420" t="s">
        <v>64</v>
      </c>
      <c r="H420" t="s">
        <v>110</v>
      </c>
      <c r="I420">
        <v>2</v>
      </c>
      <c r="J420" s="19">
        <f>WEEKNUM(tblRidershipData[[#This Row],[MeasurementDate]])</f>
        <v>38</v>
      </c>
      <c r="K420" s="19">
        <f>MONTH(tblRidershipData[[#This Row],[MeasurementDate]])</f>
        <v>9</v>
      </c>
    </row>
    <row r="421" spans="1:11" x14ac:dyDescent="0.25">
      <c r="A421" s="31">
        <v>43724</v>
      </c>
      <c r="B421" t="s">
        <v>2</v>
      </c>
      <c r="C421">
        <v>4504</v>
      </c>
      <c r="D421" t="s">
        <v>96</v>
      </c>
      <c r="E421" t="s">
        <v>111</v>
      </c>
      <c r="F421">
        <v>1</v>
      </c>
      <c r="G421" t="s">
        <v>73</v>
      </c>
      <c r="H421" t="s">
        <v>110</v>
      </c>
      <c r="I421">
        <v>2</v>
      </c>
      <c r="J421" s="19">
        <f>WEEKNUM(tblRidershipData[[#This Row],[MeasurementDate]])</f>
        <v>38</v>
      </c>
      <c r="K421" s="19">
        <f>MONTH(tblRidershipData[[#This Row],[MeasurementDate]])</f>
        <v>9</v>
      </c>
    </row>
    <row r="422" spans="1:11" x14ac:dyDescent="0.25">
      <c r="A422" s="31">
        <v>43724</v>
      </c>
      <c r="B422" t="s">
        <v>2</v>
      </c>
      <c r="C422">
        <v>4504</v>
      </c>
      <c r="D422" t="s">
        <v>96</v>
      </c>
      <c r="E422" t="s">
        <v>111</v>
      </c>
      <c r="F422">
        <v>1</v>
      </c>
      <c r="G422" t="s">
        <v>77</v>
      </c>
      <c r="H422" t="s">
        <v>110</v>
      </c>
      <c r="I422">
        <v>2</v>
      </c>
      <c r="J422" s="19">
        <f>WEEKNUM(tblRidershipData[[#This Row],[MeasurementDate]])</f>
        <v>38</v>
      </c>
      <c r="K422" s="19">
        <f>MONTH(tblRidershipData[[#This Row],[MeasurementDate]])</f>
        <v>9</v>
      </c>
    </row>
    <row r="423" spans="1:11" x14ac:dyDescent="0.25">
      <c r="A423" s="31">
        <v>43724</v>
      </c>
      <c r="B423" t="s">
        <v>2</v>
      </c>
      <c r="C423">
        <v>4504</v>
      </c>
      <c r="D423" t="s">
        <v>96</v>
      </c>
      <c r="E423" t="s">
        <v>109</v>
      </c>
      <c r="F423">
        <v>1</v>
      </c>
      <c r="G423" t="s">
        <v>56</v>
      </c>
      <c r="H423" t="s">
        <v>110</v>
      </c>
      <c r="I423">
        <v>6</v>
      </c>
      <c r="J423" s="19">
        <f>WEEKNUM(tblRidershipData[[#This Row],[MeasurementDate]])</f>
        <v>38</v>
      </c>
      <c r="K423" s="19">
        <f>MONTH(tblRidershipData[[#This Row],[MeasurementDate]])</f>
        <v>9</v>
      </c>
    </row>
    <row r="424" spans="1:11" x14ac:dyDescent="0.25">
      <c r="A424" s="31">
        <v>43724</v>
      </c>
      <c r="B424" t="s">
        <v>2</v>
      </c>
      <c r="C424">
        <v>4504</v>
      </c>
      <c r="D424" t="s">
        <v>96</v>
      </c>
      <c r="E424" t="s">
        <v>109</v>
      </c>
      <c r="F424">
        <v>1</v>
      </c>
      <c r="G424" t="s">
        <v>59</v>
      </c>
      <c r="H424" t="s">
        <v>110</v>
      </c>
      <c r="I424">
        <v>15</v>
      </c>
      <c r="J424" s="19">
        <f>WEEKNUM(tblRidershipData[[#This Row],[MeasurementDate]])</f>
        <v>38</v>
      </c>
      <c r="K424" s="19">
        <f>MONTH(tblRidershipData[[#This Row],[MeasurementDate]])</f>
        <v>9</v>
      </c>
    </row>
    <row r="425" spans="1:11" x14ac:dyDescent="0.25">
      <c r="A425" s="31">
        <v>43724</v>
      </c>
      <c r="B425" t="s">
        <v>2</v>
      </c>
      <c r="C425">
        <v>4504</v>
      </c>
      <c r="D425" t="s">
        <v>96</v>
      </c>
      <c r="E425" t="s">
        <v>109</v>
      </c>
      <c r="F425">
        <v>1</v>
      </c>
      <c r="G425" t="s">
        <v>64</v>
      </c>
      <c r="H425" t="s">
        <v>110</v>
      </c>
      <c r="I425">
        <v>1</v>
      </c>
      <c r="J425" s="19">
        <f>WEEKNUM(tblRidershipData[[#This Row],[MeasurementDate]])</f>
        <v>38</v>
      </c>
      <c r="K425" s="19">
        <f>MONTH(tblRidershipData[[#This Row],[MeasurementDate]])</f>
        <v>9</v>
      </c>
    </row>
    <row r="426" spans="1:11" x14ac:dyDescent="0.25">
      <c r="A426" s="31">
        <v>43724</v>
      </c>
      <c r="B426" t="s">
        <v>2</v>
      </c>
      <c r="C426">
        <v>1761</v>
      </c>
      <c r="D426" t="s">
        <v>114</v>
      </c>
      <c r="E426" t="s">
        <v>111</v>
      </c>
      <c r="F426">
        <v>1</v>
      </c>
      <c r="G426" t="s">
        <v>59</v>
      </c>
      <c r="H426" t="s">
        <v>112</v>
      </c>
      <c r="I426">
        <v>15</v>
      </c>
      <c r="J426" s="19">
        <f>WEEKNUM(tblRidershipData[[#This Row],[MeasurementDate]])</f>
        <v>38</v>
      </c>
      <c r="K426" s="19">
        <f>MONTH(tblRidershipData[[#This Row],[MeasurementDate]])</f>
        <v>9</v>
      </c>
    </row>
    <row r="427" spans="1:11" x14ac:dyDescent="0.25">
      <c r="A427" s="31">
        <v>43724</v>
      </c>
      <c r="B427" t="s">
        <v>2</v>
      </c>
      <c r="C427">
        <v>1761</v>
      </c>
      <c r="D427" t="s">
        <v>114</v>
      </c>
      <c r="E427" t="s">
        <v>111</v>
      </c>
      <c r="F427">
        <v>1</v>
      </c>
      <c r="G427" t="s">
        <v>64</v>
      </c>
      <c r="H427" t="s">
        <v>112</v>
      </c>
      <c r="I427">
        <v>2</v>
      </c>
      <c r="J427" s="19">
        <f>WEEKNUM(tblRidershipData[[#This Row],[MeasurementDate]])</f>
        <v>38</v>
      </c>
      <c r="K427" s="19">
        <f>MONTH(tblRidershipData[[#This Row],[MeasurementDate]])</f>
        <v>9</v>
      </c>
    </row>
    <row r="428" spans="1:11" x14ac:dyDescent="0.25">
      <c r="A428" s="31">
        <v>43724</v>
      </c>
      <c r="B428" t="s">
        <v>2</v>
      </c>
      <c r="C428">
        <v>1761</v>
      </c>
      <c r="D428" t="s">
        <v>114</v>
      </c>
      <c r="E428" t="s">
        <v>111</v>
      </c>
      <c r="F428">
        <v>1</v>
      </c>
      <c r="G428" t="s">
        <v>67</v>
      </c>
      <c r="H428" t="s">
        <v>112</v>
      </c>
      <c r="I428">
        <v>13</v>
      </c>
      <c r="J428" s="19">
        <f>WEEKNUM(tblRidershipData[[#This Row],[MeasurementDate]])</f>
        <v>38</v>
      </c>
      <c r="K428" s="19">
        <f>MONTH(tblRidershipData[[#This Row],[MeasurementDate]])</f>
        <v>9</v>
      </c>
    </row>
    <row r="429" spans="1:11" x14ac:dyDescent="0.25">
      <c r="A429" s="31">
        <v>43724</v>
      </c>
      <c r="B429" t="s">
        <v>2</v>
      </c>
      <c r="C429">
        <v>1761</v>
      </c>
      <c r="D429" t="s">
        <v>114</v>
      </c>
      <c r="E429" t="s">
        <v>111</v>
      </c>
      <c r="F429">
        <v>1</v>
      </c>
      <c r="G429" t="s">
        <v>74</v>
      </c>
      <c r="H429" t="s">
        <v>112</v>
      </c>
      <c r="I429">
        <v>40</v>
      </c>
      <c r="J429" s="19">
        <f>WEEKNUM(tblRidershipData[[#This Row],[MeasurementDate]])</f>
        <v>38</v>
      </c>
      <c r="K429" s="19">
        <f>MONTH(tblRidershipData[[#This Row],[MeasurementDate]])</f>
        <v>9</v>
      </c>
    </row>
    <row r="430" spans="1:11" x14ac:dyDescent="0.25">
      <c r="A430" s="31">
        <v>43724</v>
      </c>
      <c r="B430" t="s">
        <v>2</v>
      </c>
      <c r="C430">
        <v>1761</v>
      </c>
      <c r="D430" t="s">
        <v>114</v>
      </c>
      <c r="E430" t="s">
        <v>109</v>
      </c>
      <c r="F430">
        <v>1</v>
      </c>
      <c r="G430" t="s">
        <v>45</v>
      </c>
      <c r="H430" t="s">
        <v>112</v>
      </c>
      <c r="I430">
        <v>11</v>
      </c>
      <c r="J430" s="19">
        <f>WEEKNUM(tblRidershipData[[#This Row],[MeasurementDate]])</f>
        <v>38</v>
      </c>
      <c r="K430" s="19">
        <f>MONTH(tblRidershipData[[#This Row],[MeasurementDate]])</f>
        <v>9</v>
      </c>
    </row>
    <row r="431" spans="1:11" x14ac:dyDescent="0.25">
      <c r="A431" s="31">
        <v>43724</v>
      </c>
      <c r="B431" t="s">
        <v>2</v>
      </c>
      <c r="C431">
        <v>1761</v>
      </c>
      <c r="D431" t="s">
        <v>114</v>
      </c>
      <c r="E431" t="s">
        <v>109</v>
      </c>
      <c r="F431">
        <v>1</v>
      </c>
      <c r="G431" t="s">
        <v>47</v>
      </c>
      <c r="H431" t="s">
        <v>112</v>
      </c>
      <c r="I431">
        <v>6</v>
      </c>
      <c r="J431" s="19">
        <f>WEEKNUM(tblRidershipData[[#This Row],[MeasurementDate]])</f>
        <v>38</v>
      </c>
      <c r="K431" s="19">
        <f>MONTH(tblRidershipData[[#This Row],[MeasurementDate]])</f>
        <v>9</v>
      </c>
    </row>
    <row r="432" spans="1:11" x14ac:dyDescent="0.25">
      <c r="A432" s="31">
        <v>43724</v>
      </c>
      <c r="B432" t="s">
        <v>2</v>
      </c>
      <c r="C432">
        <v>1761</v>
      </c>
      <c r="D432" t="s">
        <v>114</v>
      </c>
      <c r="E432" t="s">
        <v>109</v>
      </c>
      <c r="F432">
        <v>1</v>
      </c>
      <c r="G432" t="s">
        <v>49</v>
      </c>
      <c r="H432" t="s">
        <v>112</v>
      </c>
      <c r="I432">
        <v>2</v>
      </c>
      <c r="J432" s="19">
        <f>WEEKNUM(tblRidershipData[[#This Row],[MeasurementDate]])</f>
        <v>38</v>
      </c>
      <c r="K432" s="19">
        <f>MONTH(tblRidershipData[[#This Row],[MeasurementDate]])</f>
        <v>9</v>
      </c>
    </row>
    <row r="433" spans="1:11" x14ac:dyDescent="0.25">
      <c r="A433" s="31">
        <v>43724</v>
      </c>
      <c r="B433" t="s">
        <v>2</v>
      </c>
      <c r="C433">
        <v>1761</v>
      </c>
      <c r="D433" t="s">
        <v>114</v>
      </c>
      <c r="E433" t="s">
        <v>109</v>
      </c>
      <c r="F433">
        <v>1</v>
      </c>
      <c r="G433" t="s">
        <v>50</v>
      </c>
      <c r="H433" t="s">
        <v>112</v>
      </c>
      <c r="I433">
        <v>3</v>
      </c>
      <c r="J433" s="19">
        <f>WEEKNUM(tblRidershipData[[#This Row],[MeasurementDate]])</f>
        <v>38</v>
      </c>
      <c r="K433" s="19">
        <f>MONTH(tblRidershipData[[#This Row],[MeasurementDate]])</f>
        <v>9</v>
      </c>
    </row>
    <row r="434" spans="1:11" x14ac:dyDescent="0.25">
      <c r="A434" s="31">
        <v>43724</v>
      </c>
      <c r="B434" t="s">
        <v>2</v>
      </c>
      <c r="C434">
        <v>1761</v>
      </c>
      <c r="D434" t="s">
        <v>114</v>
      </c>
      <c r="E434" t="s">
        <v>109</v>
      </c>
      <c r="F434">
        <v>1</v>
      </c>
      <c r="G434" t="s">
        <v>52</v>
      </c>
      <c r="H434" t="s">
        <v>112</v>
      </c>
      <c r="I434">
        <v>3</v>
      </c>
      <c r="J434" s="19">
        <f>WEEKNUM(tblRidershipData[[#This Row],[MeasurementDate]])</f>
        <v>38</v>
      </c>
      <c r="K434" s="19">
        <f>MONTH(tblRidershipData[[#This Row],[MeasurementDate]])</f>
        <v>9</v>
      </c>
    </row>
    <row r="435" spans="1:11" x14ac:dyDescent="0.25">
      <c r="A435" s="31">
        <v>43724</v>
      </c>
      <c r="B435" t="s">
        <v>2</v>
      </c>
      <c r="C435">
        <v>1761</v>
      </c>
      <c r="D435" t="s">
        <v>114</v>
      </c>
      <c r="E435" t="s">
        <v>109</v>
      </c>
      <c r="F435">
        <v>1</v>
      </c>
      <c r="G435" t="s">
        <v>58</v>
      </c>
      <c r="H435" t="s">
        <v>112</v>
      </c>
      <c r="I435">
        <v>4</v>
      </c>
      <c r="J435" s="19">
        <f>WEEKNUM(tblRidershipData[[#This Row],[MeasurementDate]])</f>
        <v>38</v>
      </c>
      <c r="K435" s="19">
        <f>MONTH(tblRidershipData[[#This Row],[MeasurementDate]])</f>
        <v>9</v>
      </c>
    </row>
    <row r="436" spans="1:11" x14ac:dyDescent="0.25">
      <c r="A436" s="31">
        <v>43724</v>
      </c>
      <c r="B436" t="s">
        <v>2</v>
      </c>
      <c r="C436">
        <v>1761</v>
      </c>
      <c r="D436" t="s">
        <v>114</v>
      </c>
      <c r="E436" t="s">
        <v>109</v>
      </c>
      <c r="F436">
        <v>2</v>
      </c>
      <c r="G436" t="s">
        <v>45</v>
      </c>
      <c r="H436" t="s">
        <v>112</v>
      </c>
      <c r="I436">
        <v>1</v>
      </c>
      <c r="J436" s="19">
        <f>WEEKNUM(tblRidershipData[[#This Row],[MeasurementDate]])</f>
        <v>38</v>
      </c>
      <c r="K436" s="19">
        <f>MONTH(tblRidershipData[[#This Row],[MeasurementDate]])</f>
        <v>9</v>
      </c>
    </row>
    <row r="437" spans="1:11" x14ac:dyDescent="0.25">
      <c r="A437" s="31">
        <v>43724</v>
      </c>
      <c r="B437" t="s">
        <v>2</v>
      </c>
      <c r="C437">
        <v>1761</v>
      </c>
      <c r="D437" t="s">
        <v>114</v>
      </c>
      <c r="E437" t="s">
        <v>109</v>
      </c>
      <c r="F437">
        <v>2</v>
      </c>
      <c r="G437" t="s">
        <v>47</v>
      </c>
      <c r="H437" t="s">
        <v>112</v>
      </c>
      <c r="I437">
        <v>2</v>
      </c>
      <c r="J437" s="19">
        <f>WEEKNUM(tblRidershipData[[#This Row],[MeasurementDate]])</f>
        <v>38</v>
      </c>
      <c r="K437" s="19">
        <f>MONTH(tblRidershipData[[#This Row],[MeasurementDate]])</f>
        <v>9</v>
      </c>
    </row>
    <row r="438" spans="1:11" x14ac:dyDescent="0.25">
      <c r="A438" s="31">
        <v>43724</v>
      </c>
      <c r="B438" t="s">
        <v>2</v>
      </c>
      <c r="C438">
        <v>1761</v>
      </c>
      <c r="D438" t="s">
        <v>114</v>
      </c>
      <c r="E438" t="s">
        <v>109</v>
      </c>
      <c r="F438">
        <v>2</v>
      </c>
      <c r="G438" t="s">
        <v>48</v>
      </c>
      <c r="H438" t="s">
        <v>112</v>
      </c>
      <c r="I438">
        <v>7</v>
      </c>
      <c r="J438" s="19">
        <f>WEEKNUM(tblRidershipData[[#This Row],[MeasurementDate]])</f>
        <v>38</v>
      </c>
      <c r="K438" s="19">
        <f>MONTH(tblRidershipData[[#This Row],[MeasurementDate]])</f>
        <v>9</v>
      </c>
    </row>
    <row r="439" spans="1:11" x14ac:dyDescent="0.25">
      <c r="A439" s="31">
        <v>43724</v>
      </c>
      <c r="B439" t="s">
        <v>2</v>
      </c>
      <c r="C439">
        <v>1761</v>
      </c>
      <c r="D439" t="s">
        <v>114</v>
      </c>
      <c r="E439" t="s">
        <v>109</v>
      </c>
      <c r="F439">
        <v>2</v>
      </c>
      <c r="G439" t="s">
        <v>50</v>
      </c>
      <c r="H439" t="s">
        <v>112</v>
      </c>
      <c r="I439">
        <v>1</v>
      </c>
      <c r="J439" s="19">
        <f>WEEKNUM(tblRidershipData[[#This Row],[MeasurementDate]])</f>
        <v>38</v>
      </c>
      <c r="K439" s="19">
        <f>MONTH(tblRidershipData[[#This Row],[MeasurementDate]])</f>
        <v>9</v>
      </c>
    </row>
    <row r="440" spans="1:11" x14ac:dyDescent="0.25">
      <c r="A440" s="31">
        <v>43724</v>
      </c>
      <c r="B440" t="s">
        <v>2</v>
      </c>
      <c r="C440">
        <v>1761</v>
      </c>
      <c r="D440" t="s">
        <v>114</v>
      </c>
      <c r="E440" t="s">
        <v>109</v>
      </c>
      <c r="F440">
        <v>2</v>
      </c>
      <c r="G440" t="s">
        <v>56</v>
      </c>
      <c r="H440" t="s">
        <v>112</v>
      </c>
      <c r="I440">
        <v>5</v>
      </c>
      <c r="J440" s="19">
        <f>WEEKNUM(tblRidershipData[[#This Row],[MeasurementDate]])</f>
        <v>38</v>
      </c>
      <c r="K440" s="19">
        <f>MONTH(tblRidershipData[[#This Row],[MeasurementDate]])</f>
        <v>9</v>
      </c>
    </row>
    <row r="441" spans="1:11" x14ac:dyDescent="0.25">
      <c r="A441" s="31">
        <v>43724</v>
      </c>
      <c r="B441" t="s">
        <v>2</v>
      </c>
      <c r="C441">
        <v>1761</v>
      </c>
      <c r="D441" t="s">
        <v>114</v>
      </c>
      <c r="E441" t="s">
        <v>109</v>
      </c>
      <c r="F441">
        <v>2</v>
      </c>
      <c r="G441" t="s">
        <v>58</v>
      </c>
      <c r="H441" t="s">
        <v>112</v>
      </c>
      <c r="I441">
        <v>1</v>
      </c>
      <c r="J441" s="19">
        <f>WEEKNUM(tblRidershipData[[#This Row],[MeasurementDate]])</f>
        <v>38</v>
      </c>
      <c r="K441" s="19">
        <f>MONTH(tblRidershipData[[#This Row],[MeasurementDate]])</f>
        <v>9</v>
      </c>
    </row>
    <row r="442" spans="1:11" x14ac:dyDescent="0.25">
      <c r="A442" s="31">
        <v>43724</v>
      </c>
      <c r="B442" t="s">
        <v>2</v>
      </c>
      <c r="C442">
        <v>1761</v>
      </c>
      <c r="D442" t="s">
        <v>114</v>
      </c>
      <c r="E442" t="s">
        <v>109</v>
      </c>
      <c r="F442">
        <v>2</v>
      </c>
      <c r="G442" t="s">
        <v>73</v>
      </c>
      <c r="H442" t="s">
        <v>112</v>
      </c>
      <c r="I442">
        <v>5</v>
      </c>
      <c r="J442" s="19">
        <f>WEEKNUM(tblRidershipData[[#This Row],[MeasurementDate]])</f>
        <v>38</v>
      </c>
      <c r="K442" s="19">
        <f>MONTH(tblRidershipData[[#This Row],[MeasurementDate]])</f>
        <v>9</v>
      </c>
    </row>
    <row r="443" spans="1:11" x14ac:dyDescent="0.25">
      <c r="A443" s="31">
        <v>43724</v>
      </c>
      <c r="B443" t="s">
        <v>2</v>
      </c>
      <c r="C443">
        <v>1734</v>
      </c>
      <c r="D443" t="s">
        <v>101</v>
      </c>
      <c r="E443" t="s">
        <v>111</v>
      </c>
      <c r="F443">
        <v>1</v>
      </c>
      <c r="G443" t="s">
        <v>45</v>
      </c>
      <c r="H443" t="s">
        <v>110</v>
      </c>
      <c r="I443">
        <v>2</v>
      </c>
      <c r="J443" s="19">
        <f>WEEKNUM(tblRidershipData[[#This Row],[MeasurementDate]])</f>
        <v>38</v>
      </c>
      <c r="K443" s="19">
        <f>MONTH(tblRidershipData[[#This Row],[MeasurementDate]])</f>
        <v>9</v>
      </c>
    </row>
    <row r="444" spans="1:11" x14ac:dyDescent="0.25">
      <c r="A444" s="31">
        <v>43724</v>
      </c>
      <c r="B444" t="s">
        <v>2</v>
      </c>
      <c r="C444">
        <v>1734</v>
      </c>
      <c r="D444" t="s">
        <v>101</v>
      </c>
      <c r="E444" t="s">
        <v>111</v>
      </c>
      <c r="F444">
        <v>1</v>
      </c>
      <c r="G444" t="s">
        <v>47</v>
      </c>
      <c r="H444" t="s">
        <v>110</v>
      </c>
      <c r="I444">
        <v>15</v>
      </c>
      <c r="J444" s="19">
        <f>WEEKNUM(tblRidershipData[[#This Row],[MeasurementDate]])</f>
        <v>38</v>
      </c>
      <c r="K444" s="19">
        <f>MONTH(tblRidershipData[[#This Row],[MeasurementDate]])</f>
        <v>9</v>
      </c>
    </row>
    <row r="445" spans="1:11" x14ac:dyDescent="0.25">
      <c r="A445" s="31">
        <v>43724</v>
      </c>
      <c r="B445" t="s">
        <v>2</v>
      </c>
      <c r="C445">
        <v>1734</v>
      </c>
      <c r="D445" t="s">
        <v>101</v>
      </c>
      <c r="E445" t="s">
        <v>111</v>
      </c>
      <c r="F445">
        <v>1</v>
      </c>
      <c r="G445" t="s">
        <v>48</v>
      </c>
      <c r="H445" t="s">
        <v>110</v>
      </c>
      <c r="I445">
        <v>1</v>
      </c>
      <c r="J445" s="19">
        <f>WEEKNUM(tblRidershipData[[#This Row],[MeasurementDate]])</f>
        <v>38</v>
      </c>
      <c r="K445" s="19">
        <f>MONTH(tblRidershipData[[#This Row],[MeasurementDate]])</f>
        <v>9</v>
      </c>
    </row>
    <row r="446" spans="1:11" x14ac:dyDescent="0.25">
      <c r="A446" s="31">
        <v>43724</v>
      </c>
      <c r="B446" t="s">
        <v>2</v>
      </c>
      <c r="C446">
        <v>1734</v>
      </c>
      <c r="D446" t="s">
        <v>101</v>
      </c>
      <c r="E446" t="s">
        <v>111</v>
      </c>
      <c r="F446">
        <v>1</v>
      </c>
      <c r="G446" t="s">
        <v>52</v>
      </c>
      <c r="H446" t="s">
        <v>110</v>
      </c>
      <c r="I446">
        <v>1</v>
      </c>
      <c r="J446" s="19">
        <f>WEEKNUM(tblRidershipData[[#This Row],[MeasurementDate]])</f>
        <v>38</v>
      </c>
      <c r="K446" s="19">
        <f>MONTH(tblRidershipData[[#This Row],[MeasurementDate]])</f>
        <v>9</v>
      </c>
    </row>
    <row r="447" spans="1:11" x14ac:dyDescent="0.25">
      <c r="A447" s="31">
        <v>43724</v>
      </c>
      <c r="B447" t="s">
        <v>2</v>
      </c>
      <c r="C447">
        <v>1734</v>
      </c>
      <c r="D447" t="s">
        <v>101</v>
      </c>
      <c r="E447" t="s">
        <v>111</v>
      </c>
      <c r="F447">
        <v>1</v>
      </c>
      <c r="G447" t="s">
        <v>54</v>
      </c>
      <c r="H447" t="s">
        <v>110</v>
      </c>
      <c r="I447">
        <v>15</v>
      </c>
      <c r="J447" s="19">
        <f>WEEKNUM(tblRidershipData[[#This Row],[MeasurementDate]])</f>
        <v>38</v>
      </c>
      <c r="K447" s="19">
        <f>MONTH(tblRidershipData[[#This Row],[MeasurementDate]])</f>
        <v>9</v>
      </c>
    </row>
    <row r="448" spans="1:11" x14ac:dyDescent="0.25">
      <c r="A448" s="31">
        <v>43724</v>
      </c>
      <c r="B448" t="s">
        <v>2</v>
      </c>
      <c r="C448">
        <v>1734</v>
      </c>
      <c r="D448" t="s">
        <v>101</v>
      </c>
      <c r="E448" t="s">
        <v>111</v>
      </c>
      <c r="F448">
        <v>1</v>
      </c>
      <c r="G448" t="s">
        <v>56</v>
      </c>
      <c r="H448" t="s">
        <v>110</v>
      </c>
      <c r="I448">
        <v>3</v>
      </c>
      <c r="J448" s="19">
        <f>WEEKNUM(tblRidershipData[[#This Row],[MeasurementDate]])</f>
        <v>38</v>
      </c>
      <c r="K448" s="19">
        <f>MONTH(tblRidershipData[[#This Row],[MeasurementDate]])</f>
        <v>9</v>
      </c>
    </row>
    <row r="449" spans="1:11" x14ac:dyDescent="0.25">
      <c r="A449" s="31">
        <v>43724</v>
      </c>
      <c r="B449" t="s">
        <v>2</v>
      </c>
      <c r="C449">
        <v>1734</v>
      </c>
      <c r="D449" t="s">
        <v>101</v>
      </c>
      <c r="E449" t="s">
        <v>111</v>
      </c>
      <c r="F449">
        <v>1</v>
      </c>
      <c r="G449" t="s">
        <v>62</v>
      </c>
      <c r="H449" t="s">
        <v>110</v>
      </c>
      <c r="I449">
        <v>5</v>
      </c>
      <c r="J449" s="19">
        <f>WEEKNUM(tblRidershipData[[#This Row],[MeasurementDate]])</f>
        <v>38</v>
      </c>
      <c r="K449" s="19">
        <f>MONTH(tblRidershipData[[#This Row],[MeasurementDate]])</f>
        <v>9</v>
      </c>
    </row>
    <row r="450" spans="1:11" x14ac:dyDescent="0.25">
      <c r="A450" s="31">
        <v>43724</v>
      </c>
      <c r="B450" t="s">
        <v>2</v>
      </c>
      <c r="C450">
        <v>1734</v>
      </c>
      <c r="D450" t="s">
        <v>101</v>
      </c>
      <c r="E450" t="s">
        <v>111</v>
      </c>
      <c r="F450">
        <v>1</v>
      </c>
      <c r="G450" t="s">
        <v>63</v>
      </c>
      <c r="H450" t="s">
        <v>110</v>
      </c>
      <c r="I450">
        <v>5</v>
      </c>
      <c r="J450" s="19">
        <f>WEEKNUM(tblRidershipData[[#This Row],[MeasurementDate]])</f>
        <v>38</v>
      </c>
      <c r="K450" s="19">
        <f>MONTH(tblRidershipData[[#This Row],[MeasurementDate]])</f>
        <v>9</v>
      </c>
    </row>
    <row r="451" spans="1:11" x14ac:dyDescent="0.25">
      <c r="A451" s="31">
        <v>43724</v>
      </c>
      <c r="B451" t="s">
        <v>2</v>
      </c>
      <c r="C451">
        <v>1734</v>
      </c>
      <c r="D451" t="s">
        <v>101</v>
      </c>
      <c r="E451" t="s">
        <v>111</v>
      </c>
      <c r="F451">
        <v>1</v>
      </c>
      <c r="G451" t="s">
        <v>67</v>
      </c>
      <c r="H451" t="s">
        <v>110</v>
      </c>
      <c r="I451">
        <v>4</v>
      </c>
      <c r="J451" s="19">
        <f>WEEKNUM(tblRidershipData[[#This Row],[MeasurementDate]])</f>
        <v>38</v>
      </c>
      <c r="K451" s="19">
        <f>MONTH(tblRidershipData[[#This Row],[MeasurementDate]])</f>
        <v>9</v>
      </c>
    </row>
    <row r="452" spans="1:11" x14ac:dyDescent="0.25">
      <c r="A452" s="31">
        <v>43724</v>
      </c>
      <c r="B452" t="s">
        <v>2</v>
      </c>
      <c r="C452">
        <v>1734</v>
      </c>
      <c r="D452" t="s">
        <v>101</v>
      </c>
      <c r="E452" t="s">
        <v>111</v>
      </c>
      <c r="F452">
        <v>1</v>
      </c>
      <c r="G452" t="s">
        <v>73</v>
      </c>
      <c r="H452" t="s">
        <v>110</v>
      </c>
      <c r="I452">
        <v>7</v>
      </c>
      <c r="J452" s="19">
        <f>WEEKNUM(tblRidershipData[[#This Row],[MeasurementDate]])</f>
        <v>38</v>
      </c>
      <c r="K452" s="19">
        <f>MONTH(tblRidershipData[[#This Row],[MeasurementDate]])</f>
        <v>9</v>
      </c>
    </row>
    <row r="453" spans="1:11" x14ac:dyDescent="0.25">
      <c r="A453" s="31">
        <v>43724</v>
      </c>
      <c r="B453" t="s">
        <v>2</v>
      </c>
      <c r="C453">
        <v>1734</v>
      </c>
      <c r="D453" t="s">
        <v>101</v>
      </c>
      <c r="E453" t="s">
        <v>111</v>
      </c>
      <c r="F453">
        <v>2</v>
      </c>
      <c r="G453" t="s">
        <v>52</v>
      </c>
      <c r="H453" t="s">
        <v>110</v>
      </c>
      <c r="I453">
        <v>25</v>
      </c>
      <c r="J453" s="19">
        <f>WEEKNUM(tblRidershipData[[#This Row],[MeasurementDate]])</f>
        <v>38</v>
      </c>
      <c r="K453" s="19">
        <f>MONTH(tblRidershipData[[#This Row],[MeasurementDate]])</f>
        <v>9</v>
      </c>
    </row>
    <row r="454" spans="1:11" x14ac:dyDescent="0.25">
      <c r="A454" s="31">
        <v>43724</v>
      </c>
      <c r="B454" t="s">
        <v>2</v>
      </c>
      <c r="C454">
        <v>1734</v>
      </c>
      <c r="D454" t="s">
        <v>101</v>
      </c>
      <c r="E454" t="s">
        <v>111</v>
      </c>
      <c r="F454">
        <v>2</v>
      </c>
      <c r="G454" t="s">
        <v>59</v>
      </c>
      <c r="H454" t="s">
        <v>110</v>
      </c>
      <c r="I454">
        <v>8</v>
      </c>
      <c r="J454" s="19">
        <f>WEEKNUM(tblRidershipData[[#This Row],[MeasurementDate]])</f>
        <v>38</v>
      </c>
      <c r="K454" s="19">
        <f>MONTH(tblRidershipData[[#This Row],[MeasurementDate]])</f>
        <v>9</v>
      </c>
    </row>
    <row r="455" spans="1:11" x14ac:dyDescent="0.25">
      <c r="A455" s="31">
        <v>43724</v>
      </c>
      <c r="B455" t="s">
        <v>2</v>
      </c>
      <c r="C455">
        <v>1734</v>
      </c>
      <c r="D455" t="s">
        <v>101</v>
      </c>
      <c r="E455" t="s">
        <v>111</v>
      </c>
      <c r="F455">
        <v>2</v>
      </c>
      <c r="G455" t="s">
        <v>67</v>
      </c>
      <c r="H455" t="s">
        <v>110</v>
      </c>
      <c r="I455">
        <v>21</v>
      </c>
      <c r="J455" s="19">
        <f>WEEKNUM(tblRidershipData[[#This Row],[MeasurementDate]])</f>
        <v>38</v>
      </c>
      <c r="K455" s="19">
        <f>MONTH(tblRidershipData[[#This Row],[MeasurementDate]])</f>
        <v>9</v>
      </c>
    </row>
    <row r="456" spans="1:11" x14ac:dyDescent="0.25">
      <c r="A456" s="31">
        <v>43724</v>
      </c>
      <c r="B456" t="s">
        <v>2</v>
      </c>
      <c r="C456">
        <v>1734</v>
      </c>
      <c r="D456" t="s">
        <v>101</v>
      </c>
      <c r="E456" t="s">
        <v>111</v>
      </c>
      <c r="F456">
        <v>2</v>
      </c>
      <c r="G456" t="s">
        <v>72</v>
      </c>
      <c r="H456" t="s">
        <v>110</v>
      </c>
      <c r="I456">
        <v>5</v>
      </c>
      <c r="J456" s="19">
        <f>WEEKNUM(tblRidershipData[[#This Row],[MeasurementDate]])</f>
        <v>38</v>
      </c>
      <c r="K456" s="19">
        <f>MONTH(tblRidershipData[[#This Row],[MeasurementDate]])</f>
        <v>9</v>
      </c>
    </row>
    <row r="457" spans="1:11" x14ac:dyDescent="0.25">
      <c r="A457" s="31">
        <v>43724</v>
      </c>
      <c r="B457" t="s">
        <v>2</v>
      </c>
      <c r="C457">
        <v>1734</v>
      </c>
      <c r="D457" t="s">
        <v>101</v>
      </c>
      <c r="E457" t="s">
        <v>109</v>
      </c>
      <c r="F457">
        <v>1</v>
      </c>
      <c r="G457" t="s">
        <v>52</v>
      </c>
      <c r="H457" t="s">
        <v>110</v>
      </c>
      <c r="I457">
        <v>23</v>
      </c>
      <c r="J457" s="19">
        <f>WEEKNUM(tblRidershipData[[#This Row],[MeasurementDate]])</f>
        <v>38</v>
      </c>
      <c r="K457" s="19">
        <f>MONTH(tblRidershipData[[#This Row],[MeasurementDate]])</f>
        <v>9</v>
      </c>
    </row>
    <row r="458" spans="1:11" x14ac:dyDescent="0.25">
      <c r="A458" s="31">
        <v>43724</v>
      </c>
      <c r="B458" t="s">
        <v>2</v>
      </c>
      <c r="C458">
        <v>1734</v>
      </c>
      <c r="D458" t="s">
        <v>101</v>
      </c>
      <c r="E458" t="s">
        <v>109</v>
      </c>
      <c r="F458">
        <v>1</v>
      </c>
      <c r="G458" t="s">
        <v>72</v>
      </c>
      <c r="H458" t="s">
        <v>110</v>
      </c>
      <c r="I458">
        <v>36</v>
      </c>
      <c r="J458" s="19">
        <f>WEEKNUM(tblRidershipData[[#This Row],[MeasurementDate]])</f>
        <v>38</v>
      </c>
      <c r="K458" s="19">
        <f>MONTH(tblRidershipData[[#This Row],[MeasurementDate]])</f>
        <v>9</v>
      </c>
    </row>
    <row r="459" spans="1:11" x14ac:dyDescent="0.25">
      <c r="A459" s="31">
        <v>43724</v>
      </c>
      <c r="B459" t="s">
        <v>2</v>
      </c>
      <c r="C459">
        <v>1734</v>
      </c>
      <c r="D459" t="s">
        <v>101</v>
      </c>
      <c r="E459" t="s">
        <v>109</v>
      </c>
      <c r="F459">
        <v>2</v>
      </c>
      <c r="G459" t="s">
        <v>45</v>
      </c>
      <c r="H459" t="s">
        <v>110</v>
      </c>
      <c r="I459">
        <v>4</v>
      </c>
      <c r="J459" s="19">
        <f>WEEKNUM(tblRidershipData[[#This Row],[MeasurementDate]])</f>
        <v>38</v>
      </c>
      <c r="K459" s="19">
        <f>MONTH(tblRidershipData[[#This Row],[MeasurementDate]])</f>
        <v>9</v>
      </c>
    </row>
    <row r="460" spans="1:11" x14ac:dyDescent="0.25">
      <c r="A460" s="31">
        <v>43724</v>
      </c>
      <c r="B460" t="s">
        <v>2</v>
      </c>
      <c r="C460">
        <v>1734</v>
      </c>
      <c r="D460" t="s">
        <v>101</v>
      </c>
      <c r="E460" t="s">
        <v>109</v>
      </c>
      <c r="F460">
        <v>2</v>
      </c>
      <c r="G460" t="s">
        <v>54</v>
      </c>
      <c r="H460" t="s">
        <v>110</v>
      </c>
      <c r="I460">
        <v>17</v>
      </c>
      <c r="J460" s="19">
        <f>WEEKNUM(tblRidershipData[[#This Row],[MeasurementDate]])</f>
        <v>38</v>
      </c>
      <c r="K460" s="19">
        <f>MONTH(tblRidershipData[[#This Row],[MeasurementDate]])</f>
        <v>9</v>
      </c>
    </row>
    <row r="461" spans="1:11" x14ac:dyDescent="0.25">
      <c r="A461" s="31">
        <v>43724</v>
      </c>
      <c r="B461" t="s">
        <v>2</v>
      </c>
      <c r="C461">
        <v>1734</v>
      </c>
      <c r="D461" t="s">
        <v>101</v>
      </c>
      <c r="E461" t="s">
        <v>109</v>
      </c>
      <c r="F461">
        <v>2</v>
      </c>
      <c r="G461" t="s">
        <v>56</v>
      </c>
      <c r="H461" t="s">
        <v>110</v>
      </c>
      <c r="I461">
        <v>7</v>
      </c>
      <c r="J461" s="19">
        <f>WEEKNUM(tblRidershipData[[#This Row],[MeasurementDate]])</f>
        <v>38</v>
      </c>
      <c r="K461" s="19">
        <f>MONTH(tblRidershipData[[#This Row],[MeasurementDate]])</f>
        <v>9</v>
      </c>
    </row>
    <row r="462" spans="1:11" x14ac:dyDescent="0.25">
      <c r="A462" s="31">
        <v>43724</v>
      </c>
      <c r="B462" t="s">
        <v>2</v>
      </c>
      <c r="C462">
        <v>1734</v>
      </c>
      <c r="D462" t="s">
        <v>101</v>
      </c>
      <c r="E462" t="s">
        <v>109</v>
      </c>
      <c r="F462">
        <v>2</v>
      </c>
      <c r="G462" t="s">
        <v>58</v>
      </c>
      <c r="H462" t="s">
        <v>110</v>
      </c>
      <c r="I462">
        <v>3</v>
      </c>
      <c r="J462" s="19">
        <f>WEEKNUM(tblRidershipData[[#This Row],[MeasurementDate]])</f>
        <v>38</v>
      </c>
      <c r="K462" s="19">
        <f>MONTH(tblRidershipData[[#This Row],[MeasurementDate]])</f>
        <v>9</v>
      </c>
    </row>
    <row r="463" spans="1:11" x14ac:dyDescent="0.25">
      <c r="A463" s="31">
        <v>43724</v>
      </c>
      <c r="B463" t="s">
        <v>2</v>
      </c>
      <c r="C463">
        <v>1734</v>
      </c>
      <c r="D463" t="s">
        <v>101</v>
      </c>
      <c r="E463" t="s">
        <v>109</v>
      </c>
      <c r="F463">
        <v>2</v>
      </c>
      <c r="G463" t="s">
        <v>62</v>
      </c>
      <c r="H463" t="s">
        <v>110</v>
      </c>
      <c r="I463">
        <v>6</v>
      </c>
      <c r="J463" s="19">
        <f>WEEKNUM(tblRidershipData[[#This Row],[MeasurementDate]])</f>
        <v>38</v>
      </c>
      <c r="K463" s="19">
        <f>MONTH(tblRidershipData[[#This Row],[MeasurementDate]])</f>
        <v>9</v>
      </c>
    </row>
    <row r="464" spans="1:11" x14ac:dyDescent="0.25">
      <c r="A464" s="31">
        <v>43724</v>
      </c>
      <c r="B464" t="s">
        <v>2</v>
      </c>
      <c r="C464">
        <v>1734</v>
      </c>
      <c r="D464" t="s">
        <v>101</v>
      </c>
      <c r="E464" t="s">
        <v>109</v>
      </c>
      <c r="F464">
        <v>2</v>
      </c>
      <c r="G464" t="s">
        <v>63</v>
      </c>
      <c r="H464" t="s">
        <v>110</v>
      </c>
      <c r="I464">
        <v>10</v>
      </c>
      <c r="J464" s="19">
        <f>WEEKNUM(tblRidershipData[[#This Row],[MeasurementDate]])</f>
        <v>38</v>
      </c>
      <c r="K464" s="19">
        <f>MONTH(tblRidershipData[[#This Row],[MeasurementDate]])</f>
        <v>9</v>
      </c>
    </row>
    <row r="465" spans="1:11" x14ac:dyDescent="0.25">
      <c r="A465" s="31">
        <v>43724</v>
      </c>
      <c r="B465" t="s">
        <v>2</v>
      </c>
      <c r="C465">
        <v>1734</v>
      </c>
      <c r="D465" t="s">
        <v>101</v>
      </c>
      <c r="E465" t="s">
        <v>109</v>
      </c>
      <c r="F465">
        <v>2</v>
      </c>
      <c r="G465" t="s">
        <v>67</v>
      </c>
      <c r="H465" t="s">
        <v>110</v>
      </c>
      <c r="I465">
        <v>14</v>
      </c>
      <c r="J465" s="19">
        <f>WEEKNUM(tblRidershipData[[#This Row],[MeasurementDate]])</f>
        <v>38</v>
      </c>
      <c r="K465" s="19">
        <f>MONTH(tblRidershipData[[#This Row],[MeasurementDate]])</f>
        <v>9</v>
      </c>
    </row>
    <row r="466" spans="1:11" x14ac:dyDescent="0.25">
      <c r="A466" s="31">
        <v>43724</v>
      </c>
      <c r="B466" t="s">
        <v>2</v>
      </c>
      <c r="C466">
        <v>1734</v>
      </c>
      <c r="D466" t="s">
        <v>101</v>
      </c>
      <c r="E466" t="s">
        <v>109</v>
      </c>
      <c r="F466">
        <v>2</v>
      </c>
      <c r="G466" t="s">
        <v>73</v>
      </c>
      <c r="H466" t="s">
        <v>110</v>
      </c>
      <c r="I466">
        <v>2</v>
      </c>
      <c r="J466" s="19">
        <f>WEEKNUM(tblRidershipData[[#This Row],[MeasurementDate]])</f>
        <v>38</v>
      </c>
      <c r="K466" s="19">
        <f>MONTH(tblRidershipData[[#This Row],[MeasurementDate]])</f>
        <v>9</v>
      </c>
    </row>
    <row r="467" spans="1:11" x14ac:dyDescent="0.25">
      <c r="A467" s="31">
        <v>43724</v>
      </c>
      <c r="B467" t="s">
        <v>2</v>
      </c>
      <c r="C467">
        <v>4504</v>
      </c>
      <c r="D467" t="s">
        <v>115</v>
      </c>
      <c r="E467" t="s">
        <v>111</v>
      </c>
      <c r="F467">
        <v>2</v>
      </c>
      <c r="G467" t="s">
        <v>51</v>
      </c>
      <c r="H467" t="s">
        <v>112</v>
      </c>
      <c r="I467">
        <v>26</v>
      </c>
      <c r="J467" s="19">
        <f>WEEKNUM(tblRidershipData[[#This Row],[MeasurementDate]])</f>
        <v>38</v>
      </c>
      <c r="K467" s="19">
        <f>MONTH(tblRidershipData[[#This Row],[MeasurementDate]])</f>
        <v>9</v>
      </c>
    </row>
    <row r="468" spans="1:11" x14ac:dyDescent="0.25">
      <c r="A468" s="31">
        <v>43724</v>
      </c>
      <c r="B468" t="s">
        <v>2</v>
      </c>
      <c r="C468">
        <v>4504</v>
      </c>
      <c r="D468" t="s">
        <v>115</v>
      </c>
      <c r="E468" t="s">
        <v>111</v>
      </c>
      <c r="F468">
        <v>2</v>
      </c>
      <c r="G468" t="s">
        <v>54</v>
      </c>
      <c r="H468" t="s">
        <v>112</v>
      </c>
      <c r="I468">
        <v>2</v>
      </c>
      <c r="J468" s="19">
        <f>WEEKNUM(tblRidershipData[[#This Row],[MeasurementDate]])</f>
        <v>38</v>
      </c>
      <c r="K468" s="19">
        <f>MONTH(tblRidershipData[[#This Row],[MeasurementDate]])</f>
        <v>9</v>
      </c>
    </row>
    <row r="469" spans="1:11" x14ac:dyDescent="0.25">
      <c r="A469" s="31">
        <v>43724</v>
      </c>
      <c r="B469" t="s">
        <v>2</v>
      </c>
      <c r="C469">
        <v>4504</v>
      </c>
      <c r="D469" t="s">
        <v>115</v>
      </c>
      <c r="E469" t="s">
        <v>111</v>
      </c>
      <c r="F469">
        <v>2</v>
      </c>
      <c r="G469" t="s">
        <v>64</v>
      </c>
      <c r="H469" t="s">
        <v>112</v>
      </c>
      <c r="I469">
        <v>4</v>
      </c>
      <c r="J469" s="19">
        <f>WEEKNUM(tblRidershipData[[#This Row],[MeasurementDate]])</f>
        <v>38</v>
      </c>
      <c r="K469" s="19">
        <f>MONTH(tblRidershipData[[#This Row],[MeasurementDate]])</f>
        <v>9</v>
      </c>
    </row>
    <row r="470" spans="1:11" x14ac:dyDescent="0.25">
      <c r="A470" s="31">
        <v>43724</v>
      </c>
      <c r="B470" t="s">
        <v>2</v>
      </c>
      <c r="C470">
        <v>4504</v>
      </c>
      <c r="D470" t="s">
        <v>115</v>
      </c>
      <c r="E470" t="s">
        <v>111</v>
      </c>
      <c r="F470">
        <v>2</v>
      </c>
      <c r="G470" t="s">
        <v>72</v>
      </c>
      <c r="H470" t="s">
        <v>112</v>
      </c>
      <c r="I470">
        <v>4</v>
      </c>
      <c r="J470" s="19">
        <f>WEEKNUM(tblRidershipData[[#This Row],[MeasurementDate]])</f>
        <v>38</v>
      </c>
      <c r="K470" s="19">
        <f>MONTH(tblRidershipData[[#This Row],[MeasurementDate]])</f>
        <v>9</v>
      </c>
    </row>
    <row r="471" spans="1:11" x14ac:dyDescent="0.25">
      <c r="A471" s="31">
        <v>43724</v>
      </c>
      <c r="B471" t="s">
        <v>2</v>
      </c>
      <c r="C471">
        <v>4504</v>
      </c>
      <c r="D471" t="s">
        <v>115</v>
      </c>
      <c r="E471" t="s">
        <v>111</v>
      </c>
      <c r="F471">
        <v>2</v>
      </c>
      <c r="G471" t="s">
        <v>73</v>
      </c>
      <c r="H471" t="s">
        <v>112</v>
      </c>
      <c r="I471">
        <v>1</v>
      </c>
      <c r="J471" s="19">
        <f>WEEKNUM(tblRidershipData[[#This Row],[MeasurementDate]])</f>
        <v>38</v>
      </c>
      <c r="K471" s="19">
        <f>MONTH(tblRidershipData[[#This Row],[MeasurementDate]])</f>
        <v>9</v>
      </c>
    </row>
    <row r="472" spans="1:11" x14ac:dyDescent="0.25">
      <c r="A472" s="31">
        <v>43724</v>
      </c>
      <c r="B472" t="s">
        <v>2</v>
      </c>
      <c r="C472">
        <v>4504</v>
      </c>
      <c r="D472" t="s">
        <v>115</v>
      </c>
      <c r="E472" t="s">
        <v>109</v>
      </c>
      <c r="F472">
        <v>2</v>
      </c>
      <c r="G472" t="s">
        <v>45</v>
      </c>
      <c r="H472" t="s">
        <v>112</v>
      </c>
      <c r="I472">
        <v>1</v>
      </c>
      <c r="J472" s="19">
        <f>WEEKNUM(tblRidershipData[[#This Row],[MeasurementDate]])</f>
        <v>38</v>
      </c>
      <c r="K472" s="19">
        <f>MONTH(tblRidershipData[[#This Row],[MeasurementDate]])</f>
        <v>9</v>
      </c>
    </row>
    <row r="473" spans="1:11" x14ac:dyDescent="0.25">
      <c r="A473" s="31">
        <v>43724</v>
      </c>
      <c r="B473" t="s">
        <v>2</v>
      </c>
      <c r="C473">
        <v>4504</v>
      </c>
      <c r="D473" t="s">
        <v>115</v>
      </c>
      <c r="E473" t="s">
        <v>109</v>
      </c>
      <c r="F473">
        <v>2</v>
      </c>
      <c r="G473" t="s">
        <v>47</v>
      </c>
      <c r="H473" t="s">
        <v>112</v>
      </c>
      <c r="I473">
        <v>2</v>
      </c>
      <c r="J473" s="19">
        <f>WEEKNUM(tblRidershipData[[#This Row],[MeasurementDate]])</f>
        <v>38</v>
      </c>
      <c r="K473" s="19">
        <f>MONTH(tblRidershipData[[#This Row],[MeasurementDate]])</f>
        <v>9</v>
      </c>
    </row>
    <row r="474" spans="1:11" x14ac:dyDescent="0.25">
      <c r="A474" s="31">
        <v>43724</v>
      </c>
      <c r="B474" t="s">
        <v>2</v>
      </c>
      <c r="C474">
        <v>4504</v>
      </c>
      <c r="D474" t="s">
        <v>115</v>
      </c>
      <c r="E474" t="s">
        <v>109</v>
      </c>
      <c r="F474">
        <v>2</v>
      </c>
      <c r="G474" t="s">
        <v>50</v>
      </c>
      <c r="H474" t="s">
        <v>112</v>
      </c>
      <c r="I474">
        <v>8</v>
      </c>
      <c r="J474" s="19">
        <f>WEEKNUM(tblRidershipData[[#This Row],[MeasurementDate]])</f>
        <v>38</v>
      </c>
      <c r="K474" s="19">
        <f>MONTH(tblRidershipData[[#This Row],[MeasurementDate]])</f>
        <v>9</v>
      </c>
    </row>
    <row r="475" spans="1:11" x14ac:dyDescent="0.25">
      <c r="A475" s="31">
        <v>43724</v>
      </c>
      <c r="B475" t="s">
        <v>2</v>
      </c>
      <c r="C475">
        <v>4504</v>
      </c>
      <c r="D475" t="s">
        <v>115</v>
      </c>
      <c r="E475" t="s">
        <v>109</v>
      </c>
      <c r="F475">
        <v>2</v>
      </c>
      <c r="G475" t="s">
        <v>54</v>
      </c>
      <c r="H475" t="s">
        <v>112</v>
      </c>
      <c r="I475">
        <v>3</v>
      </c>
      <c r="J475" s="19">
        <f>WEEKNUM(tblRidershipData[[#This Row],[MeasurementDate]])</f>
        <v>38</v>
      </c>
      <c r="K475" s="19">
        <f>MONTH(tblRidershipData[[#This Row],[MeasurementDate]])</f>
        <v>9</v>
      </c>
    </row>
    <row r="476" spans="1:11" x14ac:dyDescent="0.25">
      <c r="A476" s="31">
        <v>43724</v>
      </c>
      <c r="B476" t="s">
        <v>2</v>
      </c>
      <c r="C476">
        <v>4504</v>
      </c>
      <c r="D476" t="s">
        <v>115</v>
      </c>
      <c r="E476" t="s">
        <v>109</v>
      </c>
      <c r="F476">
        <v>2</v>
      </c>
      <c r="G476" t="s">
        <v>56</v>
      </c>
      <c r="H476" t="s">
        <v>112</v>
      </c>
      <c r="I476">
        <v>1</v>
      </c>
      <c r="J476" s="19">
        <f>WEEKNUM(tblRidershipData[[#This Row],[MeasurementDate]])</f>
        <v>38</v>
      </c>
      <c r="K476" s="19">
        <f>MONTH(tblRidershipData[[#This Row],[MeasurementDate]])</f>
        <v>9</v>
      </c>
    </row>
    <row r="477" spans="1:11" x14ac:dyDescent="0.25">
      <c r="A477" s="31">
        <v>43724</v>
      </c>
      <c r="B477" t="s">
        <v>2</v>
      </c>
      <c r="C477">
        <v>4504</v>
      </c>
      <c r="D477" t="s">
        <v>115</v>
      </c>
      <c r="E477" t="s">
        <v>109</v>
      </c>
      <c r="F477">
        <v>2</v>
      </c>
      <c r="G477" t="s">
        <v>59</v>
      </c>
      <c r="H477" t="s">
        <v>112</v>
      </c>
      <c r="I477">
        <v>1</v>
      </c>
      <c r="J477" s="19">
        <f>WEEKNUM(tblRidershipData[[#This Row],[MeasurementDate]])</f>
        <v>38</v>
      </c>
      <c r="K477" s="19">
        <f>MONTH(tblRidershipData[[#This Row],[MeasurementDate]])</f>
        <v>9</v>
      </c>
    </row>
    <row r="478" spans="1:11" x14ac:dyDescent="0.25">
      <c r="A478" s="31">
        <v>43724</v>
      </c>
      <c r="B478" t="s">
        <v>2</v>
      </c>
      <c r="C478">
        <v>4504</v>
      </c>
      <c r="D478" t="s">
        <v>115</v>
      </c>
      <c r="E478" t="s">
        <v>109</v>
      </c>
      <c r="F478">
        <v>2</v>
      </c>
      <c r="G478" t="s">
        <v>72</v>
      </c>
      <c r="H478" t="s">
        <v>112</v>
      </c>
      <c r="I478">
        <v>5</v>
      </c>
      <c r="J478" s="19">
        <f>WEEKNUM(tblRidershipData[[#This Row],[MeasurementDate]])</f>
        <v>38</v>
      </c>
      <c r="K478" s="19">
        <f>MONTH(tblRidershipData[[#This Row],[MeasurementDate]])</f>
        <v>9</v>
      </c>
    </row>
    <row r="479" spans="1:11" x14ac:dyDescent="0.25">
      <c r="A479" s="31">
        <v>43724</v>
      </c>
      <c r="B479" t="s">
        <v>2</v>
      </c>
      <c r="C479">
        <v>4504</v>
      </c>
      <c r="D479" t="s">
        <v>115</v>
      </c>
      <c r="E479" t="s">
        <v>109</v>
      </c>
      <c r="F479">
        <v>2</v>
      </c>
      <c r="G479" t="s">
        <v>73</v>
      </c>
      <c r="H479" t="s">
        <v>112</v>
      </c>
      <c r="I479">
        <v>1</v>
      </c>
      <c r="J479" s="19">
        <f>WEEKNUM(tblRidershipData[[#This Row],[MeasurementDate]])</f>
        <v>38</v>
      </c>
      <c r="K479" s="19">
        <f>MONTH(tblRidershipData[[#This Row],[MeasurementDate]])</f>
        <v>9</v>
      </c>
    </row>
    <row r="480" spans="1:11" x14ac:dyDescent="0.25">
      <c r="A480" s="31">
        <v>43724</v>
      </c>
      <c r="B480" t="s">
        <v>2</v>
      </c>
      <c r="C480">
        <v>6553</v>
      </c>
      <c r="D480" t="s">
        <v>100</v>
      </c>
      <c r="E480" t="s">
        <v>111</v>
      </c>
      <c r="F480">
        <v>1</v>
      </c>
      <c r="G480" t="s">
        <v>43</v>
      </c>
      <c r="H480" t="s">
        <v>110</v>
      </c>
      <c r="I480">
        <v>6</v>
      </c>
      <c r="J480" s="19">
        <f>WEEKNUM(tblRidershipData[[#This Row],[MeasurementDate]])</f>
        <v>38</v>
      </c>
      <c r="K480" s="19">
        <f>MONTH(tblRidershipData[[#This Row],[MeasurementDate]])</f>
        <v>9</v>
      </c>
    </row>
    <row r="481" spans="1:11" x14ac:dyDescent="0.25">
      <c r="A481" s="31">
        <v>43724</v>
      </c>
      <c r="B481" t="s">
        <v>2</v>
      </c>
      <c r="C481">
        <v>6553</v>
      </c>
      <c r="D481" t="s">
        <v>100</v>
      </c>
      <c r="E481" t="s">
        <v>111</v>
      </c>
      <c r="F481">
        <v>1</v>
      </c>
      <c r="G481" t="s">
        <v>44</v>
      </c>
      <c r="H481" t="s">
        <v>110</v>
      </c>
      <c r="I481">
        <v>3</v>
      </c>
      <c r="J481" s="19">
        <f>WEEKNUM(tblRidershipData[[#This Row],[MeasurementDate]])</f>
        <v>38</v>
      </c>
      <c r="K481" s="19">
        <f>MONTH(tblRidershipData[[#This Row],[MeasurementDate]])</f>
        <v>9</v>
      </c>
    </row>
    <row r="482" spans="1:11" x14ac:dyDescent="0.25">
      <c r="A482" s="31">
        <v>43724</v>
      </c>
      <c r="B482" t="s">
        <v>2</v>
      </c>
      <c r="C482">
        <v>6553</v>
      </c>
      <c r="D482" t="s">
        <v>100</v>
      </c>
      <c r="E482" t="s">
        <v>111</v>
      </c>
      <c r="F482">
        <v>1</v>
      </c>
      <c r="G482" t="s">
        <v>45</v>
      </c>
      <c r="H482" t="s">
        <v>110</v>
      </c>
      <c r="I482">
        <v>3</v>
      </c>
      <c r="J482" s="19">
        <f>WEEKNUM(tblRidershipData[[#This Row],[MeasurementDate]])</f>
        <v>38</v>
      </c>
      <c r="K482" s="19">
        <f>MONTH(tblRidershipData[[#This Row],[MeasurementDate]])</f>
        <v>9</v>
      </c>
    </row>
    <row r="483" spans="1:11" x14ac:dyDescent="0.25">
      <c r="A483" s="31">
        <v>43724</v>
      </c>
      <c r="B483" t="s">
        <v>2</v>
      </c>
      <c r="C483">
        <v>6553</v>
      </c>
      <c r="D483" t="s">
        <v>100</v>
      </c>
      <c r="E483" t="s">
        <v>111</v>
      </c>
      <c r="F483">
        <v>1</v>
      </c>
      <c r="G483" t="s">
        <v>46</v>
      </c>
      <c r="H483" t="s">
        <v>110</v>
      </c>
      <c r="I483">
        <v>23</v>
      </c>
      <c r="J483" s="19">
        <f>WEEKNUM(tblRidershipData[[#This Row],[MeasurementDate]])</f>
        <v>38</v>
      </c>
      <c r="K483" s="19">
        <f>MONTH(tblRidershipData[[#This Row],[MeasurementDate]])</f>
        <v>9</v>
      </c>
    </row>
    <row r="484" spans="1:11" x14ac:dyDescent="0.25">
      <c r="A484" s="31">
        <v>43724</v>
      </c>
      <c r="B484" t="s">
        <v>2</v>
      </c>
      <c r="C484">
        <v>6553</v>
      </c>
      <c r="D484" t="s">
        <v>100</v>
      </c>
      <c r="E484" t="s">
        <v>111</v>
      </c>
      <c r="F484">
        <v>1</v>
      </c>
      <c r="G484" t="s">
        <v>56</v>
      </c>
      <c r="H484" t="s">
        <v>110</v>
      </c>
      <c r="I484">
        <v>2</v>
      </c>
      <c r="J484" s="19">
        <f>WEEKNUM(tblRidershipData[[#This Row],[MeasurementDate]])</f>
        <v>38</v>
      </c>
      <c r="K484" s="19">
        <f>MONTH(tblRidershipData[[#This Row],[MeasurementDate]])</f>
        <v>9</v>
      </c>
    </row>
    <row r="485" spans="1:11" x14ac:dyDescent="0.25">
      <c r="A485" s="31">
        <v>43724</v>
      </c>
      <c r="B485" t="s">
        <v>2</v>
      </c>
      <c r="C485">
        <v>6553</v>
      </c>
      <c r="D485" t="s">
        <v>100</v>
      </c>
      <c r="E485" t="s">
        <v>111</v>
      </c>
      <c r="F485">
        <v>1</v>
      </c>
      <c r="G485" t="s">
        <v>69</v>
      </c>
      <c r="H485" t="s">
        <v>110</v>
      </c>
      <c r="I485">
        <v>10</v>
      </c>
      <c r="J485" s="19">
        <f>WEEKNUM(tblRidershipData[[#This Row],[MeasurementDate]])</f>
        <v>38</v>
      </c>
      <c r="K485" s="19">
        <f>MONTH(tblRidershipData[[#This Row],[MeasurementDate]])</f>
        <v>9</v>
      </c>
    </row>
    <row r="486" spans="1:11" x14ac:dyDescent="0.25">
      <c r="A486" s="31">
        <v>43724</v>
      </c>
      <c r="B486" t="s">
        <v>2</v>
      </c>
      <c r="C486">
        <v>6553</v>
      </c>
      <c r="D486" t="s">
        <v>100</v>
      </c>
      <c r="E486" t="s">
        <v>111</v>
      </c>
      <c r="F486">
        <v>1</v>
      </c>
      <c r="G486" t="s">
        <v>70</v>
      </c>
      <c r="H486" t="s">
        <v>110</v>
      </c>
      <c r="I486">
        <v>2</v>
      </c>
      <c r="J486" s="19">
        <f>WEEKNUM(tblRidershipData[[#This Row],[MeasurementDate]])</f>
        <v>38</v>
      </c>
      <c r="K486" s="19">
        <f>MONTH(tblRidershipData[[#This Row],[MeasurementDate]])</f>
        <v>9</v>
      </c>
    </row>
    <row r="487" spans="1:11" x14ac:dyDescent="0.25">
      <c r="A487" s="31">
        <v>43724</v>
      </c>
      <c r="B487" t="s">
        <v>2</v>
      </c>
      <c r="C487">
        <v>6553</v>
      </c>
      <c r="D487" t="s">
        <v>100</v>
      </c>
      <c r="E487" t="s">
        <v>109</v>
      </c>
      <c r="F487">
        <v>1</v>
      </c>
      <c r="G487" t="s">
        <v>52</v>
      </c>
      <c r="H487" t="s">
        <v>110</v>
      </c>
      <c r="I487">
        <v>7</v>
      </c>
      <c r="J487" s="19">
        <f>WEEKNUM(tblRidershipData[[#This Row],[MeasurementDate]])</f>
        <v>38</v>
      </c>
      <c r="K487" s="19">
        <f>MONTH(tblRidershipData[[#This Row],[MeasurementDate]])</f>
        <v>9</v>
      </c>
    </row>
    <row r="488" spans="1:11" x14ac:dyDescent="0.25">
      <c r="A488" s="31">
        <v>43724</v>
      </c>
      <c r="B488" t="s">
        <v>2</v>
      </c>
      <c r="C488">
        <v>6553</v>
      </c>
      <c r="D488" t="s">
        <v>100</v>
      </c>
      <c r="E488" t="s">
        <v>109</v>
      </c>
      <c r="F488">
        <v>1</v>
      </c>
      <c r="G488" t="s">
        <v>61</v>
      </c>
      <c r="H488" t="s">
        <v>110</v>
      </c>
      <c r="I488">
        <v>14</v>
      </c>
      <c r="J488" s="19">
        <f>WEEKNUM(tblRidershipData[[#This Row],[MeasurementDate]])</f>
        <v>38</v>
      </c>
      <c r="K488" s="19">
        <f>MONTH(tblRidershipData[[#This Row],[MeasurementDate]])</f>
        <v>9</v>
      </c>
    </row>
    <row r="489" spans="1:11" x14ac:dyDescent="0.25">
      <c r="A489" s="31">
        <v>43724</v>
      </c>
      <c r="B489" t="s">
        <v>2</v>
      </c>
      <c r="C489">
        <v>6553</v>
      </c>
      <c r="D489" t="s">
        <v>100</v>
      </c>
      <c r="E489" t="s">
        <v>109</v>
      </c>
      <c r="F489">
        <v>1</v>
      </c>
      <c r="G489" t="s">
        <v>70</v>
      </c>
      <c r="H489" t="s">
        <v>110</v>
      </c>
      <c r="I489">
        <v>1</v>
      </c>
      <c r="J489" s="19">
        <f>WEEKNUM(tblRidershipData[[#This Row],[MeasurementDate]])</f>
        <v>38</v>
      </c>
      <c r="K489" s="19">
        <f>MONTH(tblRidershipData[[#This Row],[MeasurementDate]])</f>
        <v>9</v>
      </c>
    </row>
    <row r="490" spans="1:11" x14ac:dyDescent="0.25">
      <c r="A490" s="31">
        <v>43724</v>
      </c>
      <c r="B490" t="s">
        <v>2</v>
      </c>
      <c r="C490">
        <v>6553</v>
      </c>
      <c r="D490" t="s">
        <v>100</v>
      </c>
      <c r="E490" t="s">
        <v>109</v>
      </c>
      <c r="F490">
        <v>1</v>
      </c>
      <c r="G490" t="s">
        <v>72</v>
      </c>
      <c r="H490" t="s">
        <v>110</v>
      </c>
      <c r="I490">
        <v>3</v>
      </c>
      <c r="J490" s="19">
        <f>WEEKNUM(tblRidershipData[[#This Row],[MeasurementDate]])</f>
        <v>38</v>
      </c>
      <c r="K490" s="19">
        <f>MONTH(tblRidershipData[[#This Row],[MeasurementDate]])</f>
        <v>9</v>
      </c>
    </row>
    <row r="491" spans="1:11" x14ac:dyDescent="0.25">
      <c r="A491" s="31">
        <v>43724</v>
      </c>
      <c r="B491" t="s">
        <v>2</v>
      </c>
      <c r="C491">
        <v>6553</v>
      </c>
      <c r="D491" t="s">
        <v>100</v>
      </c>
      <c r="E491" t="s">
        <v>109</v>
      </c>
      <c r="F491">
        <v>1</v>
      </c>
      <c r="G491" t="s">
        <v>73</v>
      </c>
      <c r="H491" t="s">
        <v>110</v>
      </c>
      <c r="I491">
        <v>30</v>
      </c>
      <c r="J491" s="19">
        <f>WEEKNUM(tblRidershipData[[#This Row],[MeasurementDate]])</f>
        <v>38</v>
      </c>
      <c r="K491" s="19">
        <f>MONTH(tblRidershipData[[#This Row],[MeasurementDate]])</f>
        <v>9</v>
      </c>
    </row>
    <row r="492" spans="1:11" x14ac:dyDescent="0.25">
      <c r="A492" s="31">
        <v>43724</v>
      </c>
      <c r="B492" t="s">
        <v>2</v>
      </c>
      <c r="C492">
        <v>8311</v>
      </c>
      <c r="D492" t="s">
        <v>98</v>
      </c>
      <c r="E492" t="s">
        <v>111</v>
      </c>
      <c r="F492">
        <v>1</v>
      </c>
      <c r="G492" t="s">
        <v>43</v>
      </c>
      <c r="H492" t="s">
        <v>110</v>
      </c>
      <c r="I492">
        <v>17</v>
      </c>
      <c r="J492" s="19">
        <f>WEEKNUM(tblRidershipData[[#This Row],[MeasurementDate]])</f>
        <v>38</v>
      </c>
      <c r="K492" s="19">
        <f>MONTH(tblRidershipData[[#This Row],[MeasurementDate]])</f>
        <v>9</v>
      </c>
    </row>
    <row r="493" spans="1:11" x14ac:dyDescent="0.25">
      <c r="A493" s="31">
        <v>43724</v>
      </c>
      <c r="B493" t="s">
        <v>2</v>
      </c>
      <c r="C493">
        <v>8311</v>
      </c>
      <c r="D493" t="s">
        <v>98</v>
      </c>
      <c r="E493" t="s">
        <v>111</v>
      </c>
      <c r="F493">
        <v>1</v>
      </c>
      <c r="G493" t="s">
        <v>45</v>
      </c>
      <c r="H493" t="s">
        <v>110</v>
      </c>
      <c r="I493">
        <v>4</v>
      </c>
      <c r="J493" s="19">
        <f>WEEKNUM(tblRidershipData[[#This Row],[MeasurementDate]])</f>
        <v>38</v>
      </c>
      <c r="K493" s="19">
        <f>MONTH(tblRidershipData[[#This Row],[MeasurementDate]])</f>
        <v>9</v>
      </c>
    </row>
    <row r="494" spans="1:11" x14ac:dyDescent="0.25">
      <c r="A494" s="31">
        <v>43724</v>
      </c>
      <c r="B494" t="s">
        <v>2</v>
      </c>
      <c r="C494">
        <v>8311</v>
      </c>
      <c r="D494" t="s">
        <v>98</v>
      </c>
      <c r="E494" t="s">
        <v>111</v>
      </c>
      <c r="F494">
        <v>1</v>
      </c>
      <c r="G494" t="s">
        <v>47</v>
      </c>
      <c r="H494" t="s">
        <v>110</v>
      </c>
      <c r="I494">
        <v>3</v>
      </c>
      <c r="J494" s="19">
        <f>WEEKNUM(tblRidershipData[[#This Row],[MeasurementDate]])</f>
        <v>38</v>
      </c>
      <c r="K494" s="19">
        <f>MONTH(tblRidershipData[[#This Row],[MeasurementDate]])</f>
        <v>9</v>
      </c>
    </row>
    <row r="495" spans="1:11" x14ac:dyDescent="0.25">
      <c r="A495" s="31">
        <v>43724</v>
      </c>
      <c r="B495" t="s">
        <v>2</v>
      </c>
      <c r="C495">
        <v>8311</v>
      </c>
      <c r="D495" t="s">
        <v>98</v>
      </c>
      <c r="E495" t="s">
        <v>111</v>
      </c>
      <c r="F495">
        <v>1</v>
      </c>
      <c r="G495" t="s">
        <v>55</v>
      </c>
      <c r="H495" t="s">
        <v>110</v>
      </c>
      <c r="I495">
        <v>9</v>
      </c>
      <c r="J495" s="19">
        <f>WEEKNUM(tblRidershipData[[#This Row],[MeasurementDate]])</f>
        <v>38</v>
      </c>
      <c r="K495" s="19">
        <f>MONTH(tblRidershipData[[#This Row],[MeasurementDate]])</f>
        <v>9</v>
      </c>
    </row>
    <row r="496" spans="1:11" x14ac:dyDescent="0.25">
      <c r="A496" s="31">
        <v>43724</v>
      </c>
      <c r="B496" t="s">
        <v>2</v>
      </c>
      <c r="C496">
        <v>8311</v>
      </c>
      <c r="D496" t="s">
        <v>98</v>
      </c>
      <c r="E496" t="s">
        <v>111</v>
      </c>
      <c r="F496">
        <v>1</v>
      </c>
      <c r="G496" t="s">
        <v>59</v>
      </c>
      <c r="H496" t="s">
        <v>110</v>
      </c>
      <c r="I496">
        <v>3</v>
      </c>
      <c r="J496" s="19">
        <f>WEEKNUM(tblRidershipData[[#This Row],[MeasurementDate]])</f>
        <v>38</v>
      </c>
      <c r="K496" s="19">
        <f>MONTH(tblRidershipData[[#This Row],[MeasurementDate]])</f>
        <v>9</v>
      </c>
    </row>
    <row r="497" spans="1:11" x14ac:dyDescent="0.25">
      <c r="A497" s="31">
        <v>43724</v>
      </c>
      <c r="B497" t="s">
        <v>2</v>
      </c>
      <c r="C497">
        <v>8311</v>
      </c>
      <c r="D497" t="s">
        <v>98</v>
      </c>
      <c r="E497" t="s">
        <v>111</v>
      </c>
      <c r="F497">
        <v>1</v>
      </c>
      <c r="G497" t="s">
        <v>67</v>
      </c>
      <c r="H497" t="s">
        <v>110</v>
      </c>
      <c r="I497">
        <v>3</v>
      </c>
      <c r="J497" s="19">
        <f>WEEKNUM(tblRidershipData[[#This Row],[MeasurementDate]])</f>
        <v>38</v>
      </c>
      <c r="K497" s="19">
        <f>MONTH(tblRidershipData[[#This Row],[MeasurementDate]])</f>
        <v>9</v>
      </c>
    </row>
    <row r="498" spans="1:11" x14ac:dyDescent="0.25">
      <c r="A498" s="31">
        <v>43724</v>
      </c>
      <c r="B498" t="s">
        <v>2</v>
      </c>
      <c r="C498">
        <v>8311</v>
      </c>
      <c r="D498" t="s">
        <v>98</v>
      </c>
      <c r="E498" t="s">
        <v>111</v>
      </c>
      <c r="F498">
        <v>1</v>
      </c>
      <c r="G498" t="s">
        <v>69</v>
      </c>
      <c r="H498" t="s">
        <v>110</v>
      </c>
      <c r="I498">
        <v>2</v>
      </c>
      <c r="J498" s="19">
        <f>WEEKNUM(tblRidershipData[[#This Row],[MeasurementDate]])</f>
        <v>38</v>
      </c>
      <c r="K498" s="19">
        <f>MONTH(tblRidershipData[[#This Row],[MeasurementDate]])</f>
        <v>9</v>
      </c>
    </row>
    <row r="499" spans="1:11" x14ac:dyDescent="0.25">
      <c r="A499" s="31">
        <v>43724</v>
      </c>
      <c r="B499" t="s">
        <v>2</v>
      </c>
      <c r="C499">
        <v>8311</v>
      </c>
      <c r="D499" t="s">
        <v>98</v>
      </c>
      <c r="E499" t="s">
        <v>111</v>
      </c>
      <c r="F499">
        <v>2</v>
      </c>
      <c r="G499" t="s">
        <v>47</v>
      </c>
      <c r="H499" t="s">
        <v>110</v>
      </c>
      <c r="I499">
        <v>3</v>
      </c>
      <c r="J499" s="19">
        <f>WEEKNUM(tblRidershipData[[#This Row],[MeasurementDate]])</f>
        <v>38</v>
      </c>
      <c r="K499" s="19">
        <f>MONTH(tblRidershipData[[#This Row],[MeasurementDate]])</f>
        <v>9</v>
      </c>
    </row>
    <row r="500" spans="1:11" x14ac:dyDescent="0.25">
      <c r="A500" s="31">
        <v>43724</v>
      </c>
      <c r="B500" t="s">
        <v>2</v>
      </c>
      <c r="C500">
        <v>8311</v>
      </c>
      <c r="D500" t="s">
        <v>98</v>
      </c>
      <c r="E500" t="s">
        <v>111</v>
      </c>
      <c r="F500">
        <v>2</v>
      </c>
      <c r="G500" t="s">
        <v>55</v>
      </c>
      <c r="H500" t="s">
        <v>110</v>
      </c>
      <c r="I500">
        <v>1</v>
      </c>
      <c r="J500" s="19">
        <f>WEEKNUM(tblRidershipData[[#This Row],[MeasurementDate]])</f>
        <v>38</v>
      </c>
      <c r="K500" s="19">
        <f>MONTH(tblRidershipData[[#This Row],[MeasurementDate]])</f>
        <v>9</v>
      </c>
    </row>
    <row r="501" spans="1:11" x14ac:dyDescent="0.25">
      <c r="A501" s="31">
        <v>43724</v>
      </c>
      <c r="B501" t="s">
        <v>2</v>
      </c>
      <c r="C501">
        <v>8311</v>
      </c>
      <c r="D501" t="s">
        <v>98</v>
      </c>
      <c r="E501" t="s">
        <v>111</v>
      </c>
      <c r="F501">
        <v>2</v>
      </c>
      <c r="G501" t="s">
        <v>67</v>
      </c>
      <c r="H501" t="s">
        <v>110</v>
      </c>
      <c r="I501">
        <v>2</v>
      </c>
      <c r="J501" s="19">
        <f>WEEKNUM(tblRidershipData[[#This Row],[MeasurementDate]])</f>
        <v>38</v>
      </c>
      <c r="K501" s="19">
        <f>MONTH(tblRidershipData[[#This Row],[MeasurementDate]])</f>
        <v>9</v>
      </c>
    </row>
    <row r="502" spans="1:11" x14ac:dyDescent="0.25">
      <c r="A502" s="31">
        <v>43724</v>
      </c>
      <c r="B502" t="s">
        <v>2</v>
      </c>
      <c r="C502">
        <v>8311</v>
      </c>
      <c r="D502" t="s">
        <v>98</v>
      </c>
      <c r="E502" t="s">
        <v>109</v>
      </c>
      <c r="F502">
        <v>1</v>
      </c>
      <c r="G502" t="s">
        <v>67</v>
      </c>
      <c r="H502" t="s">
        <v>110</v>
      </c>
      <c r="I502">
        <v>42</v>
      </c>
      <c r="J502" s="19">
        <f>WEEKNUM(tblRidershipData[[#This Row],[MeasurementDate]])</f>
        <v>38</v>
      </c>
      <c r="K502" s="19">
        <f>MONTH(tblRidershipData[[#This Row],[MeasurementDate]])</f>
        <v>9</v>
      </c>
    </row>
    <row r="503" spans="1:11" x14ac:dyDescent="0.25">
      <c r="A503" s="31">
        <v>43724</v>
      </c>
      <c r="B503" t="s">
        <v>2</v>
      </c>
      <c r="C503">
        <v>8311</v>
      </c>
      <c r="D503" t="s">
        <v>98</v>
      </c>
      <c r="E503" t="s">
        <v>109</v>
      </c>
      <c r="F503">
        <v>1</v>
      </c>
      <c r="G503" t="s">
        <v>73</v>
      </c>
      <c r="H503" t="s">
        <v>110</v>
      </c>
      <c r="I503">
        <v>42</v>
      </c>
      <c r="J503" s="19">
        <f>WEEKNUM(tblRidershipData[[#This Row],[MeasurementDate]])</f>
        <v>38</v>
      </c>
      <c r="K503" s="19">
        <f>MONTH(tblRidershipData[[#This Row],[MeasurementDate]])</f>
        <v>9</v>
      </c>
    </row>
    <row r="504" spans="1:11" x14ac:dyDescent="0.25">
      <c r="A504" s="31">
        <v>43724</v>
      </c>
      <c r="B504" t="s">
        <v>2</v>
      </c>
      <c r="C504">
        <v>8311</v>
      </c>
      <c r="D504" t="s">
        <v>98</v>
      </c>
      <c r="E504" t="s">
        <v>109</v>
      </c>
      <c r="F504">
        <v>1</v>
      </c>
      <c r="G504" t="s">
        <v>74</v>
      </c>
      <c r="H504" t="s">
        <v>110</v>
      </c>
      <c r="I504">
        <v>2</v>
      </c>
      <c r="J504" s="19">
        <f>WEEKNUM(tblRidershipData[[#This Row],[MeasurementDate]])</f>
        <v>38</v>
      </c>
      <c r="K504" s="19">
        <f>MONTH(tblRidershipData[[#This Row],[MeasurementDate]])</f>
        <v>9</v>
      </c>
    </row>
    <row r="505" spans="1:11" x14ac:dyDescent="0.25">
      <c r="A505" s="31">
        <v>43724</v>
      </c>
      <c r="B505" t="s">
        <v>2</v>
      </c>
      <c r="C505">
        <v>8311</v>
      </c>
      <c r="D505" t="s">
        <v>98</v>
      </c>
      <c r="E505" t="s">
        <v>109</v>
      </c>
      <c r="F505">
        <v>2</v>
      </c>
      <c r="G505" t="s">
        <v>67</v>
      </c>
      <c r="H505" t="s">
        <v>110</v>
      </c>
      <c r="I505">
        <v>1</v>
      </c>
      <c r="J505" s="19">
        <f>WEEKNUM(tblRidershipData[[#This Row],[MeasurementDate]])</f>
        <v>38</v>
      </c>
      <c r="K505" s="19">
        <f>MONTH(tblRidershipData[[#This Row],[MeasurementDate]])</f>
        <v>9</v>
      </c>
    </row>
    <row r="506" spans="1:11" x14ac:dyDescent="0.25">
      <c r="A506" s="31">
        <v>43724</v>
      </c>
      <c r="B506" t="s">
        <v>2</v>
      </c>
      <c r="C506">
        <v>8311</v>
      </c>
      <c r="D506" t="s">
        <v>98</v>
      </c>
      <c r="E506" t="s">
        <v>109</v>
      </c>
      <c r="F506">
        <v>2</v>
      </c>
      <c r="G506" t="s">
        <v>74</v>
      </c>
      <c r="H506" t="s">
        <v>110</v>
      </c>
      <c r="I506">
        <v>2</v>
      </c>
      <c r="J506" s="19">
        <f>WEEKNUM(tblRidershipData[[#This Row],[MeasurementDate]])</f>
        <v>38</v>
      </c>
      <c r="K506" s="19">
        <f>MONTH(tblRidershipData[[#This Row],[MeasurementDate]])</f>
        <v>9</v>
      </c>
    </row>
    <row r="507" spans="1:11" x14ac:dyDescent="0.25">
      <c r="A507" s="31">
        <v>43724</v>
      </c>
      <c r="B507" t="s">
        <v>2</v>
      </c>
      <c r="C507">
        <v>8311</v>
      </c>
      <c r="D507" t="s">
        <v>98</v>
      </c>
      <c r="E507" t="s">
        <v>111</v>
      </c>
      <c r="F507">
        <v>1</v>
      </c>
      <c r="G507" t="s">
        <v>52</v>
      </c>
      <c r="H507" t="s">
        <v>112</v>
      </c>
      <c r="I507">
        <v>4</v>
      </c>
      <c r="J507" s="19">
        <f>WEEKNUM(tblRidershipData[[#This Row],[MeasurementDate]])</f>
        <v>38</v>
      </c>
      <c r="K507" s="19">
        <f>MONTH(tblRidershipData[[#This Row],[MeasurementDate]])</f>
        <v>9</v>
      </c>
    </row>
    <row r="508" spans="1:11" x14ac:dyDescent="0.25">
      <c r="A508" s="31">
        <v>43724</v>
      </c>
      <c r="B508" t="s">
        <v>2</v>
      </c>
      <c r="C508">
        <v>8311</v>
      </c>
      <c r="D508" t="s">
        <v>98</v>
      </c>
      <c r="E508" t="s">
        <v>111</v>
      </c>
      <c r="F508">
        <v>1</v>
      </c>
      <c r="G508" t="s">
        <v>55</v>
      </c>
      <c r="H508" t="s">
        <v>112</v>
      </c>
      <c r="I508">
        <v>2</v>
      </c>
      <c r="J508" s="19">
        <f>WEEKNUM(tblRidershipData[[#This Row],[MeasurementDate]])</f>
        <v>38</v>
      </c>
      <c r="K508" s="19">
        <f>MONTH(tblRidershipData[[#This Row],[MeasurementDate]])</f>
        <v>9</v>
      </c>
    </row>
    <row r="509" spans="1:11" x14ac:dyDescent="0.25">
      <c r="A509" s="31">
        <v>43724</v>
      </c>
      <c r="B509" t="s">
        <v>2</v>
      </c>
      <c r="C509">
        <v>8311</v>
      </c>
      <c r="D509" t="s">
        <v>98</v>
      </c>
      <c r="E509" t="s">
        <v>111</v>
      </c>
      <c r="F509">
        <v>1</v>
      </c>
      <c r="G509" t="s">
        <v>67</v>
      </c>
      <c r="H509" t="s">
        <v>112</v>
      </c>
      <c r="I509">
        <v>28</v>
      </c>
      <c r="J509" s="19">
        <f>WEEKNUM(tblRidershipData[[#This Row],[MeasurementDate]])</f>
        <v>38</v>
      </c>
      <c r="K509" s="19">
        <f>MONTH(tblRidershipData[[#This Row],[MeasurementDate]])</f>
        <v>9</v>
      </c>
    </row>
    <row r="510" spans="1:11" x14ac:dyDescent="0.25">
      <c r="A510" s="31">
        <v>43724</v>
      </c>
      <c r="B510" t="s">
        <v>2</v>
      </c>
      <c r="C510">
        <v>8311</v>
      </c>
      <c r="D510" t="s">
        <v>98</v>
      </c>
      <c r="E510" t="s">
        <v>111</v>
      </c>
      <c r="F510">
        <v>1</v>
      </c>
      <c r="G510" t="s">
        <v>73</v>
      </c>
      <c r="H510" t="s">
        <v>112</v>
      </c>
      <c r="I510">
        <v>14</v>
      </c>
      <c r="J510" s="19">
        <f>WEEKNUM(tblRidershipData[[#This Row],[MeasurementDate]])</f>
        <v>38</v>
      </c>
      <c r="K510" s="19">
        <f>MONTH(tblRidershipData[[#This Row],[MeasurementDate]])</f>
        <v>9</v>
      </c>
    </row>
    <row r="511" spans="1:11" x14ac:dyDescent="0.25">
      <c r="A511" s="31">
        <v>43724</v>
      </c>
      <c r="B511" t="s">
        <v>2</v>
      </c>
      <c r="C511">
        <v>8311</v>
      </c>
      <c r="D511" t="s">
        <v>98</v>
      </c>
      <c r="E511" t="s">
        <v>111</v>
      </c>
      <c r="F511">
        <v>2</v>
      </c>
      <c r="G511" t="s">
        <v>67</v>
      </c>
      <c r="H511" t="s">
        <v>112</v>
      </c>
      <c r="I511">
        <v>1</v>
      </c>
      <c r="J511" s="19">
        <f>WEEKNUM(tblRidershipData[[#This Row],[MeasurementDate]])</f>
        <v>38</v>
      </c>
      <c r="K511" s="19">
        <f>MONTH(tblRidershipData[[#This Row],[MeasurementDate]])</f>
        <v>9</v>
      </c>
    </row>
    <row r="512" spans="1:11" x14ac:dyDescent="0.25">
      <c r="A512" s="31">
        <v>43724</v>
      </c>
      <c r="B512" t="s">
        <v>2</v>
      </c>
      <c r="C512">
        <v>8311</v>
      </c>
      <c r="D512" t="s">
        <v>98</v>
      </c>
      <c r="E512" t="s">
        <v>109</v>
      </c>
      <c r="F512">
        <v>1</v>
      </c>
      <c r="G512" t="s">
        <v>46</v>
      </c>
      <c r="H512" t="s">
        <v>112</v>
      </c>
      <c r="I512">
        <v>37</v>
      </c>
      <c r="J512" s="19">
        <f>WEEKNUM(tblRidershipData[[#This Row],[MeasurementDate]])</f>
        <v>38</v>
      </c>
      <c r="K512" s="19">
        <f>MONTH(tblRidershipData[[#This Row],[MeasurementDate]])</f>
        <v>9</v>
      </c>
    </row>
    <row r="513" spans="1:11" x14ac:dyDescent="0.25">
      <c r="A513" s="31">
        <v>43724</v>
      </c>
      <c r="B513" t="s">
        <v>2</v>
      </c>
      <c r="C513">
        <v>8311</v>
      </c>
      <c r="D513" t="s">
        <v>98</v>
      </c>
      <c r="E513" t="s">
        <v>109</v>
      </c>
      <c r="F513">
        <v>1</v>
      </c>
      <c r="G513" t="s">
        <v>50</v>
      </c>
      <c r="H513" t="s">
        <v>112</v>
      </c>
      <c r="I513">
        <v>2</v>
      </c>
      <c r="J513" s="19">
        <f>WEEKNUM(tblRidershipData[[#This Row],[MeasurementDate]])</f>
        <v>38</v>
      </c>
      <c r="K513" s="19">
        <f>MONTH(tblRidershipData[[#This Row],[MeasurementDate]])</f>
        <v>9</v>
      </c>
    </row>
    <row r="514" spans="1:11" x14ac:dyDescent="0.25">
      <c r="A514" s="31">
        <v>43724</v>
      </c>
      <c r="B514" t="s">
        <v>2</v>
      </c>
      <c r="C514">
        <v>8311</v>
      </c>
      <c r="D514" t="s">
        <v>98</v>
      </c>
      <c r="E514" t="s">
        <v>109</v>
      </c>
      <c r="F514">
        <v>1</v>
      </c>
      <c r="G514" t="s">
        <v>62</v>
      </c>
      <c r="H514" t="s">
        <v>112</v>
      </c>
      <c r="I514">
        <v>6</v>
      </c>
      <c r="J514" s="19">
        <f>WEEKNUM(tblRidershipData[[#This Row],[MeasurementDate]])</f>
        <v>38</v>
      </c>
      <c r="K514" s="19">
        <f>MONTH(tblRidershipData[[#This Row],[MeasurementDate]])</f>
        <v>9</v>
      </c>
    </row>
    <row r="515" spans="1:11" x14ac:dyDescent="0.25">
      <c r="A515" s="31">
        <v>43724</v>
      </c>
      <c r="B515" t="s">
        <v>2</v>
      </c>
      <c r="C515">
        <v>8311</v>
      </c>
      <c r="D515" t="s">
        <v>98</v>
      </c>
      <c r="E515" t="s">
        <v>109</v>
      </c>
      <c r="F515">
        <v>1</v>
      </c>
      <c r="G515" t="s">
        <v>63</v>
      </c>
      <c r="H515" t="s">
        <v>112</v>
      </c>
      <c r="I515">
        <v>1</v>
      </c>
      <c r="J515" s="19">
        <f>WEEKNUM(tblRidershipData[[#This Row],[MeasurementDate]])</f>
        <v>38</v>
      </c>
      <c r="K515" s="19">
        <f>MONTH(tblRidershipData[[#This Row],[MeasurementDate]])</f>
        <v>9</v>
      </c>
    </row>
    <row r="516" spans="1:11" x14ac:dyDescent="0.25">
      <c r="A516" s="31">
        <v>43724</v>
      </c>
      <c r="B516" t="s">
        <v>2</v>
      </c>
      <c r="C516">
        <v>8311</v>
      </c>
      <c r="D516" t="s">
        <v>98</v>
      </c>
      <c r="E516" t="s">
        <v>109</v>
      </c>
      <c r="F516">
        <v>1</v>
      </c>
      <c r="G516" t="s">
        <v>64</v>
      </c>
      <c r="H516" t="s">
        <v>112</v>
      </c>
      <c r="I516">
        <v>10</v>
      </c>
      <c r="J516" s="19">
        <f>WEEKNUM(tblRidershipData[[#This Row],[MeasurementDate]])</f>
        <v>38</v>
      </c>
      <c r="K516" s="19">
        <f>MONTH(tblRidershipData[[#This Row],[MeasurementDate]])</f>
        <v>9</v>
      </c>
    </row>
    <row r="517" spans="1:11" x14ac:dyDescent="0.25">
      <c r="A517" s="31">
        <v>43724</v>
      </c>
      <c r="B517" t="s">
        <v>2</v>
      </c>
      <c r="C517">
        <v>8311</v>
      </c>
      <c r="D517" t="s">
        <v>98</v>
      </c>
      <c r="E517" t="s">
        <v>109</v>
      </c>
      <c r="F517">
        <v>1</v>
      </c>
      <c r="G517" t="s">
        <v>67</v>
      </c>
      <c r="H517" t="s">
        <v>112</v>
      </c>
      <c r="I517">
        <v>12</v>
      </c>
      <c r="J517" s="19">
        <f>WEEKNUM(tblRidershipData[[#This Row],[MeasurementDate]])</f>
        <v>38</v>
      </c>
      <c r="K517" s="19">
        <f>MONTH(tblRidershipData[[#This Row],[MeasurementDate]])</f>
        <v>9</v>
      </c>
    </row>
    <row r="518" spans="1:11" x14ac:dyDescent="0.25">
      <c r="A518" s="31">
        <v>43724</v>
      </c>
      <c r="B518" t="s">
        <v>2</v>
      </c>
      <c r="C518">
        <v>8311</v>
      </c>
      <c r="D518" t="s">
        <v>98</v>
      </c>
      <c r="E518" t="s">
        <v>109</v>
      </c>
      <c r="F518">
        <v>1</v>
      </c>
      <c r="G518" t="s">
        <v>72</v>
      </c>
      <c r="H518" t="s">
        <v>112</v>
      </c>
      <c r="I518">
        <v>14</v>
      </c>
      <c r="J518" s="19">
        <f>WEEKNUM(tblRidershipData[[#This Row],[MeasurementDate]])</f>
        <v>38</v>
      </c>
      <c r="K518" s="19">
        <f>MONTH(tblRidershipData[[#This Row],[MeasurementDate]])</f>
        <v>9</v>
      </c>
    </row>
    <row r="519" spans="1:11" x14ac:dyDescent="0.25">
      <c r="A519" s="31">
        <v>43724</v>
      </c>
      <c r="B519" t="s">
        <v>2</v>
      </c>
      <c r="C519">
        <v>8311</v>
      </c>
      <c r="D519" t="s">
        <v>98</v>
      </c>
      <c r="E519" t="s">
        <v>109</v>
      </c>
      <c r="F519">
        <v>1</v>
      </c>
      <c r="G519" t="s">
        <v>73</v>
      </c>
      <c r="H519" t="s">
        <v>112</v>
      </c>
      <c r="I519">
        <v>5</v>
      </c>
      <c r="J519" s="19">
        <f>WEEKNUM(tblRidershipData[[#This Row],[MeasurementDate]])</f>
        <v>38</v>
      </c>
      <c r="K519" s="19">
        <f>MONTH(tblRidershipData[[#This Row],[MeasurementDate]])</f>
        <v>9</v>
      </c>
    </row>
    <row r="520" spans="1:11" x14ac:dyDescent="0.25">
      <c r="A520" s="31">
        <v>43724</v>
      </c>
      <c r="B520" t="s">
        <v>2</v>
      </c>
      <c r="C520">
        <v>8311</v>
      </c>
      <c r="D520" t="s">
        <v>98</v>
      </c>
      <c r="E520" t="s">
        <v>109</v>
      </c>
      <c r="F520">
        <v>2</v>
      </c>
      <c r="G520" t="s">
        <v>64</v>
      </c>
      <c r="H520" t="s">
        <v>112</v>
      </c>
      <c r="I520">
        <v>2</v>
      </c>
      <c r="J520" s="19">
        <f>WEEKNUM(tblRidershipData[[#This Row],[MeasurementDate]])</f>
        <v>38</v>
      </c>
      <c r="K520" s="19">
        <f>MONTH(tblRidershipData[[#This Row],[MeasurementDate]])</f>
        <v>9</v>
      </c>
    </row>
    <row r="521" spans="1:11" x14ac:dyDescent="0.25">
      <c r="A521" s="31">
        <v>43724</v>
      </c>
      <c r="B521" t="s">
        <v>2</v>
      </c>
      <c r="C521">
        <v>9305</v>
      </c>
      <c r="D521" t="s">
        <v>97</v>
      </c>
      <c r="E521" t="s">
        <v>111</v>
      </c>
      <c r="F521">
        <v>1</v>
      </c>
      <c r="G521" t="s">
        <v>45</v>
      </c>
      <c r="H521" t="s">
        <v>110</v>
      </c>
      <c r="I521">
        <v>4</v>
      </c>
      <c r="J521" s="19">
        <f>WEEKNUM(tblRidershipData[[#This Row],[MeasurementDate]])</f>
        <v>38</v>
      </c>
      <c r="K521" s="19">
        <f>MONTH(tblRidershipData[[#This Row],[MeasurementDate]])</f>
        <v>9</v>
      </c>
    </row>
    <row r="522" spans="1:11" x14ac:dyDescent="0.25">
      <c r="A522" s="31">
        <v>43724</v>
      </c>
      <c r="B522" t="s">
        <v>2</v>
      </c>
      <c r="C522">
        <v>9305</v>
      </c>
      <c r="D522" t="s">
        <v>97</v>
      </c>
      <c r="E522" t="s">
        <v>111</v>
      </c>
      <c r="F522">
        <v>1</v>
      </c>
      <c r="G522" t="s">
        <v>48</v>
      </c>
      <c r="H522" t="s">
        <v>110</v>
      </c>
      <c r="I522">
        <v>7</v>
      </c>
      <c r="J522" s="19">
        <f>WEEKNUM(tblRidershipData[[#This Row],[MeasurementDate]])</f>
        <v>38</v>
      </c>
      <c r="K522" s="19">
        <f>MONTH(tblRidershipData[[#This Row],[MeasurementDate]])</f>
        <v>9</v>
      </c>
    </row>
    <row r="523" spans="1:11" x14ac:dyDescent="0.25">
      <c r="A523" s="31">
        <v>43724</v>
      </c>
      <c r="B523" t="s">
        <v>2</v>
      </c>
      <c r="C523">
        <v>9305</v>
      </c>
      <c r="D523" t="s">
        <v>97</v>
      </c>
      <c r="E523" t="s">
        <v>111</v>
      </c>
      <c r="F523">
        <v>1</v>
      </c>
      <c r="G523" t="s">
        <v>50</v>
      </c>
      <c r="H523" t="s">
        <v>110</v>
      </c>
      <c r="I523">
        <v>7</v>
      </c>
      <c r="J523" s="19">
        <f>WEEKNUM(tblRidershipData[[#This Row],[MeasurementDate]])</f>
        <v>38</v>
      </c>
      <c r="K523" s="19">
        <f>MONTH(tblRidershipData[[#This Row],[MeasurementDate]])</f>
        <v>9</v>
      </c>
    </row>
    <row r="524" spans="1:11" x14ac:dyDescent="0.25">
      <c r="A524" s="31">
        <v>43724</v>
      </c>
      <c r="B524" t="s">
        <v>2</v>
      </c>
      <c r="C524">
        <v>9305</v>
      </c>
      <c r="D524" t="s">
        <v>97</v>
      </c>
      <c r="E524" t="s">
        <v>111</v>
      </c>
      <c r="F524">
        <v>1</v>
      </c>
      <c r="G524" t="s">
        <v>54</v>
      </c>
      <c r="H524" t="s">
        <v>110</v>
      </c>
      <c r="I524">
        <v>17</v>
      </c>
      <c r="J524" s="19">
        <f>WEEKNUM(tblRidershipData[[#This Row],[MeasurementDate]])</f>
        <v>38</v>
      </c>
      <c r="K524" s="19">
        <f>MONTH(tblRidershipData[[#This Row],[MeasurementDate]])</f>
        <v>9</v>
      </c>
    </row>
    <row r="525" spans="1:11" x14ac:dyDescent="0.25">
      <c r="A525" s="31">
        <v>43724</v>
      </c>
      <c r="B525" t="s">
        <v>2</v>
      </c>
      <c r="C525">
        <v>9305</v>
      </c>
      <c r="D525" t="s">
        <v>97</v>
      </c>
      <c r="E525" t="s">
        <v>111</v>
      </c>
      <c r="F525">
        <v>1</v>
      </c>
      <c r="G525" t="s">
        <v>56</v>
      </c>
      <c r="H525" t="s">
        <v>110</v>
      </c>
      <c r="I525">
        <v>8</v>
      </c>
      <c r="J525" s="19">
        <f>WEEKNUM(tblRidershipData[[#This Row],[MeasurementDate]])</f>
        <v>38</v>
      </c>
      <c r="K525" s="19">
        <f>MONTH(tblRidershipData[[#This Row],[MeasurementDate]])</f>
        <v>9</v>
      </c>
    </row>
    <row r="526" spans="1:11" x14ac:dyDescent="0.25">
      <c r="A526" s="31">
        <v>43724</v>
      </c>
      <c r="B526" t="s">
        <v>2</v>
      </c>
      <c r="C526">
        <v>9305</v>
      </c>
      <c r="D526" t="s">
        <v>97</v>
      </c>
      <c r="E526" t="s">
        <v>111</v>
      </c>
      <c r="F526">
        <v>1</v>
      </c>
      <c r="G526" t="s">
        <v>62</v>
      </c>
      <c r="H526" t="s">
        <v>110</v>
      </c>
      <c r="I526">
        <v>2</v>
      </c>
      <c r="J526" s="19">
        <f>WEEKNUM(tblRidershipData[[#This Row],[MeasurementDate]])</f>
        <v>38</v>
      </c>
      <c r="K526" s="19">
        <f>MONTH(tblRidershipData[[#This Row],[MeasurementDate]])</f>
        <v>9</v>
      </c>
    </row>
    <row r="527" spans="1:11" x14ac:dyDescent="0.25">
      <c r="A527" s="31">
        <v>43724</v>
      </c>
      <c r="B527" t="s">
        <v>2</v>
      </c>
      <c r="C527">
        <v>9305</v>
      </c>
      <c r="D527" t="s">
        <v>97</v>
      </c>
      <c r="E527" t="s">
        <v>111</v>
      </c>
      <c r="F527">
        <v>1</v>
      </c>
      <c r="G527" t="s">
        <v>63</v>
      </c>
      <c r="H527" t="s">
        <v>110</v>
      </c>
      <c r="I527">
        <v>1</v>
      </c>
      <c r="J527" s="19">
        <f>WEEKNUM(tblRidershipData[[#This Row],[MeasurementDate]])</f>
        <v>38</v>
      </c>
      <c r="K527" s="19">
        <f>MONTH(tblRidershipData[[#This Row],[MeasurementDate]])</f>
        <v>9</v>
      </c>
    </row>
    <row r="528" spans="1:11" x14ac:dyDescent="0.25">
      <c r="A528" s="31">
        <v>43724</v>
      </c>
      <c r="B528" t="s">
        <v>2</v>
      </c>
      <c r="C528">
        <v>9305</v>
      </c>
      <c r="D528" t="s">
        <v>97</v>
      </c>
      <c r="E528" t="s">
        <v>111</v>
      </c>
      <c r="F528">
        <v>1</v>
      </c>
      <c r="G528" t="s">
        <v>64</v>
      </c>
      <c r="H528" t="s">
        <v>110</v>
      </c>
      <c r="I528">
        <v>2</v>
      </c>
      <c r="J528" s="19">
        <f>WEEKNUM(tblRidershipData[[#This Row],[MeasurementDate]])</f>
        <v>38</v>
      </c>
      <c r="K528" s="19">
        <f>MONTH(tblRidershipData[[#This Row],[MeasurementDate]])</f>
        <v>9</v>
      </c>
    </row>
    <row r="529" spans="1:11" x14ac:dyDescent="0.25">
      <c r="A529" s="31">
        <v>43724</v>
      </c>
      <c r="B529" t="s">
        <v>2</v>
      </c>
      <c r="C529">
        <v>9305</v>
      </c>
      <c r="D529" t="s">
        <v>97</v>
      </c>
      <c r="E529" t="s">
        <v>111</v>
      </c>
      <c r="F529">
        <v>1</v>
      </c>
      <c r="G529" t="s">
        <v>67</v>
      </c>
      <c r="H529" t="s">
        <v>110</v>
      </c>
      <c r="I529">
        <v>10</v>
      </c>
      <c r="J529" s="19">
        <f>WEEKNUM(tblRidershipData[[#This Row],[MeasurementDate]])</f>
        <v>38</v>
      </c>
      <c r="K529" s="19">
        <f>MONTH(tblRidershipData[[#This Row],[MeasurementDate]])</f>
        <v>9</v>
      </c>
    </row>
    <row r="530" spans="1:11" x14ac:dyDescent="0.25">
      <c r="A530" s="31">
        <v>43724</v>
      </c>
      <c r="B530" t="s">
        <v>2</v>
      </c>
      <c r="C530">
        <v>9305</v>
      </c>
      <c r="D530" t="s">
        <v>97</v>
      </c>
      <c r="E530" t="s">
        <v>111</v>
      </c>
      <c r="F530">
        <v>1</v>
      </c>
      <c r="G530" t="s">
        <v>72</v>
      </c>
      <c r="H530" t="s">
        <v>110</v>
      </c>
      <c r="I530">
        <v>6</v>
      </c>
      <c r="J530" s="19">
        <f>WEEKNUM(tblRidershipData[[#This Row],[MeasurementDate]])</f>
        <v>38</v>
      </c>
      <c r="K530" s="19">
        <f>MONTH(tblRidershipData[[#This Row],[MeasurementDate]])</f>
        <v>9</v>
      </c>
    </row>
    <row r="531" spans="1:11" x14ac:dyDescent="0.25">
      <c r="A531" s="31">
        <v>43724</v>
      </c>
      <c r="B531" t="s">
        <v>2</v>
      </c>
      <c r="C531">
        <v>9305</v>
      </c>
      <c r="D531" t="s">
        <v>97</v>
      </c>
      <c r="E531" t="s">
        <v>111</v>
      </c>
      <c r="F531">
        <v>1</v>
      </c>
      <c r="G531" t="s">
        <v>77</v>
      </c>
      <c r="H531" t="s">
        <v>110</v>
      </c>
      <c r="I531">
        <v>4</v>
      </c>
      <c r="J531" s="19">
        <f>WEEKNUM(tblRidershipData[[#This Row],[MeasurementDate]])</f>
        <v>38</v>
      </c>
      <c r="K531" s="19">
        <f>MONTH(tblRidershipData[[#This Row],[MeasurementDate]])</f>
        <v>9</v>
      </c>
    </row>
    <row r="532" spans="1:11" x14ac:dyDescent="0.25">
      <c r="A532" s="31">
        <v>43724</v>
      </c>
      <c r="B532" t="s">
        <v>2</v>
      </c>
      <c r="C532">
        <v>9305</v>
      </c>
      <c r="D532" t="s">
        <v>97</v>
      </c>
      <c r="E532" t="s">
        <v>109</v>
      </c>
      <c r="F532">
        <v>1</v>
      </c>
      <c r="G532" t="s">
        <v>52</v>
      </c>
      <c r="H532" t="s">
        <v>110</v>
      </c>
      <c r="I532">
        <v>51</v>
      </c>
      <c r="J532" s="19">
        <f>WEEKNUM(tblRidershipData[[#This Row],[MeasurementDate]])</f>
        <v>38</v>
      </c>
      <c r="K532" s="19">
        <f>MONTH(tblRidershipData[[#This Row],[MeasurementDate]])</f>
        <v>9</v>
      </c>
    </row>
    <row r="533" spans="1:11" x14ac:dyDescent="0.25">
      <c r="A533" s="31">
        <v>43724</v>
      </c>
      <c r="B533" t="s">
        <v>2</v>
      </c>
      <c r="C533">
        <v>9305</v>
      </c>
      <c r="D533" t="s">
        <v>97</v>
      </c>
      <c r="E533" t="s">
        <v>109</v>
      </c>
      <c r="F533">
        <v>1</v>
      </c>
      <c r="G533" t="s">
        <v>55</v>
      </c>
      <c r="H533" t="s">
        <v>110</v>
      </c>
      <c r="I533">
        <v>8</v>
      </c>
      <c r="J533" s="19">
        <f>WEEKNUM(tblRidershipData[[#This Row],[MeasurementDate]])</f>
        <v>38</v>
      </c>
      <c r="K533" s="19">
        <f>MONTH(tblRidershipData[[#This Row],[MeasurementDate]])</f>
        <v>9</v>
      </c>
    </row>
    <row r="534" spans="1:11" x14ac:dyDescent="0.25">
      <c r="A534" s="31">
        <v>43724</v>
      </c>
      <c r="B534" t="s">
        <v>2</v>
      </c>
      <c r="C534">
        <v>9305</v>
      </c>
      <c r="D534" t="s">
        <v>97</v>
      </c>
      <c r="E534" t="s">
        <v>109</v>
      </c>
      <c r="F534">
        <v>1</v>
      </c>
      <c r="G534" t="s">
        <v>56</v>
      </c>
      <c r="H534" t="s">
        <v>110</v>
      </c>
      <c r="I534">
        <v>7</v>
      </c>
      <c r="J534" s="19">
        <f>WEEKNUM(tblRidershipData[[#This Row],[MeasurementDate]])</f>
        <v>38</v>
      </c>
      <c r="K534" s="19">
        <f>MONTH(tblRidershipData[[#This Row],[MeasurementDate]])</f>
        <v>9</v>
      </c>
    </row>
    <row r="535" spans="1:11" x14ac:dyDescent="0.25">
      <c r="A535" s="31">
        <v>43724</v>
      </c>
      <c r="B535" t="s">
        <v>2</v>
      </c>
      <c r="C535">
        <v>9305</v>
      </c>
      <c r="D535" t="s">
        <v>97</v>
      </c>
      <c r="E535" t="s">
        <v>109</v>
      </c>
      <c r="F535">
        <v>2</v>
      </c>
      <c r="G535" t="s">
        <v>74</v>
      </c>
      <c r="H535" t="s">
        <v>110</v>
      </c>
      <c r="I535">
        <v>3</v>
      </c>
      <c r="J535" s="19">
        <f>WEEKNUM(tblRidershipData[[#This Row],[MeasurementDate]])</f>
        <v>38</v>
      </c>
      <c r="K535" s="19">
        <f>MONTH(tblRidershipData[[#This Row],[MeasurementDate]])</f>
        <v>9</v>
      </c>
    </row>
    <row r="536" spans="1:11" x14ac:dyDescent="0.25">
      <c r="A536" s="31">
        <v>43724</v>
      </c>
      <c r="B536" t="s">
        <v>2</v>
      </c>
      <c r="C536">
        <v>9305</v>
      </c>
      <c r="D536" t="s">
        <v>97</v>
      </c>
      <c r="E536" t="s">
        <v>111</v>
      </c>
      <c r="F536">
        <v>1</v>
      </c>
      <c r="G536" t="s">
        <v>52</v>
      </c>
      <c r="H536" t="s">
        <v>112</v>
      </c>
      <c r="I536">
        <v>10</v>
      </c>
      <c r="J536" s="19">
        <f>WEEKNUM(tblRidershipData[[#This Row],[MeasurementDate]])</f>
        <v>38</v>
      </c>
      <c r="K536" s="19">
        <f>MONTH(tblRidershipData[[#This Row],[MeasurementDate]])</f>
        <v>9</v>
      </c>
    </row>
    <row r="537" spans="1:11" x14ac:dyDescent="0.25">
      <c r="A537" s="31">
        <v>43724</v>
      </c>
      <c r="B537" t="s">
        <v>2</v>
      </c>
      <c r="C537">
        <v>9305</v>
      </c>
      <c r="D537" t="s">
        <v>97</v>
      </c>
      <c r="E537" t="s">
        <v>111</v>
      </c>
      <c r="F537">
        <v>1</v>
      </c>
      <c r="G537" t="s">
        <v>54</v>
      </c>
      <c r="H537" t="s">
        <v>112</v>
      </c>
      <c r="I537">
        <v>1</v>
      </c>
      <c r="J537" s="19">
        <f>WEEKNUM(tblRidershipData[[#This Row],[MeasurementDate]])</f>
        <v>38</v>
      </c>
      <c r="K537" s="19">
        <f>MONTH(tblRidershipData[[#This Row],[MeasurementDate]])</f>
        <v>9</v>
      </c>
    </row>
    <row r="538" spans="1:11" x14ac:dyDescent="0.25">
      <c r="A538" s="31">
        <v>43724</v>
      </c>
      <c r="B538" t="s">
        <v>2</v>
      </c>
      <c r="C538">
        <v>9305</v>
      </c>
      <c r="D538" t="s">
        <v>97</v>
      </c>
      <c r="E538" t="s">
        <v>111</v>
      </c>
      <c r="F538">
        <v>1</v>
      </c>
      <c r="G538" t="s">
        <v>64</v>
      </c>
      <c r="H538" t="s">
        <v>112</v>
      </c>
      <c r="I538">
        <v>7</v>
      </c>
      <c r="J538" s="19">
        <f>WEEKNUM(tblRidershipData[[#This Row],[MeasurementDate]])</f>
        <v>38</v>
      </c>
      <c r="K538" s="19">
        <f>MONTH(tblRidershipData[[#This Row],[MeasurementDate]])</f>
        <v>9</v>
      </c>
    </row>
    <row r="539" spans="1:11" x14ac:dyDescent="0.25">
      <c r="A539" s="31">
        <v>43724</v>
      </c>
      <c r="B539" t="s">
        <v>2</v>
      </c>
      <c r="C539">
        <v>9305</v>
      </c>
      <c r="D539" t="s">
        <v>97</v>
      </c>
      <c r="E539" t="s">
        <v>111</v>
      </c>
      <c r="F539">
        <v>1</v>
      </c>
      <c r="G539" t="s">
        <v>70</v>
      </c>
      <c r="H539" t="s">
        <v>112</v>
      </c>
      <c r="I539">
        <v>12</v>
      </c>
      <c r="J539" s="19">
        <f>WEEKNUM(tblRidershipData[[#This Row],[MeasurementDate]])</f>
        <v>38</v>
      </c>
      <c r="K539" s="19">
        <f>MONTH(tblRidershipData[[#This Row],[MeasurementDate]])</f>
        <v>9</v>
      </c>
    </row>
    <row r="540" spans="1:11" x14ac:dyDescent="0.25">
      <c r="A540" s="31">
        <v>43724</v>
      </c>
      <c r="B540" t="s">
        <v>2</v>
      </c>
      <c r="C540">
        <v>9305</v>
      </c>
      <c r="D540" t="s">
        <v>97</v>
      </c>
      <c r="E540" t="s">
        <v>111</v>
      </c>
      <c r="F540">
        <v>1</v>
      </c>
      <c r="G540" t="s">
        <v>72</v>
      </c>
      <c r="H540" t="s">
        <v>112</v>
      </c>
      <c r="I540">
        <v>3</v>
      </c>
      <c r="J540" s="19">
        <f>WEEKNUM(tblRidershipData[[#This Row],[MeasurementDate]])</f>
        <v>38</v>
      </c>
      <c r="K540" s="19">
        <f>MONTH(tblRidershipData[[#This Row],[MeasurementDate]])</f>
        <v>9</v>
      </c>
    </row>
    <row r="541" spans="1:11" x14ac:dyDescent="0.25">
      <c r="A541" s="31">
        <v>43724</v>
      </c>
      <c r="B541" t="s">
        <v>2</v>
      </c>
      <c r="C541">
        <v>9305</v>
      </c>
      <c r="D541" t="s">
        <v>97</v>
      </c>
      <c r="E541" t="s">
        <v>111</v>
      </c>
      <c r="F541">
        <v>1</v>
      </c>
      <c r="G541" t="s">
        <v>73</v>
      </c>
      <c r="H541" t="s">
        <v>112</v>
      </c>
      <c r="I541">
        <v>29</v>
      </c>
      <c r="J541" s="19">
        <f>WEEKNUM(tblRidershipData[[#This Row],[MeasurementDate]])</f>
        <v>38</v>
      </c>
      <c r="K541" s="19">
        <f>MONTH(tblRidershipData[[#This Row],[MeasurementDate]])</f>
        <v>9</v>
      </c>
    </row>
    <row r="542" spans="1:11" x14ac:dyDescent="0.25">
      <c r="A542" s="31">
        <v>43724</v>
      </c>
      <c r="B542" t="s">
        <v>2</v>
      </c>
      <c r="C542">
        <v>9305</v>
      </c>
      <c r="D542" t="s">
        <v>97</v>
      </c>
      <c r="E542" t="s">
        <v>111</v>
      </c>
      <c r="F542">
        <v>1</v>
      </c>
      <c r="G542" t="s">
        <v>74</v>
      </c>
      <c r="H542" t="s">
        <v>112</v>
      </c>
      <c r="I542">
        <v>5</v>
      </c>
      <c r="J542" s="19">
        <f>WEEKNUM(tblRidershipData[[#This Row],[MeasurementDate]])</f>
        <v>38</v>
      </c>
      <c r="K542" s="19">
        <f>MONTH(tblRidershipData[[#This Row],[MeasurementDate]])</f>
        <v>9</v>
      </c>
    </row>
    <row r="543" spans="1:11" x14ac:dyDescent="0.25">
      <c r="A543" s="31">
        <v>43724</v>
      </c>
      <c r="B543" t="s">
        <v>2</v>
      </c>
      <c r="C543">
        <v>9305</v>
      </c>
      <c r="D543" t="s">
        <v>97</v>
      </c>
      <c r="E543" t="s">
        <v>111</v>
      </c>
      <c r="F543">
        <v>2</v>
      </c>
      <c r="G543" t="s">
        <v>55</v>
      </c>
      <c r="H543" t="s">
        <v>112</v>
      </c>
      <c r="I543">
        <v>1</v>
      </c>
      <c r="J543" s="19">
        <f>WEEKNUM(tblRidershipData[[#This Row],[MeasurementDate]])</f>
        <v>38</v>
      </c>
      <c r="K543" s="19">
        <f>MONTH(tblRidershipData[[#This Row],[MeasurementDate]])</f>
        <v>9</v>
      </c>
    </row>
    <row r="544" spans="1:11" x14ac:dyDescent="0.25">
      <c r="A544" s="31">
        <v>43724</v>
      </c>
      <c r="B544" t="s">
        <v>2</v>
      </c>
      <c r="C544">
        <v>9305</v>
      </c>
      <c r="D544" t="s">
        <v>97</v>
      </c>
      <c r="E544" t="s">
        <v>109</v>
      </c>
      <c r="F544">
        <v>1</v>
      </c>
      <c r="G544" t="s">
        <v>43</v>
      </c>
      <c r="H544" t="s">
        <v>112</v>
      </c>
      <c r="I544">
        <v>7</v>
      </c>
      <c r="J544" s="19">
        <f>WEEKNUM(tblRidershipData[[#This Row],[MeasurementDate]])</f>
        <v>38</v>
      </c>
      <c r="K544" s="19">
        <f>MONTH(tblRidershipData[[#This Row],[MeasurementDate]])</f>
        <v>9</v>
      </c>
    </row>
    <row r="545" spans="1:11" x14ac:dyDescent="0.25">
      <c r="A545" s="31">
        <v>43724</v>
      </c>
      <c r="B545" t="s">
        <v>2</v>
      </c>
      <c r="C545">
        <v>9305</v>
      </c>
      <c r="D545" t="s">
        <v>97</v>
      </c>
      <c r="E545" t="s">
        <v>109</v>
      </c>
      <c r="F545">
        <v>1</v>
      </c>
      <c r="G545" t="s">
        <v>45</v>
      </c>
      <c r="H545" t="s">
        <v>112</v>
      </c>
      <c r="I545">
        <v>8</v>
      </c>
      <c r="J545" s="19">
        <f>WEEKNUM(tblRidershipData[[#This Row],[MeasurementDate]])</f>
        <v>38</v>
      </c>
      <c r="K545" s="19">
        <f>MONTH(tblRidershipData[[#This Row],[MeasurementDate]])</f>
        <v>9</v>
      </c>
    </row>
    <row r="546" spans="1:11" x14ac:dyDescent="0.25">
      <c r="A546" s="31">
        <v>43724</v>
      </c>
      <c r="B546" t="s">
        <v>2</v>
      </c>
      <c r="C546">
        <v>9305</v>
      </c>
      <c r="D546" t="s">
        <v>97</v>
      </c>
      <c r="E546" t="s">
        <v>109</v>
      </c>
      <c r="F546">
        <v>1</v>
      </c>
      <c r="G546" t="s">
        <v>48</v>
      </c>
      <c r="H546" t="s">
        <v>112</v>
      </c>
      <c r="I546">
        <v>2</v>
      </c>
      <c r="J546" s="19">
        <f>WEEKNUM(tblRidershipData[[#This Row],[MeasurementDate]])</f>
        <v>38</v>
      </c>
      <c r="K546" s="19">
        <f>MONTH(tblRidershipData[[#This Row],[MeasurementDate]])</f>
        <v>9</v>
      </c>
    </row>
    <row r="547" spans="1:11" x14ac:dyDescent="0.25">
      <c r="A547" s="31">
        <v>43724</v>
      </c>
      <c r="B547" t="s">
        <v>2</v>
      </c>
      <c r="C547">
        <v>9305</v>
      </c>
      <c r="D547" t="s">
        <v>97</v>
      </c>
      <c r="E547" t="s">
        <v>109</v>
      </c>
      <c r="F547">
        <v>1</v>
      </c>
      <c r="G547" t="s">
        <v>49</v>
      </c>
      <c r="H547" t="s">
        <v>112</v>
      </c>
      <c r="I547">
        <v>7</v>
      </c>
      <c r="J547" s="19">
        <f>WEEKNUM(tblRidershipData[[#This Row],[MeasurementDate]])</f>
        <v>38</v>
      </c>
      <c r="K547" s="19">
        <f>MONTH(tblRidershipData[[#This Row],[MeasurementDate]])</f>
        <v>9</v>
      </c>
    </row>
    <row r="548" spans="1:11" x14ac:dyDescent="0.25">
      <c r="A548" s="31">
        <v>43724</v>
      </c>
      <c r="B548" t="s">
        <v>2</v>
      </c>
      <c r="C548">
        <v>9305</v>
      </c>
      <c r="D548" t="s">
        <v>97</v>
      </c>
      <c r="E548" t="s">
        <v>109</v>
      </c>
      <c r="F548">
        <v>1</v>
      </c>
      <c r="G548" t="s">
        <v>54</v>
      </c>
      <c r="H548" t="s">
        <v>112</v>
      </c>
      <c r="I548">
        <v>3</v>
      </c>
      <c r="J548" s="19">
        <f>WEEKNUM(tblRidershipData[[#This Row],[MeasurementDate]])</f>
        <v>38</v>
      </c>
      <c r="K548" s="19">
        <f>MONTH(tblRidershipData[[#This Row],[MeasurementDate]])</f>
        <v>9</v>
      </c>
    </row>
    <row r="549" spans="1:11" x14ac:dyDescent="0.25">
      <c r="A549" s="31">
        <v>43724</v>
      </c>
      <c r="B549" t="s">
        <v>2</v>
      </c>
      <c r="C549">
        <v>9305</v>
      </c>
      <c r="D549" t="s">
        <v>97</v>
      </c>
      <c r="E549" t="s">
        <v>109</v>
      </c>
      <c r="F549">
        <v>1</v>
      </c>
      <c r="G549" t="s">
        <v>55</v>
      </c>
      <c r="H549" t="s">
        <v>112</v>
      </c>
      <c r="I549">
        <v>8</v>
      </c>
      <c r="J549" s="19">
        <f>WEEKNUM(tblRidershipData[[#This Row],[MeasurementDate]])</f>
        <v>38</v>
      </c>
      <c r="K549" s="19">
        <f>MONTH(tblRidershipData[[#This Row],[MeasurementDate]])</f>
        <v>9</v>
      </c>
    </row>
    <row r="550" spans="1:11" x14ac:dyDescent="0.25">
      <c r="A550" s="31">
        <v>43724</v>
      </c>
      <c r="B550" t="s">
        <v>2</v>
      </c>
      <c r="C550">
        <v>9305</v>
      </c>
      <c r="D550" t="s">
        <v>97</v>
      </c>
      <c r="E550" t="s">
        <v>109</v>
      </c>
      <c r="F550">
        <v>1</v>
      </c>
      <c r="G550" t="s">
        <v>58</v>
      </c>
      <c r="H550" t="s">
        <v>112</v>
      </c>
      <c r="I550">
        <v>1</v>
      </c>
      <c r="J550" s="19">
        <f>WEEKNUM(tblRidershipData[[#This Row],[MeasurementDate]])</f>
        <v>38</v>
      </c>
      <c r="K550" s="19">
        <f>MONTH(tblRidershipData[[#This Row],[MeasurementDate]])</f>
        <v>9</v>
      </c>
    </row>
    <row r="551" spans="1:11" x14ac:dyDescent="0.25">
      <c r="A551" s="31">
        <v>43724</v>
      </c>
      <c r="B551" t="s">
        <v>2</v>
      </c>
      <c r="C551">
        <v>9305</v>
      </c>
      <c r="D551" t="s">
        <v>97</v>
      </c>
      <c r="E551" t="s">
        <v>109</v>
      </c>
      <c r="F551">
        <v>1</v>
      </c>
      <c r="G551" t="s">
        <v>59</v>
      </c>
      <c r="H551" t="s">
        <v>112</v>
      </c>
      <c r="I551">
        <v>2</v>
      </c>
      <c r="J551" s="19">
        <f>WEEKNUM(tblRidershipData[[#This Row],[MeasurementDate]])</f>
        <v>38</v>
      </c>
      <c r="K551" s="19">
        <f>MONTH(tblRidershipData[[#This Row],[MeasurementDate]])</f>
        <v>9</v>
      </c>
    </row>
    <row r="552" spans="1:11" x14ac:dyDescent="0.25">
      <c r="A552" s="31">
        <v>43724</v>
      </c>
      <c r="B552" t="s">
        <v>2</v>
      </c>
      <c r="C552">
        <v>9305</v>
      </c>
      <c r="D552" t="s">
        <v>97</v>
      </c>
      <c r="E552" t="s">
        <v>109</v>
      </c>
      <c r="F552">
        <v>1</v>
      </c>
      <c r="G552" t="s">
        <v>62</v>
      </c>
      <c r="H552" t="s">
        <v>112</v>
      </c>
      <c r="I552">
        <v>2</v>
      </c>
      <c r="J552" s="19">
        <f>WEEKNUM(tblRidershipData[[#This Row],[MeasurementDate]])</f>
        <v>38</v>
      </c>
      <c r="K552" s="19">
        <f>MONTH(tblRidershipData[[#This Row],[MeasurementDate]])</f>
        <v>9</v>
      </c>
    </row>
    <row r="553" spans="1:11" x14ac:dyDescent="0.25">
      <c r="A553" s="31">
        <v>43724</v>
      </c>
      <c r="B553" t="s">
        <v>2</v>
      </c>
      <c r="C553">
        <v>9305</v>
      </c>
      <c r="D553" t="s">
        <v>97</v>
      </c>
      <c r="E553" t="s">
        <v>109</v>
      </c>
      <c r="F553">
        <v>1</v>
      </c>
      <c r="G553" t="s">
        <v>64</v>
      </c>
      <c r="H553" t="s">
        <v>112</v>
      </c>
      <c r="I553">
        <v>1</v>
      </c>
      <c r="J553" s="19">
        <f>WEEKNUM(tblRidershipData[[#This Row],[MeasurementDate]])</f>
        <v>38</v>
      </c>
      <c r="K553" s="19">
        <f>MONTH(tblRidershipData[[#This Row],[MeasurementDate]])</f>
        <v>9</v>
      </c>
    </row>
    <row r="554" spans="1:11" x14ac:dyDescent="0.25">
      <c r="A554" s="31">
        <v>43724</v>
      </c>
      <c r="B554" t="s">
        <v>2</v>
      </c>
      <c r="C554">
        <v>9305</v>
      </c>
      <c r="D554" t="s">
        <v>97</v>
      </c>
      <c r="E554" t="s">
        <v>109</v>
      </c>
      <c r="F554">
        <v>1</v>
      </c>
      <c r="G554" t="s">
        <v>67</v>
      </c>
      <c r="H554" t="s">
        <v>112</v>
      </c>
      <c r="I554">
        <v>11</v>
      </c>
      <c r="J554" s="19">
        <f>WEEKNUM(tblRidershipData[[#This Row],[MeasurementDate]])</f>
        <v>38</v>
      </c>
      <c r="K554" s="19">
        <f>MONTH(tblRidershipData[[#This Row],[MeasurementDate]])</f>
        <v>9</v>
      </c>
    </row>
    <row r="555" spans="1:11" x14ac:dyDescent="0.25">
      <c r="A555" s="31">
        <v>43724</v>
      </c>
      <c r="B555" t="s">
        <v>2</v>
      </c>
      <c r="C555">
        <v>9305</v>
      </c>
      <c r="D555" t="s">
        <v>97</v>
      </c>
      <c r="E555" t="s">
        <v>109</v>
      </c>
      <c r="F555">
        <v>1</v>
      </c>
      <c r="G555" t="s">
        <v>72</v>
      </c>
      <c r="H555" t="s">
        <v>112</v>
      </c>
      <c r="I555">
        <v>14</v>
      </c>
      <c r="J555" s="19">
        <f>WEEKNUM(tblRidershipData[[#This Row],[MeasurementDate]])</f>
        <v>38</v>
      </c>
      <c r="K555" s="19">
        <f>MONTH(tblRidershipData[[#This Row],[MeasurementDate]])</f>
        <v>9</v>
      </c>
    </row>
    <row r="556" spans="1:11" x14ac:dyDescent="0.25">
      <c r="A556" s="31">
        <v>43724</v>
      </c>
      <c r="B556" t="s">
        <v>2</v>
      </c>
      <c r="C556">
        <v>9305</v>
      </c>
      <c r="D556" t="s">
        <v>97</v>
      </c>
      <c r="E556" t="s">
        <v>109</v>
      </c>
      <c r="F556">
        <v>2</v>
      </c>
      <c r="G556" t="s">
        <v>67</v>
      </c>
      <c r="H556" t="s">
        <v>112</v>
      </c>
      <c r="I556">
        <v>1</v>
      </c>
      <c r="J556" s="19">
        <f>WEEKNUM(tblRidershipData[[#This Row],[MeasurementDate]])</f>
        <v>38</v>
      </c>
      <c r="K556" s="19">
        <f>MONTH(tblRidershipData[[#This Row],[MeasurementDate]])</f>
        <v>9</v>
      </c>
    </row>
    <row r="557" spans="1:11" x14ac:dyDescent="0.25">
      <c r="A557" s="31">
        <v>43724</v>
      </c>
      <c r="B557" t="s">
        <v>2</v>
      </c>
      <c r="C557">
        <v>9305</v>
      </c>
      <c r="D557" t="s">
        <v>97</v>
      </c>
      <c r="E557" t="s">
        <v>109</v>
      </c>
      <c r="F557">
        <v>2</v>
      </c>
      <c r="G557" t="s">
        <v>73</v>
      </c>
      <c r="H557" t="s">
        <v>112</v>
      </c>
      <c r="I557">
        <v>2</v>
      </c>
      <c r="J557" s="19">
        <f>WEEKNUM(tblRidershipData[[#This Row],[MeasurementDate]])</f>
        <v>38</v>
      </c>
      <c r="K557" s="19">
        <f>MONTH(tblRidershipData[[#This Row],[MeasurementDate]])</f>
        <v>9</v>
      </c>
    </row>
    <row r="558" spans="1:11" x14ac:dyDescent="0.25">
      <c r="A558" s="31">
        <v>43724</v>
      </c>
      <c r="B558" t="s">
        <v>2</v>
      </c>
      <c r="C558">
        <v>9307</v>
      </c>
      <c r="D558" t="s">
        <v>106</v>
      </c>
      <c r="E558" t="s">
        <v>109</v>
      </c>
      <c r="F558">
        <v>2</v>
      </c>
      <c r="G558" t="s">
        <v>74</v>
      </c>
      <c r="H558" t="s">
        <v>110</v>
      </c>
      <c r="I558">
        <v>24</v>
      </c>
      <c r="J558" s="19">
        <f>WEEKNUM(tblRidershipData[[#This Row],[MeasurementDate]])</f>
        <v>38</v>
      </c>
      <c r="K558" s="19">
        <f>MONTH(tblRidershipData[[#This Row],[MeasurementDate]])</f>
        <v>9</v>
      </c>
    </row>
    <row r="559" spans="1:11" x14ac:dyDescent="0.25">
      <c r="A559" s="31">
        <v>43724</v>
      </c>
      <c r="B559" t="s">
        <v>2</v>
      </c>
      <c r="C559">
        <v>9314</v>
      </c>
      <c r="D559" t="s">
        <v>94</v>
      </c>
      <c r="E559" t="s">
        <v>111</v>
      </c>
      <c r="F559">
        <v>1</v>
      </c>
      <c r="G559" t="s">
        <v>48</v>
      </c>
      <c r="H559" t="s">
        <v>110</v>
      </c>
      <c r="I559">
        <v>7</v>
      </c>
      <c r="J559" s="19">
        <f>WEEKNUM(tblRidershipData[[#This Row],[MeasurementDate]])</f>
        <v>38</v>
      </c>
      <c r="K559" s="19">
        <f>MONTH(tblRidershipData[[#This Row],[MeasurementDate]])</f>
        <v>9</v>
      </c>
    </row>
    <row r="560" spans="1:11" x14ac:dyDescent="0.25">
      <c r="A560" s="31">
        <v>43724</v>
      </c>
      <c r="B560" t="s">
        <v>2</v>
      </c>
      <c r="C560">
        <v>9314</v>
      </c>
      <c r="D560" t="s">
        <v>94</v>
      </c>
      <c r="E560" t="s">
        <v>111</v>
      </c>
      <c r="F560">
        <v>1</v>
      </c>
      <c r="G560" t="s">
        <v>49</v>
      </c>
      <c r="H560" t="s">
        <v>110</v>
      </c>
      <c r="I560">
        <v>1</v>
      </c>
      <c r="J560" s="19">
        <f>WEEKNUM(tblRidershipData[[#This Row],[MeasurementDate]])</f>
        <v>38</v>
      </c>
      <c r="K560" s="19">
        <f>MONTH(tblRidershipData[[#This Row],[MeasurementDate]])</f>
        <v>9</v>
      </c>
    </row>
    <row r="561" spans="1:11" x14ac:dyDescent="0.25">
      <c r="A561" s="31">
        <v>43724</v>
      </c>
      <c r="B561" t="s">
        <v>2</v>
      </c>
      <c r="C561">
        <v>9314</v>
      </c>
      <c r="D561" t="s">
        <v>94</v>
      </c>
      <c r="E561" t="s">
        <v>111</v>
      </c>
      <c r="F561">
        <v>1</v>
      </c>
      <c r="G561" t="s">
        <v>50</v>
      </c>
      <c r="H561" t="s">
        <v>110</v>
      </c>
      <c r="I561">
        <v>1</v>
      </c>
      <c r="J561" s="19">
        <f>WEEKNUM(tblRidershipData[[#This Row],[MeasurementDate]])</f>
        <v>38</v>
      </c>
      <c r="K561" s="19">
        <f>MONTH(tblRidershipData[[#This Row],[MeasurementDate]])</f>
        <v>9</v>
      </c>
    </row>
    <row r="562" spans="1:11" x14ac:dyDescent="0.25">
      <c r="A562" s="31">
        <v>43724</v>
      </c>
      <c r="B562" t="s">
        <v>2</v>
      </c>
      <c r="C562">
        <v>9314</v>
      </c>
      <c r="D562" t="s">
        <v>94</v>
      </c>
      <c r="E562" t="s">
        <v>111</v>
      </c>
      <c r="F562">
        <v>1</v>
      </c>
      <c r="G562" t="s">
        <v>54</v>
      </c>
      <c r="H562" t="s">
        <v>110</v>
      </c>
      <c r="I562">
        <v>15</v>
      </c>
      <c r="J562" s="19">
        <f>WEEKNUM(tblRidershipData[[#This Row],[MeasurementDate]])</f>
        <v>38</v>
      </c>
      <c r="K562" s="19">
        <f>MONTH(tblRidershipData[[#This Row],[MeasurementDate]])</f>
        <v>9</v>
      </c>
    </row>
    <row r="563" spans="1:11" x14ac:dyDescent="0.25">
      <c r="A563" s="31">
        <v>43724</v>
      </c>
      <c r="B563" t="s">
        <v>2</v>
      </c>
      <c r="C563">
        <v>9314</v>
      </c>
      <c r="D563" t="s">
        <v>94</v>
      </c>
      <c r="E563" t="s">
        <v>111</v>
      </c>
      <c r="F563">
        <v>1</v>
      </c>
      <c r="G563" t="s">
        <v>56</v>
      </c>
      <c r="H563" t="s">
        <v>110</v>
      </c>
      <c r="I563">
        <v>5</v>
      </c>
      <c r="J563" s="19">
        <f>WEEKNUM(tblRidershipData[[#This Row],[MeasurementDate]])</f>
        <v>38</v>
      </c>
      <c r="K563" s="19">
        <f>MONTH(tblRidershipData[[#This Row],[MeasurementDate]])</f>
        <v>9</v>
      </c>
    </row>
    <row r="564" spans="1:11" x14ac:dyDescent="0.25">
      <c r="A564" s="31">
        <v>43724</v>
      </c>
      <c r="B564" t="s">
        <v>2</v>
      </c>
      <c r="C564">
        <v>9314</v>
      </c>
      <c r="D564" t="s">
        <v>94</v>
      </c>
      <c r="E564" t="s">
        <v>111</v>
      </c>
      <c r="F564">
        <v>1</v>
      </c>
      <c r="G564" t="s">
        <v>64</v>
      </c>
      <c r="H564" t="s">
        <v>110</v>
      </c>
      <c r="I564">
        <v>9</v>
      </c>
      <c r="J564" s="19">
        <f>WEEKNUM(tblRidershipData[[#This Row],[MeasurementDate]])</f>
        <v>38</v>
      </c>
      <c r="K564" s="19">
        <f>MONTH(tblRidershipData[[#This Row],[MeasurementDate]])</f>
        <v>9</v>
      </c>
    </row>
    <row r="565" spans="1:11" x14ac:dyDescent="0.25">
      <c r="A565" s="31">
        <v>43724</v>
      </c>
      <c r="B565" t="s">
        <v>2</v>
      </c>
      <c r="C565">
        <v>9314</v>
      </c>
      <c r="D565" t="s">
        <v>94</v>
      </c>
      <c r="E565" t="s">
        <v>111</v>
      </c>
      <c r="F565">
        <v>1</v>
      </c>
      <c r="G565" t="s">
        <v>72</v>
      </c>
      <c r="H565" t="s">
        <v>110</v>
      </c>
      <c r="I565">
        <v>1</v>
      </c>
      <c r="J565" s="19">
        <f>WEEKNUM(tblRidershipData[[#This Row],[MeasurementDate]])</f>
        <v>38</v>
      </c>
      <c r="K565" s="19">
        <f>MONTH(tblRidershipData[[#This Row],[MeasurementDate]])</f>
        <v>9</v>
      </c>
    </row>
    <row r="566" spans="1:11" x14ac:dyDescent="0.25">
      <c r="A566" s="31">
        <v>43724</v>
      </c>
      <c r="B566" t="s">
        <v>2</v>
      </c>
      <c r="C566">
        <v>9314</v>
      </c>
      <c r="D566" t="s">
        <v>94</v>
      </c>
      <c r="E566" t="s">
        <v>111</v>
      </c>
      <c r="F566">
        <v>1</v>
      </c>
      <c r="G566" t="s">
        <v>73</v>
      </c>
      <c r="H566" t="s">
        <v>110</v>
      </c>
      <c r="I566">
        <v>8</v>
      </c>
      <c r="J566" s="19">
        <f>WEEKNUM(tblRidershipData[[#This Row],[MeasurementDate]])</f>
        <v>38</v>
      </c>
      <c r="K566" s="19">
        <f>MONTH(tblRidershipData[[#This Row],[MeasurementDate]])</f>
        <v>9</v>
      </c>
    </row>
    <row r="567" spans="1:11" x14ac:dyDescent="0.25">
      <c r="A567" s="31">
        <v>43724</v>
      </c>
      <c r="B567" t="s">
        <v>2</v>
      </c>
      <c r="C567">
        <v>9314</v>
      </c>
      <c r="D567" t="s">
        <v>94</v>
      </c>
      <c r="E567" t="s">
        <v>111</v>
      </c>
      <c r="F567">
        <v>1</v>
      </c>
      <c r="G567" t="s">
        <v>77</v>
      </c>
      <c r="H567" t="s">
        <v>110</v>
      </c>
      <c r="I567">
        <v>2</v>
      </c>
      <c r="J567" s="19">
        <f>WEEKNUM(tblRidershipData[[#This Row],[MeasurementDate]])</f>
        <v>38</v>
      </c>
      <c r="K567" s="19">
        <f>MONTH(tblRidershipData[[#This Row],[MeasurementDate]])</f>
        <v>9</v>
      </c>
    </row>
    <row r="568" spans="1:11" x14ac:dyDescent="0.25">
      <c r="A568" s="31">
        <v>43724</v>
      </c>
      <c r="B568" t="s">
        <v>2</v>
      </c>
      <c r="C568">
        <v>9314</v>
      </c>
      <c r="D568" t="s">
        <v>94</v>
      </c>
      <c r="E568" t="s">
        <v>111</v>
      </c>
      <c r="F568">
        <v>1</v>
      </c>
      <c r="G568" t="s">
        <v>78</v>
      </c>
      <c r="H568" t="s">
        <v>110</v>
      </c>
      <c r="I568">
        <v>2</v>
      </c>
      <c r="J568" s="19">
        <f>WEEKNUM(tblRidershipData[[#This Row],[MeasurementDate]])</f>
        <v>38</v>
      </c>
      <c r="K568" s="19">
        <f>MONTH(tblRidershipData[[#This Row],[MeasurementDate]])</f>
        <v>9</v>
      </c>
    </row>
    <row r="569" spans="1:11" x14ac:dyDescent="0.25">
      <c r="A569" s="31">
        <v>43724</v>
      </c>
      <c r="B569" t="s">
        <v>2</v>
      </c>
      <c r="C569">
        <v>9314</v>
      </c>
      <c r="D569" t="s">
        <v>94</v>
      </c>
      <c r="E569" t="s">
        <v>109</v>
      </c>
      <c r="F569">
        <v>1</v>
      </c>
      <c r="G569" t="s">
        <v>54</v>
      </c>
      <c r="H569" t="s">
        <v>110</v>
      </c>
      <c r="I569">
        <v>17</v>
      </c>
      <c r="J569" s="19">
        <f>WEEKNUM(tblRidershipData[[#This Row],[MeasurementDate]])</f>
        <v>38</v>
      </c>
      <c r="K569" s="19">
        <f>MONTH(tblRidershipData[[#This Row],[MeasurementDate]])</f>
        <v>9</v>
      </c>
    </row>
    <row r="570" spans="1:11" x14ac:dyDescent="0.25">
      <c r="A570" s="31">
        <v>43724</v>
      </c>
      <c r="B570" t="s">
        <v>2</v>
      </c>
      <c r="C570">
        <v>9314</v>
      </c>
      <c r="D570" t="s">
        <v>94</v>
      </c>
      <c r="E570" t="s">
        <v>109</v>
      </c>
      <c r="F570">
        <v>1</v>
      </c>
      <c r="G570" t="s">
        <v>70</v>
      </c>
      <c r="H570" t="s">
        <v>110</v>
      </c>
      <c r="I570">
        <v>8</v>
      </c>
      <c r="J570" s="19">
        <f>WEEKNUM(tblRidershipData[[#This Row],[MeasurementDate]])</f>
        <v>38</v>
      </c>
      <c r="K570" s="19">
        <f>MONTH(tblRidershipData[[#This Row],[MeasurementDate]])</f>
        <v>9</v>
      </c>
    </row>
    <row r="571" spans="1:11" x14ac:dyDescent="0.25">
      <c r="A571" s="31">
        <v>43724</v>
      </c>
      <c r="B571" t="s">
        <v>2</v>
      </c>
      <c r="C571">
        <v>9314</v>
      </c>
      <c r="D571" t="s">
        <v>94</v>
      </c>
      <c r="E571" t="s">
        <v>109</v>
      </c>
      <c r="F571">
        <v>1</v>
      </c>
      <c r="G571" t="s">
        <v>73</v>
      </c>
      <c r="H571" t="s">
        <v>110</v>
      </c>
      <c r="I571">
        <v>2</v>
      </c>
      <c r="J571" s="19">
        <f>WEEKNUM(tblRidershipData[[#This Row],[MeasurementDate]])</f>
        <v>38</v>
      </c>
      <c r="K571" s="19">
        <f>MONTH(tblRidershipData[[#This Row],[MeasurementDate]])</f>
        <v>9</v>
      </c>
    </row>
    <row r="572" spans="1:11" x14ac:dyDescent="0.25">
      <c r="A572" s="31">
        <v>43724</v>
      </c>
      <c r="B572" t="s">
        <v>2</v>
      </c>
      <c r="C572">
        <v>9314</v>
      </c>
      <c r="D572" t="s">
        <v>94</v>
      </c>
      <c r="E572" t="s">
        <v>109</v>
      </c>
      <c r="F572">
        <v>1</v>
      </c>
      <c r="G572" t="s">
        <v>74</v>
      </c>
      <c r="H572" t="s">
        <v>110</v>
      </c>
      <c r="I572">
        <v>10</v>
      </c>
      <c r="J572" s="19">
        <f>WEEKNUM(tblRidershipData[[#This Row],[MeasurementDate]])</f>
        <v>38</v>
      </c>
      <c r="K572" s="19">
        <f>MONTH(tblRidershipData[[#This Row],[MeasurementDate]])</f>
        <v>9</v>
      </c>
    </row>
    <row r="573" spans="1:11" x14ac:dyDescent="0.25">
      <c r="A573" s="31">
        <v>43724</v>
      </c>
      <c r="B573" t="s">
        <v>2</v>
      </c>
      <c r="C573">
        <v>9314</v>
      </c>
      <c r="D573" t="s">
        <v>94</v>
      </c>
      <c r="E573" t="s">
        <v>109</v>
      </c>
      <c r="F573">
        <v>2</v>
      </c>
      <c r="G573" t="s">
        <v>52</v>
      </c>
      <c r="H573" t="s">
        <v>110</v>
      </c>
      <c r="I573">
        <v>3</v>
      </c>
      <c r="J573" s="19">
        <f>WEEKNUM(tblRidershipData[[#This Row],[MeasurementDate]])</f>
        <v>38</v>
      </c>
      <c r="K573" s="19">
        <f>MONTH(tblRidershipData[[#This Row],[MeasurementDate]])</f>
        <v>9</v>
      </c>
    </row>
    <row r="574" spans="1:11" x14ac:dyDescent="0.25">
      <c r="A574" s="31">
        <v>43724</v>
      </c>
      <c r="B574" t="s">
        <v>2</v>
      </c>
      <c r="C574">
        <v>9314</v>
      </c>
      <c r="D574" t="s">
        <v>94</v>
      </c>
      <c r="E574" t="s">
        <v>109</v>
      </c>
      <c r="F574">
        <v>2</v>
      </c>
      <c r="G574" t="s">
        <v>70</v>
      </c>
      <c r="H574" t="s">
        <v>110</v>
      </c>
      <c r="I574">
        <v>10</v>
      </c>
      <c r="J574" s="19">
        <f>WEEKNUM(tblRidershipData[[#This Row],[MeasurementDate]])</f>
        <v>38</v>
      </c>
      <c r="K574" s="19">
        <f>MONTH(tblRidershipData[[#This Row],[MeasurementDate]])</f>
        <v>9</v>
      </c>
    </row>
    <row r="575" spans="1:11" x14ac:dyDescent="0.25">
      <c r="A575" s="31">
        <v>43724</v>
      </c>
      <c r="B575" t="s">
        <v>2</v>
      </c>
      <c r="C575">
        <v>9320</v>
      </c>
      <c r="D575" t="s">
        <v>99</v>
      </c>
      <c r="E575" t="s">
        <v>111</v>
      </c>
      <c r="F575">
        <v>1</v>
      </c>
      <c r="G575" t="s">
        <v>45</v>
      </c>
      <c r="H575" t="s">
        <v>110</v>
      </c>
      <c r="I575">
        <v>2</v>
      </c>
      <c r="J575" s="19">
        <f>WEEKNUM(tblRidershipData[[#This Row],[MeasurementDate]])</f>
        <v>38</v>
      </c>
      <c r="K575" s="19">
        <f>MONTH(tblRidershipData[[#This Row],[MeasurementDate]])</f>
        <v>9</v>
      </c>
    </row>
    <row r="576" spans="1:11" x14ac:dyDescent="0.25">
      <c r="A576" s="31">
        <v>43724</v>
      </c>
      <c r="B576" t="s">
        <v>2</v>
      </c>
      <c r="C576">
        <v>9320</v>
      </c>
      <c r="D576" t="s">
        <v>99</v>
      </c>
      <c r="E576" t="s">
        <v>111</v>
      </c>
      <c r="F576">
        <v>1</v>
      </c>
      <c r="G576" t="s">
        <v>54</v>
      </c>
      <c r="H576" t="s">
        <v>110</v>
      </c>
      <c r="I576">
        <v>12</v>
      </c>
      <c r="J576" s="19">
        <f>WEEKNUM(tblRidershipData[[#This Row],[MeasurementDate]])</f>
        <v>38</v>
      </c>
      <c r="K576" s="19">
        <f>MONTH(tblRidershipData[[#This Row],[MeasurementDate]])</f>
        <v>9</v>
      </c>
    </row>
    <row r="577" spans="1:11" x14ac:dyDescent="0.25">
      <c r="A577" s="31">
        <v>43724</v>
      </c>
      <c r="B577" t="s">
        <v>2</v>
      </c>
      <c r="C577">
        <v>9320</v>
      </c>
      <c r="D577" t="s">
        <v>99</v>
      </c>
      <c r="E577" t="s">
        <v>111</v>
      </c>
      <c r="F577">
        <v>1</v>
      </c>
      <c r="G577" t="s">
        <v>56</v>
      </c>
      <c r="H577" t="s">
        <v>110</v>
      </c>
      <c r="I577">
        <v>2</v>
      </c>
      <c r="J577" s="19">
        <f>WEEKNUM(tblRidershipData[[#This Row],[MeasurementDate]])</f>
        <v>38</v>
      </c>
      <c r="K577" s="19">
        <f>MONTH(tblRidershipData[[#This Row],[MeasurementDate]])</f>
        <v>9</v>
      </c>
    </row>
    <row r="578" spans="1:11" x14ac:dyDescent="0.25">
      <c r="A578" s="31">
        <v>43724</v>
      </c>
      <c r="B578" t="s">
        <v>2</v>
      </c>
      <c r="C578">
        <v>9320</v>
      </c>
      <c r="D578" t="s">
        <v>99</v>
      </c>
      <c r="E578" t="s">
        <v>111</v>
      </c>
      <c r="F578">
        <v>1</v>
      </c>
      <c r="G578" t="s">
        <v>62</v>
      </c>
      <c r="H578" t="s">
        <v>110</v>
      </c>
      <c r="I578">
        <v>1</v>
      </c>
      <c r="J578" s="19">
        <f>WEEKNUM(tblRidershipData[[#This Row],[MeasurementDate]])</f>
        <v>38</v>
      </c>
      <c r="K578" s="19">
        <f>MONTH(tblRidershipData[[#This Row],[MeasurementDate]])</f>
        <v>9</v>
      </c>
    </row>
    <row r="579" spans="1:11" x14ac:dyDescent="0.25">
      <c r="A579" s="31">
        <v>43724</v>
      </c>
      <c r="B579" t="s">
        <v>2</v>
      </c>
      <c r="C579">
        <v>9320</v>
      </c>
      <c r="D579" t="s">
        <v>99</v>
      </c>
      <c r="E579" t="s">
        <v>111</v>
      </c>
      <c r="F579">
        <v>1</v>
      </c>
      <c r="G579" t="s">
        <v>64</v>
      </c>
      <c r="H579" t="s">
        <v>110</v>
      </c>
      <c r="I579">
        <v>1</v>
      </c>
      <c r="J579" s="19">
        <f>WEEKNUM(tblRidershipData[[#This Row],[MeasurementDate]])</f>
        <v>38</v>
      </c>
      <c r="K579" s="19">
        <f>MONTH(tblRidershipData[[#This Row],[MeasurementDate]])</f>
        <v>9</v>
      </c>
    </row>
    <row r="580" spans="1:11" x14ac:dyDescent="0.25">
      <c r="A580" s="31">
        <v>43724</v>
      </c>
      <c r="B580" t="s">
        <v>2</v>
      </c>
      <c r="C580">
        <v>9320</v>
      </c>
      <c r="D580" t="s">
        <v>99</v>
      </c>
      <c r="E580" t="s">
        <v>111</v>
      </c>
      <c r="F580">
        <v>1</v>
      </c>
      <c r="G580" t="s">
        <v>67</v>
      </c>
      <c r="H580" t="s">
        <v>110</v>
      </c>
      <c r="I580">
        <v>3</v>
      </c>
      <c r="J580" s="19">
        <f>WEEKNUM(tblRidershipData[[#This Row],[MeasurementDate]])</f>
        <v>38</v>
      </c>
      <c r="K580" s="19">
        <f>MONTH(tblRidershipData[[#This Row],[MeasurementDate]])</f>
        <v>9</v>
      </c>
    </row>
    <row r="581" spans="1:11" x14ac:dyDescent="0.25">
      <c r="A581" s="31">
        <v>43724</v>
      </c>
      <c r="B581" t="s">
        <v>2</v>
      </c>
      <c r="C581">
        <v>9320</v>
      </c>
      <c r="D581" t="s">
        <v>99</v>
      </c>
      <c r="E581" t="s">
        <v>111</v>
      </c>
      <c r="F581">
        <v>1</v>
      </c>
      <c r="G581" t="s">
        <v>73</v>
      </c>
      <c r="H581" t="s">
        <v>110</v>
      </c>
      <c r="I581">
        <v>1</v>
      </c>
      <c r="J581" s="19">
        <f>WEEKNUM(tblRidershipData[[#This Row],[MeasurementDate]])</f>
        <v>38</v>
      </c>
      <c r="K581" s="19">
        <f>MONTH(tblRidershipData[[#This Row],[MeasurementDate]])</f>
        <v>9</v>
      </c>
    </row>
    <row r="582" spans="1:11" x14ac:dyDescent="0.25">
      <c r="A582" s="31">
        <v>43724</v>
      </c>
      <c r="B582" t="s">
        <v>2</v>
      </c>
      <c r="C582">
        <v>9320</v>
      </c>
      <c r="D582" t="s">
        <v>99</v>
      </c>
      <c r="E582" t="s">
        <v>109</v>
      </c>
      <c r="F582">
        <v>1</v>
      </c>
      <c r="G582" t="s">
        <v>52</v>
      </c>
      <c r="H582" t="s">
        <v>110</v>
      </c>
      <c r="I582">
        <v>53</v>
      </c>
      <c r="J582" s="19">
        <f>WEEKNUM(tblRidershipData[[#This Row],[MeasurementDate]])</f>
        <v>38</v>
      </c>
      <c r="K582" s="19">
        <f>MONTH(tblRidershipData[[#This Row],[MeasurementDate]])</f>
        <v>9</v>
      </c>
    </row>
    <row r="583" spans="1:11" x14ac:dyDescent="0.25">
      <c r="A583" s="31">
        <v>43724</v>
      </c>
      <c r="B583" t="s">
        <v>2</v>
      </c>
      <c r="C583">
        <v>9320</v>
      </c>
      <c r="D583" t="s">
        <v>99</v>
      </c>
      <c r="E583" t="s">
        <v>109</v>
      </c>
      <c r="F583">
        <v>2</v>
      </c>
      <c r="G583" t="s">
        <v>44</v>
      </c>
      <c r="H583" t="s">
        <v>110</v>
      </c>
      <c r="I583">
        <v>12</v>
      </c>
      <c r="J583" s="19">
        <f>WEEKNUM(tblRidershipData[[#This Row],[MeasurementDate]])</f>
        <v>38</v>
      </c>
      <c r="K583" s="19">
        <f>MONTH(tblRidershipData[[#This Row],[MeasurementDate]])</f>
        <v>9</v>
      </c>
    </row>
    <row r="584" spans="1:11" x14ac:dyDescent="0.25">
      <c r="A584" s="31">
        <v>43724</v>
      </c>
      <c r="B584" t="s">
        <v>2</v>
      </c>
      <c r="C584">
        <v>9320</v>
      </c>
      <c r="D584" t="s">
        <v>99</v>
      </c>
      <c r="E584" t="s">
        <v>111</v>
      </c>
      <c r="F584">
        <v>1</v>
      </c>
      <c r="G584" t="s">
        <v>67</v>
      </c>
      <c r="H584" t="s">
        <v>112</v>
      </c>
      <c r="I584">
        <v>6</v>
      </c>
      <c r="J584" s="19">
        <f>WEEKNUM(tblRidershipData[[#This Row],[MeasurementDate]])</f>
        <v>38</v>
      </c>
      <c r="K584" s="19">
        <f>MONTH(tblRidershipData[[#This Row],[MeasurementDate]])</f>
        <v>9</v>
      </c>
    </row>
    <row r="585" spans="1:11" x14ac:dyDescent="0.25">
      <c r="A585" s="31">
        <v>43724</v>
      </c>
      <c r="B585" t="s">
        <v>2</v>
      </c>
      <c r="C585">
        <v>9320</v>
      </c>
      <c r="D585" t="s">
        <v>99</v>
      </c>
      <c r="E585" t="s">
        <v>111</v>
      </c>
      <c r="F585">
        <v>1</v>
      </c>
      <c r="G585" t="s">
        <v>69</v>
      </c>
      <c r="H585" t="s">
        <v>112</v>
      </c>
      <c r="I585">
        <v>1</v>
      </c>
      <c r="J585" s="19">
        <f>WEEKNUM(tblRidershipData[[#This Row],[MeasurementDate]])</f>
        <v>38</v>
      </c>
      <c r="K585" s="19">
        <f>MONTH(tblRidershipData[[#This Row],[MeasurementDate]])</f>
        <v>9</v>
      </c>
    </row>
    <row r="586" spans="1:11" x14ac:dyDescent="0.25">
      <c r="A586" s="31">
        <v>43724</v>
      </c>
      <c r="B586" t="s">
        <v>2</v>
      </c>
      <c r="C586">
        <v>9320</v>
      </c>
      <c r="D586" t="s">
        <v>99</v>
      </c>
      <c r="E586" t="s">
        <v>111</v>
      </c>
      <c r="F586">
        <v>1</v>
      </c>
      <c r="G586" t="s">
        <v>75</v>
      </c>
      <c r="H586" t="s">
        <v>112</v>
      </c>
      <c r="I586">
        <v>15</v>
      </c>
      <c r="J586" s="19">
        <f>WEEKNUM(tblRidershipData[[#This Row],[MeasurementDate]])</f>
        <v>38</v>
      </c>
      <c r="K586" s="19">
        <f>MONTH(tblRidershipData[[#This Row],[MeasurementDate]])</f>
        <v>9</v>
      </c>
    </row>
    <row r="587" spans="1:11" x14ac:dyDescent="0.25">
      <c r="A587" s="31">
        <v>43724</v>
      </c>
      <c r="B587" t="s">
        <v>2</v>
      </c>
      <c r="C587">
        <v>9320</v>
      </c>
      <c r="D587" t="s">
        <v>99</v>
      </c>
      <c r="E587" t="s">
        <v>109</v>
      </c>
      <c r="F587">
        <v>1</v>
      </c>
      <c r="G587" t="s">
        <v>45</v>
      </c>
      <c r="H587" t="s">
        <v>112</v>
      </c>
      <c r="I587">
        <v>2</v>
      </c>
      <c r="J587" s="19">
        <f>WEEKNUM(tblRidershipData[[#This Row],[MeasurementDate]])</f>
        <v>38</v>
      </c>
      <c r="K587" s="19">
        <f>MONTH(tblRidershipData[[#This Row],[MeasurementDate]])</f>
        <v>9</v>
      </c>
    </row>
    <row r="588" spans="1:11" x14ac:dyDescent="0.25">
      <c r="A588" s="31">
        <v>43724</v>
      </c>
      <c r="B588" t="s">
        <v>2</v>
      </c>
      <c r="C588">
        <v>9320</v>
      </c>
      <c r="D588" t="s">
        <v>99</v>
      </c>
      <c r="E588" t="s">
        <v>109</v>
      </c>
      <c r="F588">
        <v>1</v>
      </c>
      <c r="G588" t="s">
        <v>47</v>
      </c>
      <c r="H588" t="s">
        <v>112</v>
      </c>
      <c r="I588">
        <v>7</v>
      </c>
      <c r="J588" s="19">
        <f>WEEKNUM(tblRidershipData[[#This Row],[MeasurementDate]])</f>
        <v>38</v>
      </c>
      <c r="K588" s="19">
        <f>MONTH(tblRidershipData[[#This Row],[MeasurementDate]])</f>
        <v>9</v>
      </c>
    </row>
    <row r="589" spans="1:11" x14ac:dyDescent="0.25">
      <c r="A589" s="31">
        <v>43724</v>
      </c>
      <c r="B589" t="s">
        <v>2</v>
      </c>
      <c r="C589">
        <v>9320</v>
      </c>
      <c r="D589" t="s">
        <v>99</v>
      </c>
      <c r="E589" t="s">
        <v>109</v>
      </c>
      <c r="F589">
        <v>1</v>
      </c>
      <c r="G589" t="s">
        <v>54</v>
      </c>
      <c r="H589" t="s">
        <v>112</v>
      </c>
      <c r="I589">
        <v>16</v>
      </c>
      <c r="J589" s="19">
        <f>WEEKNUM(tblRidershipData[[#This Row],[MeasurementDate]])</f>
        <v>38</v>
      </c>
      <c r="K589" s="19">
        <f>MONTH(tblRidershipData[[#This Row],[MeasurementDate]])</f>
        <v>9</v>
      </c>
    </row>
    <row r="590" spans="1:11" x14ac:dyDescent="0.25">
      <c r="A590" s="31">
        <v>43724</v>
      </c>
      <c r="B590" t="s">
        <v>2</v>
      </c>
      <c r="C590">
        <v>9320</v>
      </c>
      <c r="D590" t="s">
        <v>99</v>
      </c>
      <c r="E590" t="s">
        <v>109</v>
      </c>
      <c r="F590">
        <v>1</v>
      </c>
      <c r="G590" t="s">
        <v>63</v>
      </c>
      <c r="H590" t="s">
        <v>112</v>
      </c>
      <c r="I590">
        <v>12</v>
      </c>
      <c r="J590" s="19">
        <f>WEEKNUM(tblRidershipData[[#This Row],[MeasurementDate]])</f>
        <v>38</v>
      </c>
      <c r="K590" s="19">
        <f>MONTH(tblRidershipData[[#This Row],[MeasurementDate]])</f>
        <v>9</v>
      </c>
    </row>
    <row r="591" spans="1:11" x14ac:dyDescent="0.25">
      <c r="A591" s="31">
        <v>43724</v>
      </c>
      <c r="B591" t="s">
        <v>2</v>
      </c>
      <c r="C591">
        <v>9320</v>
      </c>
      <c r="D591" t="s">
        <v>99</v>
      </c>
      <c r="E591" t="s">
        <v>109</v>
      </c>
      <c r="F591">
        <v>1</v>
      </c>
      <c r="G591" t="s">
        <v>67</v>
      </c>
      <c r="H591" t="s">
        <v>112</v>
      </c>
      <c r="I591">
        <v>8</v>
      </c>
      <c r="J591" s="19">
        <f>WEEKNUM(tblRidershipData[[#This Row],[MeasurementDate]])</f>
        <v>38</v>
      </c>
      <c r="K591" s="19">
        <f>MONTH(tblRidershipData[[#This Row],[MeasurementDate]])</f>
        <v>9</v>
      </c>
    </row>
    <row r="592" spans="1:11" x14ac:dyDescent="0.25">
      <c r="A592" s="31">
        <v>43724</v>
      </c>
      <c r="B592" t="s">
        <v>2</v>
      </c>
      <c r="C592">
        <v>9320</v>
      </c>
      <c r="D592" t="s">
        <v>99</v>
      </c>
      <c r="E592" t="s">
        <v>109</v>
      </c>
      <c r="F592">
        <v>1</v>
      </c>
      <c r="G592" t="s">
        <v>73</v>
      </c>
      <c r="H592" t="s">
        <v>112</v>
      </c>
      <c r="I592">
        <v>8</v>
      </c>
      <c r="J592" s="19">
        <f>WEEKNUM(tblRidershipData[[#This Row],[MeasurementDate]])</f>
        <v>38</v>
      </c>
      <c r="K592" s="19">
        <f>MONTH(tblRidershipData[[#This Row],[MeasurementDate]])</f>
        <v>9</v>
      </c>
    </row>
    <row r="593" spans="1:11" x14ac:dyDescent="0.25">
      <c r="A593" s="31">
        <v>43724</v>
      </c>
      <c r="B593" t="s">
        <v>2</v>
      </c>
      <c r="C593">
        <v>9320</v>
      </c>
      <c r="D593" t="s">
        <v>99</v>
      </c>
      <c r="E593" t="s">
        <v>109</v>
      </c>
      <c r="F593">
        <v>2</v>
      </c>
      <c r="G593" t="s">
        <v>47</v>
      </c>
      <c r="H593" t="s">
        <v>112</v>
      </c>
      <c r="I593">
        <v>1</v>
      </c>
      <c r="J593" s="19">
        <f>WEEKNUM(tblRidershipData[[#This Row],[MeasurementDate]])</f>
        <v>38</v>
      </c>
      <c r="K593" s="19">
        <f>MONTH(tblRidershipData[[#This Row],[MeasurementDate]])</f>
        <v>9</v>
      </c>
    </row>
    <row r="594" spans="1:11" x14ac:dyDescent="0.25">
      <c r="A594" s="31">
        <v>43724</v>
      </c>
      <c r="B594" t="s">
        <v>2</v>
      </c>
      <c r="C594">
        <v>9320</v>
      </c>
      <c r="D594" t="s">
        <v>99</v>
      </c>
      <c r="E594" t="s">
        <v>109</v>
      </c>
      <c r="F594">
        <v>2</v>
      </c>
      <c r="G594" t="s">
        <v>50</v>
      </c>
      <c r="H594" t="s">
        <v>112</v>
      </c>
      <c r="I594">
        <v>3</v>
      </c>
      <c r="J594" s="19">
        <f>WEEKNUM(tblRidershipData[[#This Row],[MeasurementDate]])</f>
        <v>38</v>
      </c>
      <c r="K594" s="19">
        <f>MONTH(tblRidershipData[[#This Row],[MeasurementDate]])</f>
        <v>9</v>
      </c>
    </row>
    <row r="595" spans="1:11" x14ac:dyDescent="0.25">
      <c r="A595" s="31">
        <v>43724</v>
      </c>
      <c r="B595" t="s">
        <v>2</v>
      </c>
      <c r="C595">
        <v>9320</v>
      </c>
      <c r="D595" t="s">
        <v>99</v>
      </c>
      <c r="E595" t="s">
        <v>109</v>
      </c>
      <c r="F595">
        <v>2</v>
      </c>
      <c r="G595" t="s">
        <v>64</v>
      </c>
      <c r="H595" t="s">
        <v>112</v>
      </c>
      <c r="I595">
        <v>6</v>
      </c>
      <c r="J595" s="19">
        <f>WEEKNUM(tblRidershipData[[#This Row],[MeasurementDate]])</f>
        <v>38</v>
      </c>
      <c r="K595" s="19">
        <f>MONTH(tblRidershipData[[#This Row],[MeasurementDate]])</f>
        <v>9</v>
      </c>
    </row>
    <row r="596" spans="1:11" x14ac:dyDescent="0.25">
      <c r="A596" s="31">
        <v>43724</v>
      </c>
      <c r="B596" t="s">
        <v>2</v>
      </c>
      <c r="C596">
        <v>9320</v>
      </c>
      <c r="D596" t="s">
        <v>99</v>
      </c>
      <c r="E596" t="s">
        <v>109</v>
      </c>
      <c r="F596">
        <v>2</v>
      </c>
      <c r="G596" t="s">
        <v>67</v>
      </c>
      <c r="H596" t="s">
        <v>112</v>
      </c>
      <c r="I596">
        <v>2</v>
      </c>
      <c r="J596" s="19">
        <f>WEEKNUM(tblRidershipData[[#This Row],[MeasurementDate]])</f>
        <v>38</v>
      </c>
      <c r="K596" s="19">
        <f>MONTH(tblRidershipData[[#This Row],[MeasurementDate]])</f>
        <v>9</v>
      </c>
    </row>
    <row r="597" spans="1:11" x14ac:dyDescent="0.25">
      <c r="A597" s="31">
        <v>43740</v>
      </c>
      <c r="B597" t="s">
        <v>4</v>
      </c>
      <c r="C597">
        <v>1051</v>
      </c>
      <c r="D597" t="s">
        <v>80</v>
      </c>
      <c r="E597" t="s">
        <v>111</v>
      </c>
      <c r="F597">
        <v>1</v>
      </c>
      <c r="G597" t="s">
        <v>43</v>
      </c>
      <c r="H597" t="s">
        <v>110</v>
      </c>
      <c r="I597">
        <v>13</v>
      </c>
      <c r="J597" s="19">
        <f>WEEKNUM(tblRidershipData[[#This Row],[MeasurementDate]])</f>
        <v>40</v>
      </c>
      <c r="K597" s="19">
        <f>MONTH(tblRidershipData[[#This Row],[MeasurementDate]])</f>
        <v>10</v>
      </c>
    </row>
    <row r="598" spans="1:11" x14ac:dyDescent="0.25">
      <c r="A598" s="31">
        <v>43740</v>
      </c>
      <c r="B598" t="s">
        <v>4</v>
      </c>
      <c r="C598">
        <v>1051</v>
      </c>
      <c r="D598" t="s">
        <v>80</v>
      </c>
      <c r="E598" t="s">
        <v>111</v>
      </c>
      <c r="F598">
        <v>1</v>
      </c>
      <c r="G598" t="s">
        <v>55</v>
      </c>
      <c r="H598" t="s">
        <v>110</v>
      </c>
      <c r="I598">
        <v>5</v>
      </c>
      <c r="J598" s="19">
        <f>WEEKNUM(tblRidershipData[[#This Row],[MeasurementDate]])</f>
        <v>40</v>
      </c>
      <c r="K598" s="19">
        <f>MONTH(tblRidershipData[[#This Row],[MeasurementDate]])</f>
        <v>10</v>
      </c>
    </row>
    <row r="599" spans="1:11" x14ac:dyDescent="0.25">
      <c r="A599" s="31">
        <v>43740</v>
      </c>
      <c r="B599" t="s">
        <v>4</v>
      </c>
      <c r="C599">
        <v>1051</v>
      </c>
      <c r="D599" t="s">
        <v>80</v>
      </c>
      <c r="E599" t="s">
        <v>111</v>
      </c>
      <c r="F599">
        <v>1</v>
      </c>
      <c r="G599" t="s">
        <v>59</v>
      </c>
      <c r="H599" t="s">
        <v>110</v>
      </c>
      <c r="I599">
        <v>2</v>
      </c>
      <c r="J599" s="19">
        <f>WEEKNUM(tblRidershipData[[#This Row],[MeasurementDate]])</f>
        <v>40</v>
      </c>
      <c r="K599" s="19">
        <f>MONTH(tblRidershipData[[#This Row],[MeasurementDate]])</f>
        <v>10</v>
      </c>
    </row>
    <row r="600" spans="1:11" x14ac:dyDescent="0.25">
      <c r="A600" s="31">
        <v>43740</v>
      </c>
      <c r="B600" t="s">
        <v>4</v>
      </c>
      <c r="C600">
        <v>1051</v>
      </c>
      <c r="D600" t="s">
        <v>80</v>
      </c>
      <c r="E600" t="s">
        <v>111</v>
      </c>
      <c r="F600">
        <v>1</v>
      </c>
      <c r="G600" t="s">
        <v>60</v>
      </c>
      <c r="H600" t="s">
        <v>110</v>
      </c>
      <c r="I600">
        <v>3</v>
      </c>
      <c r="J600" s="19">
        <f>WEEKNUM(tblRidershipData[[#This Row],[MeasurementDate]])</f>
        <v>40</v>
      </c>
      <c r="K600" s="19">
        <f>MONTH(tblRidershipData[[#This Row],[MeasurementDate]])</f>
        <v>10</v>
      </c>
    </row>
    <row r="601" spans="1:11" x14ac:dyDescent="0.25">
      <c r="A601" s="31">
        <v>43740</v>
      </c>
      <c r="B601" t="s">
        <v>4</v>
      </c>
      <c r="C601">
        <v>1051</v>
      </c>
      <c r="D601" t="s">
        <v>80</v>
      </c>
      <c r="E601" t="s">
        <v>111</v>
      </c>
      <c r="F601">
        <v>1</v>
      </c>
      <c r="G601" t="s">
        <v>66</v>
      </c>
      <c r="H601" t="s">
        <v>110</v>
      </c>
      <c r="I601">
        <v>11</v>
      </c>
      <c r="J601" s="19">
        <f>WEEKNUM(tblRidershipData[[#This Row],[MeasurementDate]])</f>
        <v>40</v>
      </c>
      <c r="K601" s="19">
        <f>MONTH(tblRidershipData[[#This Row],[MeasurementDate]])</f>
        <v>10</v>
      </c>
    </row>
    <row r="602" spans="1:11" x14ac:dyDescent="0.25">
      <c r="A602" s="31">
        <v>43740</v>
      </c>
      <c r="B602" t="s">
        <v>4</v>
      </c>
      <c r="C602">
        <v>1051</v>
      </c>
      <c r="D602" t="s">
        <v>80</v>
      </c>
      <c r="E602" t="s">
        <v>111</v>
      </c>
      <c r="F602">
        <v>1</v>
      </c>
      <c r="G602" t="s">
        <v>69</v>
      </c>
      <c r="H602" t="s">
        <v>110</v>
      </c>
      <c r="I602">
        <v>1</v>
      </c>
      <c r="J602" s="19">
        <f>WEEKNUM(tblRidershipData[[#This Row],[MeasurementDate]])</f>
        <v>40</v>
      </c>
      <c r="K602" s="19">
        <f>MONTH(tblRidershipData[[#This Row],[MeasurementDate]])</f>
        <v>10</v>
      </c>
    </row>
    <row r="603" spans="1:11" x14ac:dyDescent="0.25">
      <c r="A603" s="31">
        <v>43740</v>
      </c>
      <c r="B603" t="s">
        <v>4</v>
      </c>
      <c r="C603">
        <v>1051</v>
      </c>
      <c r="D603" t="s">
        <v>80</v>
      </c>
      <c r="E603" t="s">
        <v>111</v>
      </c>
      <c r="F603">
        <v>1</v>
      </c>
      <c r="G603" t="s">
        <v>71</v>
      </c>
      <c r="H603" t="s">
        <v>110</v>
      </c>
      <c r="I603">
        <v>4</v>
      </c>
      <c r="J603" s="19">
        <f>WEEKNUM(tblRidershipData[[#This Row],[MeasurementDate]])</f>
        <v>40</v>
      </c>
      <c r="K603" s="19">
        <f>MONTH(tblRidershipData[[#This Row],[MeasurementDate]])</f>
        <v>10</v>
      </c>
    </row>
    <row r="604" spans="1:11" x14ac:dyDescent="0.25">
      <c r="A604" s="31">
        <v>43740</v>
      </c>
      <c r="B604" t="s">
        <v>4</v>
      </c>
      <c r="C604">
        <v>1051</v>
      </c>
      <c r="D604" t="s">
        <v>80</v>
      </c>
      <c r="E604" t="s">
        <v>111</v>
      </c>
      <c r="F604">
        <v>1</v>
      </c>
      <c r="G604" t="s">
        <v>76</v>
      </c>
      <c r="H604" t="s">
        <v>110</v>
      </c>
      <c r="I604">
        <v>1</v>
      </c>
      <c r="J604" s="19">
        <f>WEEKNUM(tblRidershipData[[#This Row],[MeasurementDate]])</f>
        <v>40</v>
      </c>
      <c r="K604" s="19">
        <f>MONTH(tblRidershipData[[#This Row],[MeasurementDate]])</f>
        <v>10</v>
      </c>
    </row>
    <row r="605" spans="1:11" x14ac:dyDescent="0.25">
      <c r="A605" s="31">
        <v>43740</v>
      </c>
      <c r="B605" t="s">
        <v>4</v>
      </c>
      <c r="C605">
        <v>1051</v>
      </c>
      <c r="D605" t="s">
        <v>80</v>
      </c>
      <c r="E605" t="s">
        <v>111</v>
      </c>
      <c r="F605">
        <v>2</v>
      </c>
      <c r="G605" t="s">
        <v>43</v>
      </c>
      <c r="H605" t="s">
        <v>110</v>
      </c>
      <c r="I605">
        <v>2</v>
      </c>
      <c r="J605" s="19">
        <f>WEEKNUM(tblRidershipData[[#This Row],[MeasurementDate]])</f>
        <v>40</v>
      </c>
      <c r="K605" s="19">
        <f>MONTH(tblRidershipData[[#This Row],[MeasurementDate]])</f>
        <v>10</v>
      </c>
    </row>
    <row r="606" spans="1:11" x14ac:dyDescent="0.25">
      <c r="A606" s="31">
        <v>43740</v>
      </c>
      <c r="B606" t="s">
        <v>4</v>
      </c>
      <c r="C606">
        <v>1051</v>
      </c>
      <c r="D606" t="s">
        <v>80</v>
      </c>
      <c r="E606" t="s">
        <v>111</v>
      </c>
      <c r="F606">
        <v>2</v>
      </c>
      <c r="G606" t="s">
        <v>46</v>
      </c>
      <c r="H606" t="s">
        <v>110</v>
      </c>
      <c r="I606">
        <v>2</v>
      </c>
      <c r="J606" s="19">
        <f>WEEKNUM(tblRidershipData[[#This Row],[MeasurementDate]])</f>
        <v>40</v>
      </c>
      <c r="K606" s="19">
        <f>MONTH(tblRidershipData[[#This Row],[MeasurementDate]])</f>
        <v>10</v>
      </c>
    </row>
    <row r="607" spans="1:11" x14ac:dyDescent="0.25">
      <c r="A607" s="31">
        <v>43740</v>
      </c>
      <c r="B607" t="s">
        <v>4</v>
      </c>
      <c r="C607">
        <v>1051</v>
      </c>
      <c r="D607" t="s">
        <v>80</v>
      </c>
      <c r="E607" t="s">
        <v>111</v>
      </c>
      <c r="F607">
        <v>2</v>
      </c>
      <c r="G607" t="s">
        <v>51</v>
      </c>
      <c r="H607" t="s">
        <v>110</v>
      </c>
      <c r="I607">
        <v>3</v>
      </c>
      <c r="J607" s="19">
        <f>WEEKNUM(tblRidershipData[[#This Row],[MeasurementDate]])</f>
        <v>40</v>
      </c>
      <c r="K607" s="19">
        <f>MONTH(tblRidershipData[[#This Row],[MeasurementDate]])</f>
        <v>10</v>
      </c>
    </row>
    <row r="608" spans="1:11" x14ac:dyDescent="0.25">
      <c r="A608" s="31">
        <v>43740</v>
      </c>
      <c r="B608" t="s">
        <v>4</v>
      </c>
      <c r="C608">
        <v>1051</v>
      </c>
      <c r="D608" t="s">
        <v>80</v>
      </c>
      <c r="E608" t="s">
        <v>111</v>
      </c>
      <c r="F608">
        <v>2</v>
      </c>
      <c r="G608" t="s">
        <v>55</v>
      </c>
      <c r="H608" t="s">
        <v>110</v>
      </c>
      <c r="I608">
        <v>1</v>
      </c>
      <c r="J608" s="19">
        <f>WEEKNUM(tblRidershipData[[#This Row],[MeasurementDate]])</f>
        <v>40</v>
      </c>
      <c r="K608" s="19">
        <f>MONTH(tblRidershipData[[#This Row],[MeasurementDate]])</f>
        <v>10</v>
      </c>
    </row>
    <row r="609" spans="1:11" x14ac:dyDescent="0.25">
      <c r="A609" s="31">
        <v>43740</v>
      </c>
      <c r="B609" t="s">
        <v>4</v>
      </c>
      <c r="C609">
        <v>1051</v>
      </c>
      <c r="D609" t="s">
        <v>80</v>
      </c>
      <c r="E609" t="s">
        <v>111</v>
      </c>
      <c r="F609">
        <v>2</v>
      </c>
      <c r="G609" t="s">
        <v>69</v>
      </c>
      <c r="H609" t="s">
        <v>110</v>
      </c>
      <c r="I609">
        <v>3</v>
      </c>
      <c r="J609" s="19">
        <f>WEEKNUM(tblRidershipData[[#This Row],[MeasurementDate]])</f>
        <v>40</v>
      </c>
      <c r="K609" s="19">
        <f>MONTH(tblRidershipData[[#This Row],[MeasurementDate]])</f>
        <v>10</v>
      </c>
    </row>
    <row r="610" spans="1:11" x14ac:dyDescent="0.25">
      <c r="A610" s="31">
        <v>43740</v>
      </c>
      <c r="B610" t="s">
        <v>4</v>
      </c>
      <c r="C610">
        <v>1051</v>
      </c>
      <c r="D610" t="s">
        <v>80</v>
      </c>
      <c r="E610" t="s">
        <v>109</v>
      </c>
      <c r="F610">
        <v>1</v>
      </c>
      <c r="G610" t="s">
        <v>43</v>
      </c>
      <c r="H610" t="s">
        <v>110</v>
      </c>
      <c r="I610">
        <v>1</v>
      </c>
      <c r="J610" s="19">
        <f>WEEKNUM(tblRidershipData[[#This Row],[MeasurementDate]])</f>
        <v>40</v>
      </c>
      <c r="K610" s="19">
        <f>MONTH(tblRidershipData[[#This Row],[MeasurementDate]])</f>
        <v>10</v>
      </c>
    </row>
    <row r="611" spans="1:11" x14ac:dyDescent="0.25">
      <c r="A611" s="31">
        <v>43740</v>
      </c>
      <c r="B611" t="s">
        <v>4</v>
      </c>
      <c r="C611">
        <v>1051</v>
      </c>
      <c r="D611" t="s">
        <v>80</v>
      </c>
      <c r="E611" t="s">
        <v>109</v>
      </c>
      <c r="F611">
        <v>1</v>
      </c>
      <c r="G611" t="s">
        <v>44</v>
      </c>
      <c r="H611" t="s">
        <v>110</v>
      </c>
      <c r="I611">
        <v>16</v>
      </c>
      <c r="J611" s="19">
        <f>WEEKNUM(tblRidershipData[[#This Row],[MeasurementDate]])</f>
        <v>40</v>
      </c>
      <c r="K611" s="19">
        <f>MONTH(tblRidershipData[[#This Row],[MeasurementDate]])</f>
        <v>10</v>
      </c>
    </row>
    <row r="612" spans="1:11" x14ac:dyDescent="0.25">
      <c r="A612" s="31">
        <v>43740</v>
      </c>
      <c r="B612" t="s">
        <v>4</v>
      </c>
      <c r="C612">
        <v>1051</v>
      </c>
      <c r="D612" t="s">
        <v>80</v>
      </c>
      <c r="E612" t="s">
        <v>109</v>
      </c>
      <c r="F612">
        <v>1</v>
      </c>
      <c r="G612" t="s">
        <v>57</v>
      </c>
      <c r="H612" t="s">
        <v>110</v>
      </c>
      <c r="I612">
        <v>7</v>
      </c>
      <c r="J612" s="19">
        <f>WEEKNUM(tblRidershipData[[#This Row],[MeasurementDate]])</f>
        <v>40</v>
      </c>
      <c r="K612" s="19">
        <f>MONTH(tblRidershipData[[#This Row],[MeasurementDate]])</f>
        <v>10</v>
      </c>
    </row>
    <row r="613" spans="1:11" x14ac:dyDescent="0.25">
      <c r="A613" s="31">
        <v>43740</v>
      </c>
      <c r="B613" t="s">
        <v>4</v>
      </c>
      <c r="C613">
        <v>1051</v>
      </c>
      <c r="D613" t="s">
        <v>80</v>
      </c>
      <c r="E613" t="s">
        <v>109</v>
      </c>
      <c r="F613">
        <v>1</v>
      </c>
      <c r="G613" t="s">
        <v>59</v>
      </c>
      <c r="H613" t="s">
        <v>110</v>
      </c>
      <c r="I613">
        <v>27</v>
      </c>
      <c r="J613" s="19">
        <f>WEEKNUM(tblRidershipData[[#This Row],[MeasurementDate]])</f>
        <v>40</v>
      </c>
      <c r="K613" s="19">
        <f>MONTH(tblRidershipData[[#This Row],[MeasurementDate]])</f>
        <v>10</v>
      </c>
    </row>
    <row r="614" spans="1:11" x14ac:dyDescent="0.25">
      <c r="A614" s="31">
        <v>43740</v>
      </c>
      <c r="B614" t="s">
        <v>4</v>
      </c>
      <c r="C614">
        <v>1051</v>
      </c>
      <c r="D614" t="s">
        <v>80</v>
      </c>
      <c r="E614" t="s">
        <v>109</v>
      </c>
      <c r="F614">
        <v>1</v>
      </c>
      <c r="G614" t="s">
        <v>75</v>
      </c>
      <c r="H614" t="s">
        <v>110</v>
      </c>
      <c r="I614">
        <v>12</v>
      </c>
      <c r="J614" s="19">
        <f>WEEKNUM(tblRidershipData[[#This Row],[MeasurementDate]])</f>
        <v>40</v>
      </c>
      <c r="K614" s="19">
        <f>MONTH(tblRidershipData[[#This Row],[MeasurementDate]])</f>
        <v>10</v>
      </c>
    </row>
    <row r="615" spans="1:11" x14ac:dyDescent="0.25">
      <c r="A615" s="31">
        <v>43740</v>
      </c>
      <c r="B615" t="s">
        <v>4</v>
      </c>
      <c r="C615">
        <v>1051</v>
      </c>
      <c r="D615" t="s">
        <v>80</v>
      </c>
      <c r="E615" t="s">
        <v>111</v>
      </c>
      <c r="F615">
        <v>1</v>
      </c>
      <c r="G615" t="s">
        <v>44</v>
      </c>
      <c r="H615" t="s">
        <v>112</v>
      </c>
      <c r="I615">
        <v>11</v>
      </c>
      <c r="J615" s="19">
        <f>WEEKNUM(tblRidershipData[[#This Row],[MeasurementDate]])</f>
        <v>40</v>
      </c>
      <c r="K615" s="19">
        <f>MONTH(tblRidershipData[[#This Row],[MeasurementDate]])</f>
        <v>10</v>
      </c>
    </row>
    <row r="616" spans="1:11" x14ac:dyDescent="0.25">
      <c r="A616" s="31">
        <v>43740</v>
      </c>
      <c r="B616" t="s">
        <v>4</v>
      </c>
      <c r="C616">
        <v>1051</v>
      </c>
      <c r="D616" t="s">
        <v>80</v>
      </c>
      <c r="E616" t="s">
        <v>111</v>
      </c>
      <c r="F616">
        <v>1</v>
      </c>
      <c r="G616" t="s">
        <v>51</v>
      </c>
      <c r="H616" t="s">
        <v>112</v>
      </c>
      <c r="I616">
        <v>4</v>
      </c>
      <c r="J616" s="19">
        <f>WEEKNUM(tblRidershipData[[#This Row],[MeasurementDate]])</f>
        <v>40</v>
      </c>
      <c r="K616" s="19">
        <f>MONTH(tblRidershipData[[#This Row],[MeasurementDate]])</f>
        <v>10</v>
      </c>
    </row>
    <row r="617" spans="1:11" x14ac:dyDescent="0.25">
      <c r="A617" s="31">
        <v>43740</v>
      </c>
      <c r="B617" t="s">
        <v>4</v>
      </c>
      <c r="C617">
        <v>1051</v>
      </c>
      <c r="D617" t="s">
        <v>80</v>
      </c>
      <c r="E617" t="s">
        <v>111</v>
      </c>
      <c r="F617">
        <v>1</v>
      </c>
      <c r="G617" t="s">
        <v>55</v>
      </c>
      <c r="H617" t="s">
        <v>112</v>
      </c>
      <c r="I617">
        <v>4</v>
      </c>
      <c r="J617" s="19">
        <f>WEEKNUM(tblRidershipData[[#This Row],[MeasurementDate]])</f>
        <v>40</v>
      </c>
      <c r="K617" s="19">
        <f>MONTH(tblRidershipData[[#This Row],[MeasurementDate]])</f>
        <v>10</v>
      </c>
    </row>
    <row r="618" spans="1:11" x14ac:dyDescent="0.25">
      <c r="A618" s="31">
        <v>43740</v>
      </c>
      <c r="B618" t="s">
        <v>4</v>
      </c>
      <c r="C618">
        <v>1051</v>
      </c>
      <c r="D618" t="s">
        <v>80</v>
      </c>
      <c r="E618" t="s">
        <v>111</v>
      </c>
      <c r="F618">
        <v>1</v>
      </c>
      <c r="G618" t="s">
        <v>69</v>
      </c>
      <c r="H618" t="s">
        <v>112</v>
      </c>
      <c r="I618">
        <v>19</v>
      </c>
      <c r="J618" s="19">
        <f>WEEKNUM(tblRidershipData[[#This Row],[MeasurementDate]])</f>
        <v>40</v>
      </c>
      <c r="K618" s="19">
        <f>MONTH(tblRidershipData[[#This Row],[MeasurementDate]])</f>
        <v>10</v>
      </c>
    </row>
    <row r="619" spans="1:11" x14ac:dyDescent="0.25">
      <c r="A619" s="31">
        <v>43740</v>
      </c>
      <c r="B619" t="s">
        <v>4</v>
      </c>
      <c r="C619">
        <v>1051</v>
      </c>
      <c r="D619" t="s">
        <v>80</v>
      </c>
      <c r="E619" t="s">
        <v>111</v>
      </c>
      <c r="F619">
        <v>1</v>
      </c>
      <c r="G619" t="s">
        <v>75</v>
      </c>
      <c r="H619" t="s">
        <v>112</v>
      </c>
      <c r="I619">
        <v>13</v>
      </c>
      <c r="J619" s="19">
        <f>WEEKNUM(tblRidershipData[[#This Row],[MeasurementDate]])</f>
        <v>40</v>
      </c>
      <c r="K619" s="19">
        <f>MONTH(tblRidershipData[[#This Row],[MeasurementDate]])</f>
        <v>10</v>
      </c>
    </row>
    <row r="620" spans="1:11" x14ac:dyDescent="0.25">
      <c r="A620" s="31">
        <v>43740</v>
      </c>
      <c r="B620" t="s">
        <v>4</v>
      </c>
      <c r="C620">
        <v>1051</v>
      </c>
      <c r="E620" t="s">
        <v>109</v>
      </c>
      <c r="F620">
        <v>1</v>
      </c>
      <c r="G620" t="s">
        <v>43</v>
      </c>
      <c r="H620" t="s">
        <v>112</v>
      </c>
      <c r="I620">
        <v>9</v>
      </c>
      <c r="J620" s="19">
        <f>WEEKNUM(tblRidershipData[[#This Row],[MeasurementDate]])</f>
        <v>40</v>
      </c>
      <c r="K620" s="19">
        <f>MONTH(tblRidershipData[[#This Row],[MeasurementDate]])</f>
        <v>10</v>
      </c>
    </row>
    <row r="621" spans="1:11" x14ac:dyDescent="0.25">
      <c r="A621" s="31">
        <v>43740</v>
      </c>
      <c r="B621" t="s">
        <v>4</v>
      </c>
      <c r="C621">
        <v>1051</v>
      </c>
      <c r="E621" t="s">
        <v>109</v>
      </c>
      <c r="F621">
        <v>1</v>
      </c>
      <c r="G621" t="s">
        <v>46</v>
      </c>
      <c r="H621" t="s">
        <v>112</v>
      </c>
      <c r="I621">
        <v>4</v>
      </c>
      <c r="J621" s="19">
        <f>WEEKNUM(tblRidershipData[[#This Row],[MeasurementDate]])</f>
        <v>40</v>
      </c>
      <c r="K621" s="19">
        <f>MONTH(tblRidershipData[[#This Row],[MeasurementDate]])</f>
        <v>10</v>
      </c>
    </row>
    <row r="622" spans="1:11" x14ac:dyDescent="0.25">
      <c r="A622" s="31">
        <v>43740</v>
      </c>
      <c r="B622" t="s">
        <v>4</v>
      </c>
      <c r="C622">
        <v>1051</v>
      </c>
      <c r="E622" t="s">
        <v>109</v>
      </c>
      <c r="F622">
        <v>1</v>
      </c>
      <c r="G622" t="s">
        <v>54</v>
      </c>
      <c r="H622" t="s">
        <v>112</v>
      </c>
      <c r="I622">
        <v>4</v>
      </c>
      <c r="J622" s="19">
        <f>WEEKNUM(tblRidershipData[[#This Row],[MeasurementDate]])</f>
        <v>40</v>
      </c>
      <c r="K622" s="19">
        <f>MONTH(tblRidershipData[[#This Row],[MeasurementDate]])</f>
        <v>10</v>
      </c>
    </row>
    <row r="623" spans="1:11" x14ac:dyDescent="0.25">
      <c r="A623" s="31">
        <v>43740</v>
      </c>
      <c r="B623" t="s">
        <v>4</v>
      </c>
      <c r="C623">
        <v>1051</v>
      </c>
      <c r="E623" t="s">
        <v>109</v>
      </c>
      <c r="F623">
        <v>1</v>
      </c>
      <c r="G623" t="s">
        <v>58</v>
      </c>
      <c r="H623" t="s">
        <v>112</v>
      </c>
      <c r="I623">
        <v>2</v>
      </c>
      <c r="J623" s="19">
        <f>WEEKNUM(tblRidershipData[[#This Row],[MeasurementDate]])</f>
        <v>40</v>
      </c>
      <c r="K623" s="19">
        <f>MONTH(tblRidershipData[[#This Row],[MeasurementDate]])</f>
        <v>10</v>
      </c>
    </row>
    <row r="624" spans="1:11" x14ac:dyDescent="0.25">
      <c r="A624" s="31">
        <v>43740</v>
      </c>
      <c r="B624" t="s">
        <v>4</v>
      </c>
      <c r="C624">
        <v>1051</v>
      </c>
      <c r="E624" t="s">
        <v>109</v>
      </c>
      <c r="F624">
        <v>1</v>
      </c>
      <c r="G624" t="s">
        <v>59</v>
      </c>
      <c r="H624" t="s">
        <v>112</v>
      </c>
      <c r="I624">
        <v>1</v>
      </c>
      <c r="J624" s="19">
        <f>WEEKNUM(tblRidershipData[[#This Row],[MeasurementDate]])</f>
        <v>40</v>
      </c>
      <c r="K624" s="19">
        <f>MONTH(tblRidershipData[[#This Row],[MeasurementDate]])</f>
        <v>10</v>
      </c>
    </row>
    <row r="625" spans="1:11" x14ac:dyDescent="0.25">
      <c r="A625" s="31">
        <v>43740</v>
      </c>
      <c r="B625" t="s">
        <v>4</v>
      </c>
      <c r="C625">
        <v>1051</v>
      </c>
      <c r="E625" t="s">
        <v>109</v>
      </c>
      <c r="F625">
        <v>1</v>
      </c>
      <c r="G625" t="s">
        <v>60</v>
      </c>
      <c r="H625" t="s">
        <v>112</v>
      </c>
      <c r="I625">
        <v>5</v>
      </c>
      <c r="J625" s="19">
        <f>WEEKNUM(tblRidershipData[[#This Row],[MeasurementDate]])</f>
        <v>40</v>
      </c>
      <c r="K625" s="19">
        <f>MONTH(tblRidershipData[[#This Row],[MeasurementDate]])</f>
        <v>10</v>
      </c>
    </row>
    <row r="626" spans="1:11" x14ac:dyDescent="0.25">
      <c r="A626" s="31">
        <v>43740</v>
      </c>
      <c r="B626" t="s">
        <v>4</v>
      </c>
      <c r="C626">
        <v>1051</v>
      </c>
      <c r="E626" t="s">
        <v>109</v>
      </c>
      <c r="F626">
        <v>1</v>
      </c>
      <c r="G626" t="s">
        <v>62</v>
      </c>
      <c r="H626" t="s">
        <v>112</v>
      </c>
      <c r="I626">
        <v>1</v>
      </c>
      <c r="J626" s="19">
        <f>WEEKNUM(tblRidershipData[[#This Row],[MeasurementDate]])</f>
        <v>40</v>
      </c>
      <c r="K626" s="19">
        <f>MONTH(tblRidershipData[[#This Row],[MeasurementDate]])</f>
        <v>10</v>
      </c>
    </row>
    <row r="627" spans="1:11" x14ac:dyDescent="0.25">
      <c r="A627" s="31">
        <v>43740</v>
      </c>
      <c r="B627" t="s">
        <v>4</v>
      </c>
      <c r="C627">
        <v>1051</v>
      </c>
      <c r="E627" t="s">
        <v>109</v>
      </c>
      <c r="F627">
        <v>1</v>
      </c>
      <c r="G627" t="s">
        <v>64</v>
      </c>
      <c r="H627" t="s">
        <v>112</v>
      </c>
      <c r="I627">
        <v>1</v>
      </c>
      <c r="J627" s="19">
        <f>WEEKNUM(tblRidershipData[[#This Row],[MeasurementDate]])</f>
        <v>40</v>
      </c>
      <c r="K627" s="19">
        <f>MONTH(tblRidershipData[[#This Row],[MeasurementDate]])</f>
        <v>10</v>
      </c>
    </row>
    <row r="628" spans="1:11" x14ac:dyDescent="0.25">
      <c r="A628" s="31">
        <v>43740</v>
      </c>
      <c r="B628" t="s">
        <v>4</v>
      </c>
      <c r="C628">
        <v>1051</v>
      </c>
      <c r="E628" t="s">
        <v>109</v>
      </c>
      <c r="F628">
        <v>1</v>
      </c>
      <c r="G628" t="s">
        <v>66</v>
      </c>
      <c r="H628" t="s">
        <v>112</v>
      </c>
      <c r="I628">
        <v>1</v>
      </c>
      <c r="J628" s="19">
        <f>WEEKNUM(tblRidershipData[[#This Row],[MeasurementDate]])</f>
        <v>40</v>
      </c>
      <c r="K628" s="19">
        <f>MONTH(tblRidershipData[[#This Row],[MeasurementDate]])</f>
        <v>10</v>
      </c>
    </row>
    <row r="629" spans="1:11" x14ac:dyDescent="0.25">
      <c r="A629" s="31">
        <v>43740</v>
      </c>
      <c r="B629" t="s">
        <v>4</v>
      </c>
      <c r="C629">
        <v>1051</v>
      </c>
      <c r="E629" t="s">
        <v>109</v>
      </c>
      <c r="F629">
        <v>1</v>
      </c>
      <c r="G629" t="s">
        <v>69</v>
      </c>
      <c r="H629" t="s">
        <v>112</v>
      </c>
      <c r="I629">
        <v>1</v>
      </c>
      <c r="J629" s="19">
        <f>WEEKNUM(tblRidershipData[[#This Row],[MeasurementDate]])</f>
        <v>40</v>
      </c>
      <c r="K629" s="19">
        <f>MONTH(tblRidershipData[[#This Row],[MeasurementDate]])</f>
        <v>10</v>
      </c>
    </row>
    <row r="630" spans="1:11" x14ac:dyDescent="0.25">
      <c r="A630" s="31">
        <v>43740</v>
      </c>
      <c r="B630" t="s">
        <v>4</v>
      </c>
      <c r="C630">
        <v>1051</v>
      </c>
      <c r="E630" t="s">
        <v>109</v>
      </c>
      <c r="F630">
        <v>1</v>
      </c>
      <c r="G630" t="s">
        <v>70</v>
      </c>
      <c r="H630" t="s">
        <v>112</v>
      </c>
      <c r="I630">
        <v>14</v>
      </c>
      <c r="J630" s="19">
        <f>WEEKNUM(tblRidershipData[[#This Row],[MeasurementDate]])</f>
        <v>40</v>
      </c>
      <c r="K630" s="19">
        <f>MONTH(tblRidershipData[[#This Row],[MeasurementDate]])</f>
        <v>10</v>
      </c>
    </row>
    <row r="631" spans="1:11" x14ac:dyDescent="0.25">
      <c r="A631" s="31">
        <v>43740</v>
      </c>
      <c r="B631" t="s">
        <v>4</v>
      </c>
      <c r="C631">
        <v>1051</v>
      </c>
      <c r="E631" t="s">
        <v>109</v>
      </c>
      <c r="F631">
        <v>1</v>
      </c>
      <c r="G631" t="s">
        <v>71</v>
      </c>
      <c r="H631" t="s">
        <v>112</v>
      </c>
      <c r="I631">
        <v>13</v>
      </c>
      <c r="J631" s="19">
        <f>WEEKNUM(tblRidershipData[[#This Row],[MeasurementDate]])</f>
        <v>40</v>
      </c>
      <c r="K631" s="19">
        <f>MONTH(tblRidershipData[[#This Row],[MeasurementDate]])</f>
        <v>10</v>
      </c>
    </row>
    <row r="632" spans="1:11" x14ac:dyDescent="0.25">
      <c r="A632" s="31">
        <v>43740</v>
      </c>
      <c r="B632" t="s">
        <v>4</v>
      </c>
      <c r="C632">
        <v>1051</v>
      </c>
      <c r="E632" t="s">
        <v>109</v>
      </c>
      <c r="F632">
        <v>1</v>
      </c>
      <c r="G632" t="s">
        <v>73</v>
      </c>
      <c r="H632" t="s">
        <v>112</v>
      </c>
      <c r="I632">
        <v>4</v>
      </c>
      <c r="J632" s="19">
        <f>WEEKNUM(tblRidershipData[[#This Row],[MeasurementDate]])</f>
        <v>40</v>
      </c>
      <c r="K632" s="19">
        <f>MONTH(tblRidershipData[[#This Row],[MeasurementDate]])</f>
        <v>10</v>
      </c>
    </row>
    <row r="633" spans="1:11" x14ac:dyDescent="0.25">
      <c r="A633" s="31">
        <v>43740</v>
      </c>
      <c r="B633" t="s">
        <v>4</v>
      </c>
      <c r="C633">
        <v>1051</v>
      </c>
      <c r="E633" t="s">
        <v>109</v>
      </c>
      <c r="F633">
        <v>1</v>
      </c>
      <c r="G633" t="s">
        <v>75</v>
      </c>
      <c r="H633" t="s">
        <v>112</v>
      </c>
      <c r="I633">
        <v>2</v>
      </c>
      <c r="J633" s="19">
        <f>WEEKNUM(tblRidershipData[[#This Row],[MeasurementDate]])</f>
        <v>40</v>
      </c>
      <c r="K633" s="19">
        <f>MONTH(tblRidershipData[[#This Row],[MeasurementDate]])</f>
        <v>10</v>
      </c>
    </row>
    <row r="634" spans="1:11" x14ac:dyDescent="0.25">
      <c r="A634" s="31">
        <v>43740</v>
      </c>
      <c r="B634" t="s">
        <v>4</v>
      </c>
      <c r="C634">
        <v>1051</v>
      </c>
      <c r="E634" t="s">
        <v>109</v>
      </c>
      <c r="F634">
        <v>2</v>
      </c>
      <c r="G634" t="s">
        <v>46</v>
      </c>
      <c r="H634" t="s">
        <v>112</v>
      </c>
      <c r="I634">
        <v>1</v>
      </c>
      <c r="J634" s="19">
        <f>WEEKNUM(tblRidershipData[[#This Row],[MeasurementDate]])</f>
        <v>40</v>
      </c>
      <c r="K634" s="19">
        <f>MONTH(tblRidershipData[[#This Row],[MeasurementDate]])</f>
        <v>10</v>
      </c>
    </row>
    <row r="635" spans="1:11" x14ac:dyDescent="0.25">
      <c r="A635" s="31">
        <v>43740</v>
      </c>
      <c r="B635" t="s">
        <v>4</v>
      </c>
      <c r="C635">
        <v>1051</v>
      </c>
      <c r="D635" t="s">
        <v>80</v>
      </c>
      <c r="E635" t="s">
        <v>111</v>
      </c>
      <c r="F635">
        <v>1</v>
      </c>
      <c r="G635" t="s">
        <v>44</v>
      </c>
      <c r="H635" t="s">
        <v>112</v>
      </c>
      <c r="I635">
        <v>11</v>
      </c>
      <c r="J635" s="19">
        <f>WEEKNUM(tblRidershipData[[#This Row],[MeasurementDate]])</f>
        <v>40</v>
      </c>
      <c r="K635" s="19">
        <f>MONTH(tblRidershipData[[#This Row],[MeasurementDate]])</f>
        <v>10</v>
      </c>
    </row>
    <row r="636" spans="1:11" x14ac:dyDescent="0.25">
      <c r="A636" s="31">
        <v>43740</v>
      </c>
      <c r="B636" t="s">
        <v>4</v>
      </c>
      <c r="C636">
        <v>1051</v>
      </c>
      <c r="D636" t="s">
        <v>80</v>
      </c>
      <c r="E636" t="s">
        <v>111</v>
      </c>
      <c r="F636">
        <v>1</v>
      </c>
      <c r="G636" t="s">
        <v>51</v>
      </c>
      <c r="H636" t="s">
        <v>112</v>
      </c>
      <c r="I636">
        <v>4</v>
      </c>
      <c r="J636" s="19">
        <f>WEEKNUM(tblRidershipData[[#This Row],[MeasurementDate]])</f>
        <v>40</v>
      </c>
      <c r="K636" s="19">
        <f>MONTH(tblRidershipData[[#This Row],[MeasurementDate]])</f>
        <v>10</v>
      </c>
    </row>
    <row r="637" spans="1:11" x14ac:dyDescent="0.25">
      <c r="A637" s="31">
        <v>43740</v>
      </c>
      <c r="B637" t="s">
        <v>4</v>
      </c>
      <c r="C637">
        <v>1051</v>
      </c>
      <c r="D637" t="s">
        <v>80</v>
      </c>
      <c r="E637" t="s">
        <v>111</v>
      </c>
      <c r="F637">
        <v>1</v>
      </c>
      <c r="G637" t="s">
        <v>54</v>
      </c>
      <c r="H637" t="s">
        <v>112</v>
      </c>
      <c r="I637">
        <v>4</v>
      </c>
      <c r="J637" s="19">
        <f>WEEKNUM(tblRidershipData[[#This Row],[MeasurementDate]])</f>
        <v>40</v>
      </c>
      <c r="K637" s="19">
        <f>MONTH(tblRidershipData[[#This Row],[MeasurementDate]])</f>
        <v>10</v>
      </c>
    </row>
    <row r="638" spans="1:11" x14ac:dyDescent="0.25">
      <c r="A638" s="31">
        <v>43740</v>
      </c>
      <c r="B638" t="s">
        <v>4</v>
      </c>
      <c r="C638">
        <v>1051</v>
      </c>
      <c r="D638" t="s">
        <v>80</v>
      </c>
      <c r="E638" t="s">
        <v>111</v>
      </c>
      <c r="F638">
        <v>1</v>
      </c>
      <c r="G638" t="s">
        <v>69</v>
      </c>
      <c r="H638" t="s">
        <v>112</v>
      </c>
      <c r="I638">
        <v>19</v>
      </c>
      <c r="J638" s="19">
        <f>WEEKNUM(tblRidershipData[[#This Row],[MeasurementDate]])</f>
        <v>40</v>
      </c>
      <c r="K638" s="19">
        <f>MONTH(tblRidershipData[[#This Row],[MeasurementDate]])</f>
        <v>10</v>
      </c>
    </row>
    <row r="639" spans="1:11" x14ac:dyDescent="0.25">
      <c r="A639" s="31">
        <v>43740</v>
      </c>
      <c r="B639" t="s">
        <v>4</v>
      </c>
      <c r="C639">
        <v>1051</v>
      </c>
      <c r="D639" t="s">
        <v>80</v>
      </c>
      <c r="E639" t="s">
        <v>111</v>
      </c>
      <c r="F639">
        <v>1</v>
      </c>
      <c r="G639" t="s">
        <v>75</v>
      </c>
      <c r="H639" t="s">
        <v>112</v>
      </c>
      <c r="I639">
        <v>13</v>
      </c>
      <c r="J639" s="19">
        <f>WEEKNUM(tblRidershipData[[#This Row],[MeasurementDate]])</f>
        <v>40</v>
      </c>
      <c r="K639" s="19">
        <f>MONTH(tblRidershipData[[#This Row],[MeasurementDate]])</f>
        <v>10</v>
      </c>
    </row>
    <row r="640" spans="1:11" x14ac:dyDescent="0.25">
      <c r="A640" s="31">
        <v>43740</v>
      </c>
      <c r="B640" t="s">
        <v>4</v>
      </c>
      <c r="C640">
        <v>1059</v>
      </c>
      <c r="D640" t="s">
        <v>105</v>
      </c>
      <c r="E640" t="s">
        <v>111</v>
      </c>
      <c r="F640">
        <v>1</v>
      </c>
      <c r="G640" t="s">
        <v>43</v>
      </c>
      <c r="H640" t="s">
        <v>110</v>
      </c>
      <c r="I640">
        <v>5</v>
      </c>
      <c r="J640" s="19">
        <f>WEEKNUM(tblRidershipData[[#This Row],[MeasurementDate]])</f>
        <v>40</v>
      </c>
      <c r="K640" s="19">
        <f>MONTH(tblRidershipData[[#This Row],[MeasurementDate]])</f>
        <v>10</v>
      </c>
    </row>
    <row r="641" spans="1:11" x14ac:dyDescent="0.25">
      <c r="A641" s="31">
        <v>43740</v>
      </c>
      <c r="B641" t="s">
        <v>4</v>
      </c>
      <c r="C641">
        <v>1059</v>
      </c>
      <c r="D641" t="s">
        <v>105</v>
      </c>
      <c r="E641" t="s">
        <v>111</v>
      </c>
      <c r="F641">
        <v>1</v>
      </c>
      <c r="G641" t="s">
        <v>44</v>
      </c>
      <c r="H641" t="s">
        <v>110</v>
      </c>
      <c r="I641">
        <v>2</v>
      </c>
      <c r="J641" s="19">
        <f>WEEKNUM(tblRidershipData[[#This Row],[MeasurementDate]])</f>
        <v>40</v>
      </c>
      <c r="K641" s="19">
        <f>MONTH(tblRidershipData[[#This Row],[MeasurementDate]])</f>
        <v>10</v>
      </c>
    </row>
    <row r="642" spans="1:11" x14ac:dyDescent="0.25">
      <c r="A642" s="31">
        <v>43740</v>
      </c>
      <c r="B642" t="s">
        <v>4</v>
      </c>
      <c r="C642">
        <v>1059</v>
      </c>
      <c r="D642" t="s">
        <v>105</v>
      </c>
      <c r="E642" t="s">
        <v>111</v>
      </c>
      <c r="F642">
        <v>1</v>
      </c>
      <c r="G642" t="s">
        <v>46</v>
      </c>
      <c r="H642" t="s">
        <v>110</v>
      </c>
      <c r="I642">
        <v>16</v>
      </c>
      <c r="J642" s="19">
        <f>WEEKNUM(tblRidershipData[[#This Row],[MeasurementDate]])</f>
        <v>40</v>
      </c>
      <c r="K642" s="19">
        <f>MONTH(tblRidershipData[[#This Row],[MeasurementDate]])</f>
        <v>10</v>
      </c>
    </row>
    <row r="643" spans="1:11" x14ac:dyDescent="0.25">
      <c r="A643" s="31">
        <v>43740</v>
      </c>
      <c r="B643" t="s">
        <v>4</v>
      </c>
      <c r="C643">
        <v>1059</v>
      </c>
      <c r="D643" t="s">
        <v>105</v>
      </c>
      <c r="E643" t="s">
        <v>111</v>
      </c>
      <c r="F643">
        <v>1</v>
      </c>
      <c r="G643" t="s">
        <v>66</v>
      </c>
      <c r="H643" t="s">
        <v>110</v>
      </c>
      <c r="I643">
        <v>3</v>
      </c>
      <c r="J643" s="19">
        <f>WEEKNUM(tblRidershipData[[#This Row],[MeasurementDate]])</f>
        <v>40</v>
      </c>
      <c r="K643" s="19">
        <f>MONTH(tblRidershipData[[#This Row],[MeasurementDate]])</f>
        <v>10</v>
      </c>
    </row>
    <row r="644" spans="1:11" x14ac:dyDescent="0.25">
      <c r="A644" s="31">
        <v>43740</v>
      </c>
      <c r="B644" t="s">
        <v>4</v>
      </c>
      <c r="C644">
        <v>1059</v>
      </c>
      <c r="D644" t="s">
        <v>105</v>
      </c>
      <c r="E644" t="s">
        <v>111</v>
      </c>
      <c r="F644">
        <v>1</v>
      </c>
      <c r="G644" t="s">
        <v>69</v>
      </c>
      <c r="H644" t="s">
        <v>110</v>
      </c>
      <c r="I644">
        <v>2</v>
      </c>
      <c r="J644" s="19">
        <f>WEEKNUM(tblRidershipData[[#This Row],[MeasurementDate]])</f>
        <v>40</v>
      </c>
      <c r="K644" s="19">
        <f>MONTH(tblRidershipData[[#This Row],[MeasurementDate]])</f>
        <v>10</v>
      </c>
    </row>
    <row r="645" spans="1:11" x14ac:dyDescent="0.25">
      <c r="A645" s="31">
        <v>43740</v>
      </c>
      <c r="B645" t="s">
        <v>4</v>
      </c>
      <c r="C645">
        <v>1059</v>
      </c>
      <c r="D645" t="s">
        <v>105</v>
      </c>
      <c r="E645" t="s">
        <v>111</v>
      </c>
      <c r="F645">
        <v>1</v>
      </c>
      <c r="G645" t="s">
        <v>71</v>
      </c>
      <c r="H645" t="s">
        <v>110</v>
      </c>
      <c r="I645">
        <v>9</v>
      </c>
      <c r="J645" s="19">
        <f>WEEKNUM(tblRidershipData[[#This Row],[MeasurementDate]])</f>
        <v>40</v>
      </c>
      <c r="K645" s="19">
        <f>MONTH(tblRidershipData[[#This Row],[MeasurementDate]])</f>
        <v>10</v>
      </c>
    </row>
    <row r="646" spans="1:11" x14ac:dyDescent="0.25">
      <c r="A646" s="31">
        <v>43740</v>
      </c>
      <c r="B646" t="s">
        <v>4</v>
      </c>
      <c r="C646">
        <v>1059</v>
      </c>
      <c r="D646" t="s">
        <v>105</v>
      </c>
      <c r="E646" t="s">
        <v>111</v>
      </c>
      <c r="F646">
        <v>1</v>
      </c>
      <c r="G646" t="s">
        <v>69</v>
      </c>
      <c r="H646" t="s">
        <v>112</v>
      </c>
      <c r="I646">
        <v>3</v>
      </c>
      <c r="J646" s="19">
        <f>WEEKNUM(tblRidershipData[[#This Row],[MeasurementDate]])</f>
        <v>40</v>
      </c>
      <c r="K646" s="19">
        <f>MONTH(tblRidershipData[[#This Row],[MeasurementDate]])</f>
        <v>10</v>
      </c>
    </row>
    <row r="647" spans="1:11" x14ac:dyDescent="0.25">
      <c r="A647" s="31">
        <v>43740</v>
      </c>
      <c r="B647" t="s">
        <v>4</v>
      </c>
      <c r="C647">
        <v>1059</v>
      </c>
      <c r="D647" t="s">
        <v>105</v>
      </c>
      <c r="E647" t="s">
        <v>111</v>
      </c>
      <c r="F647">
        <v>1</v>
      </c>
      <c r="G647" t="s">
        <v>70</v>
      </c>
      <c r="H647" t="s">
        <v>112</v>
      </c>
      <c r="I647">
        <v>4</v>
      </c>
      <c r="J647" s="19">
        <f>WEEKNUM(tblRidershipData[[#This Row],[MeasurementDate]])</f>
        <v>40</v>
      </c>
      <c r="K647" s="19">
        <f>MONTH(tblRidershipData[[#This Row],[MeasurementDate]])</f>
        <v>10</v>
      </c>
    </row>
    <row r="648" spans="1:11" x14ac:dyDescent="0.25">
      <c r="A648" s="31">
        <v>43740</v>
      </c>
      <c r="B648" t="s">
        <v>4</v>
      </c>
      <c r="C648">
        <v>1059</v>
      </c>
      <c r="D648" t="s">
        <v>105</v>
      </c>
      <c r="E648" t="s">
        <v>111</v>
      </c>
      <c r="F648">
        <v>1</v>
      </c>
      <c r="G648" t="s">
        <v>74</v>
      </c>
      <c r="H648" t="s">
        <v>112</v>
      </c>
      <c r="I648">
        <v>30</v>
      </c>
      <c r="J648" s="19">
        <f>WEEKNUM(tblRidershipData[[#This Row],[MeasurementDate]])</f>
        <v>40</v>
      </c>
      <c r="K648" s="19">
        <f>MONTH(tblRidershipData[[#This Row],[MeasurementDate]])</f>
        <v>10</v>
      </c>
    </row>
    <row r="649" spans="1:11" x14ac:dyDescent="0.25">
      <c r="A649" s="31">
        <v>43740</v>
      </c>
      <c r="B649" t="s">
        <v>4</v>
      </c>
      <c r="C649">
        <v>1740</v>
      </c>
      <c r="D649" t="s">
        <v>81</v>
      </c>
      <c r="E649" t="s">
        <v>109</v>
      </c>
      <c r="F649">
        <v>1</v>
      </c>
      <c r="G649" t="s">
        <v>43</v>
      </c>
      <c r="H649" t="s">
        <v>110</v>
      </c>
      <c r="I649">
        <v>16</v>
      </c>
      <c r="J649" s="19">
        <f>WEEKNUM(tblRidershipData[[#This Row],[MeasurementDate]])</f>
        <v>40</v>
      </c>
      <c r="K649" s="19">
        <f>MONTH(tblRidershipData[[#This Row],[MeasurementDate]])</f>
        <v>10</v>
      </c>
    </row>
    <row r="650" spans="1:11" x14ac:dyDescent="0.25">
      <c r="A650" s="31">
        <v>43740</v>
      </c>
      <c r="B650" t="s">
        <v>4</v>
      </c>
      <c r="C650">
        <v>1740</v>
      </c>
      <c r="D650" t="s">
        <v>81</v>
      </c>
      <c r="E650" t="s">
        <v>109</v>
      </c>
      <c r="F650">
        <v>1</v>
      </c>
      <c r="G650" t="s">
        <v>44</v>
      </c>
      <c r="H650" t="s">
        <v>110</v>
      </c>
      <c r="I650">
        <v>2</v>
      </c>
      <c r="J650" s="19">
        <f>WEEKNUM(tblRidershipData[[#This Row],[MeasurementDate]])</f>
        <v>40</v>
      </c>
      <c r="K650" s="19">
        <f>MONTH(tblRidershipData[[#This Row],[MeasurementDate]])</f>
        <v>10</v>
      </c>
    </row>
    <row r="651" spans="1:11" x14ac:dyDescent="0.25">
      <c r="A651" s="31">
        <v>43740</v>
      </c>
      <c r="B651" t="s">
        <v>4</v>
      </c>
      <c r="C651">
        <v>1740</v>
      </c>
      <c r="D651" t="s">
        <v>81</v>
      </c>
      <c r="E651" t="s">
        <v>109</v>
      </c>
      <c r="F651">
        <v>1</v>
      </c>
      <c r="G651" t="s">
        <v>46</v>
      </c>
      <c r="H651" t="s">
        <v>110</v>
      </c>
      <c r="I651">
        <v>1</v>
      </c>
      <c r="J651" s="19">
        <f>WEEKNUM(tblRidershipData[[#This Row],[MeasurementDate]])</f>
        <v>40</v>
      </c>
      <c r="K651" s="19">
        <f>MONTH(tblRidershipData[[#This Row],[MeasurementDate]])</f>
        <v>10</v>
      </c>
    </row>
    <row r="652" spans="1:11" x14ac:dyDescent="0.25">
      <c r="A652" s="31">
        <v>43740</v>
      </c>
      <c r="B652" t="s">
        <v>4</v>
      </c>
      <c r="C652">
        <v>1740</v>
      </c>
      <c r="D652" t="s">
        <v>81</v>
      </c>
      <c r="E652" t="s">
        <v>109</v>
      </c>
      <c r="F652">
        <v>1</v>
      </c>
      <c r="G652" t="s">
        <v>54</v>
      </c>
      <c r="H652" t="s">
        <v>110</v>
      </c>
      <c r="I652">
        <v>1</v>
      </c>
      <c r="J652" s="19">
        <f>WEEKNUM(tblRidershipData[[#This Row],[MeasurementDate]])</f>
        <v>40</v>
      </c>
      <c r="K652" s="19">
        <f>MONTH(tblRidershipData[[#This Row],[MeasurementDate]])</f>
        <v>10</v>
      </c>
    </row>
    <row r="653" spans="1:11" x14ac:dyDescent="0.25">
      <c r="A653" s="31">
        <v>43740</v>
      </c>
      <c r="B653" t="s">
        <v>4</v>
      </c>
      <c r="C653">
        <v>1740</v>
      </c>
      <c r="D653" t="s">
        <v>81</v>
      </c>
      <c r="E653" t="s">
        <v>109</v>
      </c>
      <c r="F653">
        <v>1</v>
      </c>
      <c r="G653" t="s">
        <v>55</v>
      </c>
      <c r="H653" t="s">
        <v>110</v>
      </c>
      <c r="I653">
        <v>1</v>
      </c>
      <c r="J653" s="19">
        <f>WEEKNUM(tblRidershipData[[#This Row],[MeasurementDate]])</f>
        <v>40</v>
      </c>
      <c r="K653" s="19">
        <f>MONTH(tblRidershipData[[#This Row],[MeasurementDate]])</f>
        <v>10</v>
      </c>
    </row>
    <row r="654" spans="1:11" x14ac:dyDescent="0.25">
      <c r="A654" s="31">
        <v>43740</v>
      </c>
      <c r="B654" t="s">
        <v>4</v>
      </c>
      <c r="C654">
        <v>1740</v>
      </c>
      <c r="D654" t="s">
        <v>81</v>
      </c>
      <c r="E654" t="s">
        <v>109</v>
      </c>
      <c r="F654">
        <v>1</v>
      </c>
      <c r="G654" t="s">
        <v>67</v>
      </c>
      <c r="H654" t="s">
        <v>110</v>
      </c>
      <c r="I654">
        <v>20</v>
      </c>
      <c r="J654" s="19">
        <f>WEEKNUM(tblRidershipData[[#This Row],[MeasurementDate]])</f>
        <v>40</v>
      </c>
      <c r="K654" s="19">
        <f>MONTH(tblRidershipData[[#This Row],[MeasurementDate]])</f>
        <v>10</v>
      </c>
    </row>
    <row r="655" spans="1:11" x14ac:dyDescent="0.25">
      <c r="A655" s="31">
        <v>43740</v>
      </c>
      <c r="B655" t="s">
        <v>4</v>
      </c>
      <c r="C655">
        <v>1740</v>
      </c>
      <c r="D655" t="s">
        <v>81</v>
      </c>
      <c r="E655" t="s">
        <v>109</v>
      </c>
      <c r="F655">
        <v>1</v>
      </c>
      <c r="G655" t="s">
        <v>69</v>
      </c>
      <c r="H655" t="s">
        <v>110</v>
      </c>
      <c r="I655">
        <v>12</v>
      </c>
      <c r="J655" s="19">
        <f>WEEKNUM(tblRidershipData[[#This Row],[MeasurementDate]])</f>
        <v>40</v>
      </c>
      <c r="K655" s="19">
        <f>MONTH(tblRidershipData[[#This Row],[MeasurementDate]])</f>
        <v>10</v>
      </c>
    </row>
    <row r="656" spans="1:11" x14ac:dyDescent="0.25">
      <c r="A656" s="31">
        <v>43740</v>
      </c>
      <c r="B656" t="s">
        <v>4</v>
      </c>
      <c r="C656">
        <v>1740</v>
      </c>
      <c r="D656" t="s">
        <v>81</v>
      </c>
      <c r="E656" t="s">
        <v>109</v>
      </c>
      <c r="F656">
        <v>1</v>
      </c>
      <c r="G656" t="s">
        <v>71</v>
      </c>
      <c r="H656" t="s">
        <v>110</v>
      </c>
      <c r="I656">
        <v>3</v>
      </c>
      <c r="J656" s="19">
        <f>WEEKNUM(tblRidershipData[[#This Row],[MeasurementDate]])</f>
        <v>40</v>
      </c>
      <c r="K656" s="19">
        <f>MONTH(tblRidershipData[[#This Row],[MeasurementDate]])</f>
        <v>10</v>
      </c>
    </row>
    <row r="657" spans="1:11" x14ac:dyDescent="0.25">
      <c r="A657" s="31">
        <v>43740</v>
      </c>
      <c r="B657" t="s">
        <v>4</v>
      </c>
      <c r="C657">
        <v>1740</v>
      </c>
      <c r="D657" t="s">
        <v>81</v>
      </c>
      <c r="E657" t="s">
        <v>109</v>
      </c>
      <c r="F657">
        <v>1</v>
      </c>
      <c r="G657" t="s">
        <v>73</v>
      </c>
      <c r="H657" t="s">
        <v>110</v>
      </c>
      <c r="I657">
        <v>1</v>
      </c>
      <c r="J657" s="19">
        <f>WEEKNUM(tblRidershipData[[#This Row],[MeasurementDate]])</f>
        <v>40</v>
      </c>
      <c r="K657" s="19">
        <f>MONTH(tblRidershipData[[#This Row],[MeasurementDate]])</f>
        <v>10</v>
      </c>
    </row>
    <row r="658" spans="1:11" x14ac:dyDescent="0.25">
      <c r="A658" s="31">
        <v>43740</v>
      </c>
      <c r="B658" t="s">
        <v>4</v>
      </c>
      <c r="C658">
        <v>1740</v>
      </c>
      <c r="D658" t="s">
        <v>81</v>
      </c>
      <c r="E658" t="s">
        <v>109</v>
      </c>
      <c r="F658">
        <v>1</v>
      </c>
      <c r="G658" t="s">
        <v>76</v>
      </c>
      <c r="H658" t="s">
        <v>110</v>
      </c>
      <c r="I658">
        <v>2</v>
      </c>
      <c r="J658" s="19">
        <f>WEEKNUM(tblRidershipData[[#This Row],[MeasurementDate]])</f>
        <v>40</v>
      </c>
      <c r="K658" s="19">
        <f>MONTH(tblRidershipData[[#This Row],[MeasurementDate]])</f>
        <v>10</v>
      </c>
    </row>
    <row r="659" spans="1:11" x14ac:dyDescent="0.25">
      <c r="A659" s="31">
        <v>43740</v>
      </c>
      <c r="B659" t="s">
        <v>4</v>
      </c>
      <c r="C659">
        <v>2361</v>
      </c>
      <c r="D659" t="s">
        <v>81</v>
      </c>
      <c r="E659" t="s">
        <v>111</v>
      </c>
      <c r="F659">
        <v>1</v>
      </c>
      <c r="G659" t="s">
        <v>51</v>
      </c>
      <c r="H659" t="s">
        <v>110</v>
      </c>
      <c r="I659">
        <v>17</v>
      </c>
      <c r="J659" s="19">
        <f>WEEKNUM(tblRidershipData[[#This Row],[MeasurementDate]])</f>
        <v>40</v>
      </c>
      <c r="K659" s="19">
        <f>MONTH(tblRidershipData[[#This Row],[MeasurementDate]])</f>
        <v>10</v>
      </c>
    </row>
    <row r="660" spans="1:11" x14ac:dyDescent="0.25">
      <c r="A660" s="31">
        <v>43740</v>
      </c>
      <c r="B660" t="s">
        <v>4</v>
      </c>
      <c r="C660">
        <v>2361</v>
      </c>
      <c r="D660" t="s">
        <v>81</v>
      </c>
      <c r="E660" t="s">
        <v>111</v>
      </c>
      <c r="F660">
        <v>1</v>
      </c>
      <c r="G660" t="s">
        <v>59</v>
      </c>
      <c r="H660" t="s">
        <v>110</v>
      </c>
      <c r="I660">
        <v>34</v>
      </c>
      <c r="J660" s="19">
        <f>WEEKNUM(tblRidershipData[[#This Row],[MeasurementDate]])</f>
        <v>40</v>
      </c>
      <c r="K660" s="19">
        <f>MONTH(tblRidershipData[[#This Row],[MeasurementDate]])</f>
        <v>10</v>
      </c>
    </row>
    <row r="661" spans="1:11" x14ac:dyDescent="0.25">
      <c r="A661" s="31">
        <v>43740</v>
      </c>
      <c r="B661" t="s">
        <v>4</v>
      </c>
      <c r="C661">
        <v>2361</v>
      </c>
      <c r="D661" t="s">
        <v>81</v>
      </c>
      <c r="E661" t="s">
        <v>111</v>
      </c>
      <c r="F661">
        <v>1</v>
      </c>
      <c r="G661" t="s">
        <v>67</v>
      </c>
      <c r="H661" t="s">
        <v>110</v>
      </c>
      <c r="I661">
        <v>5</v>
      </c>
      <c r="J661" s="19">
        <f>WEEKNUM(tblRidershipData[[#This Row],[MeasurementDate]])</f>
        <v>40</v>
      </c>
      <c r="K661" s="19">
        <f>MONTH(tblRidershipData[[#This Row],[MeasurementDate]])</f>
        <v>10</v>
      </c>
    </row>
    <row r="662" spans="1:11" x14ac:dyDescent="0.25">
      <c r="A662" s="31">
        <v>43740</v>
      </c>
      <c r="B662" t="s">
        <v>4</v>
      </c>
      <c r="C662">
        <v>2361</v>
      </c>
      <c r="D662" t="s">
        <v>81</v>
      </c>
      <c r="E662" t="s">
        <v>111</v>
      </c>
      <c r="F662">
        <v>1</v>
      </c>
      <c r="G662" t="s">
        <v>75</v>
      </c>
      <c r="H662" t="s">
        <v>110</v>
      </c>
      <c r="I662">
        <v>25</v>
      </c>
      <c r="J662" s="19">
        <f>WEEKNUM(tblRidershipData[[#This Row],[MeasurementDate]])</f>
        <v>40</v>
      </c>
      <c r="K662" s="19">
        <f>MONTH(tblRidershipData[[#This Row],[MeasurementDate]])</f>
        <v>10</v>
      </c>
    </row>
    <row r="663" spans="1:11" x14ac:dyDescent="0.25">
      <c r="A663" s="31">
        <v>43740</v>
      </c>
      <c r="B663" t="s">
        <v>4</v>
      </c>
      <c r="C663">
        <v>2361</v>
      </c>
      <c r="D663" t="s">
        <v>81</v>
      </c>
      <c r="E663" t="s">
        <v>111</v>
      </c>
      <c r="F663">
        <v>1</v>
      </c>
      <c r="G663" t="s">
        <v>43</v>
      </c>
      <c r="H663" t="s">
        <v>112</v>
      </c>
      <c r="I663">
        <v>12</v>
      </c>
      <c r="J663" s="19">
        <f>WEEKNUM(tblRidershipData[[#This Row],[MeasurementDate]])</f>
        <v>40</v>
      </c>
      <c r="K663" s="19">
        <f>MONTH(tblRidershipData[[#This Row],[MeasurementDate]])</f>
        <v>10</v>
      </c>
    </row>
    <row r="664" spans="1:11" x14ac:dyDescent="0.25">
      <c r="A664" s="31">
        <v>43740</v>
      </c>
      <c r="B664" t="s">
        <v>4</v>
      </c>
      <c r="C664">
        <v>2361</v>
      </c>
      <c r="D664" t="s">
        <v>81</v>
      </c>
      <c r="E664" t="s">
        <v>111</v>
      </c>
      <c r="F664">
        <v>1</v>
      </c>
      <c r="G664" t="s">
        <v>44</v>
      </c>
      <c r="H664" t="s">
        <v>112</v>
      </c>
      <c r="I664">
        <v>11</v>
      </c>
      <c r="J664" s="19">
        <f>WEEKNUM(tblRidershipData[[#This Row],[MeasurementDate]])</f>
        <v>40</v>
      </c>
      <c r="K664" s="19">
        <f>MONTH(tblRidershipData[[#This Row],[MeasurementDate]])</f>
        <v>10</v>
      </c>
    </row>
    <row r="665" spans="1:11" x14ac:dyDescent="0.25">
      <c r="A665" s="31">
        <v>43740</v>
      </c>
      <c r="B665" t="s">
        <v>4</v>
      </c>
      <c r="C665">
        <v>2361</v>
      </c>
      <c r="D665" t="s">
        <v>81</v>
      </c>
      <c r="E665" t="s">
        <v>111</v>
      </c>
      <c r="F665">
        <v>1</v>
      </c>
      <c r="G665" t="s">
        <v>46</v>
      </c>
      <c r="H665" t="s">
        <v>112</v>
      </c>
      <c r="I665">
        <v>9</v>
      </c>
      <c r="J665" s="19">
        <f>WEEKNUM(tblRidershipData[[#This Row],[MeasurementDate]])</f>
        <v>40</v>
      </c>
      <c r="K665" s="19">
        <f>MONTH(tblRidershipData[[#This Row],[MeasurementDate]])</f>
        <v>10</v>
      </c>
    </row>
    <row r="666" spans="1:11" x14ac:dyDescent="0.25">
      <c r="A666" s="31">
        <v>43740</v>
      </c>
      <c r="B666" t="s">
        <v>4</v>
      </c>
      <c r="C666">
        <v>2361</v>
      </c>
      <c r="D666" t="s">
        <v>81</v>
      </c>
      <c r="E666" t="s">
        <v>111</v>
      </c>
      <c r="F666">
        <v>1</v>
      </c>
      <c r="G666" t="s">
        <v>55</v>
      </c>
      <c r="H666" t="s">
        <v>112</v>
      </c>
      <c r="I666">
        <v>13</v>
      </c>
      <c r="J666" s="19">
        <f>WEEKNUM(tblRidershipData[[#This Row],[MeasurementDate]])</f>
        <v>40</v>
      </c>
      <c r="K666" s="19">
        <f>MONTH(tblRidershipData[[#This Row],[MeasurementDate]])</f>
        <v>10</v>
      </c>
    </row>
    <row r="667" spans="1:11" x14ac:dyDescent="0.25">
      <c r="A667" s="31">
        <v>43740</v>
      </c>
      <c r="B667" t="s">
        <v>4</v>
      </c>
      <c r="C667">
        <v>2361</v>
      </c>
      <c r="D667" t="s">
        <v>81</v>
      </c>
      <c r="E667" t="s">
        <v>111</v>
      </c>
      <c r="F667">
        <v>1</v>
      </c>
      <c r="G667" t="s">
        <v>57</v>
      </c>
      <c r="H667" t="s">
        <v>112</v>
      </c>
      <c r="I667">
        <v>2</v>
      </c>
      <c r="J667" s="19">
        <f>WEEKNUM(tblRidershipData[[#This Row],[MeasurementDate]])</f>
        <v>40</v>
      </c>
      <c r="K667" s="19">
        <f>MONTH(tblRidershipData[[#This Row],[MeasurementDate]])</f>
        <v>10</v>
      </c>
    </row>
    <row r="668" spans="1:11" x14ac:dyDescent="0.25">
      <c r="A668" s="31">
        <v>43740</v>
      </c>
      <c r="B668" t="s">
        <v>4</v>
      </c>
      <c r="C668">
        <v>2361</v>
      </c>
      <c r="D668" t="s">
        <v>81</v>
      </c>
      <c r="E668" t="s">
        <v>111</v>
      </c>
      <c r="F668">
        <v>1</v>
      </c>
      <c r="G668" t="s">
        <v>59</v>
      </c>
      <c r="H668" t="s">
        <v>112</v>
      </c>
      <c r="I668">
        <v>3</v>
      </c>
      <c r="J668" s="19">
        <f>WEEKNUM(tblRidershipData[[#This Row],[MeasurementDate]])</f>
        <v>40</v>
      </c>
      <c r="K668" s="19">
        <f>MONTH(tblRidershipData[[#This Row],[MeasurementDate]])</f>
        <v>10</v>
      </c>
    </row>
    <row r="669" spans="1:11" x14ac:dyDescent="0.25">
      <c r="A669" s="31">
        <v>43740</v>
      </c>
      <c r="B669" t="s">
        <v>4</v>
      </c>
      <c r="C669">
        <v>2361</v>
      </c>
      <c r="D669" t="s">
        <v>81</v>
      </c>
      <c r="E669" t="s">
        <v>111</v>
      </c>
      <c r="F669">
        <v>1</v>
      </c>
      <c r="G669" t="s">
        <v>60</v>
      </c>
      <c r="H669" t="s">
        <v>112</v>
      </c>
      <c r="I669">
        <v>3</v>
      </c>
      <c r="J669" s="19">
        <f>WEEKNUM(tblRidershipData[[#This Row],[MeasurementDate]])</f>
        <v>40</v>
      </c>
      <c r="K669" s="19">
        <f>MONTH(tblRidershipData[[#This Row],[MeasurementDate]])</f>
        <v>10</v>
      </c>
    </row>
    <row r="670" spans="1:11" x14ac:dyDescent="0.25">
      <c r="A670" s="31">
        <v>43740</v>
      </c>
      <c r="B670" t="s">
        <v>4</v>
      </c>
      <c r="C670">
        <v>2361</v>
      </c>
      <c r="D670" t="s">
        <v>81</v>
      </c>
      <c r="E670" t="s">
        <v>111</v>
      </c>
      <c r="F670">
        <v>1</v>
      </c>
      <c r="G670" t="s">
        <v>66</v>
      </c>
      <c r="H670" t="s">
        <v>112</v>
      </c>
      <c r="I670">
        <v>2</v>
      </c>
      <c r="J670" s="19">
        <f>WEEKNUM(tblRidershipData[[#This Row],[MeasurementDate]])</f>
        <v>40</v>
      </c>
      <c r="K670" s="19">
        <f>MONTH(tblRidershipData[[#This Row],[MeasurementDate]])</f>
        <v>10</v>
      </c>
    </row>
    <row r="671" spans="1:11" x14ac:dyDescent="0.25">
      <c r="A671" s="31">
        <v>43740</v>
      </c>
      <c r="B671" t="s">
        <v>4</v>
      </c>
      <c r="C671">
        <v>2361</v>
      </c>
      <c r="D671" t="s">
        <v>81</v>
      </c>
      <c r="E671" t="s">
        <v>111</v>
      </c>
      <c r="F671">
        <v>1</v>
      </c>
      <c r="G671" t="s">
        <v>69</v>
      </c>
      <c r="H671" t="s">
        <v>112</v>
      </c>
      <c r="I671">
        <v>5</v>
      </c>
      <c r="J671" s="19">
        <f>WEEKNUM(tblRidershipData[[#This Row],[MeasurementDate]])</f>
        <v>40</v>
      </c>
      <c r="K671" s="19">
        <f>MONTH(tblRidershipData[[#This Row],[MeasurementDate]])</f>
        <v>10</v>
      </c>
    </row>
    <row r="672" spans="1:11" x14ac:dyDescent="0.25">
      <c r="A672" s="31">
        <v>43740</v>
      </c>
      <c r="B672" t="s">
        <v>4</v>
      </c>
      <c r="C672">
        <v>2361</v>
      </c>
      <c r="D672" t="s">
        <v>81</v>
      </c>
      <c r="E672" t="s">
        <v>111</v>
      </c>
      <c r="F672">
        <v>1</v>
      </c>
      <c r="G672" t="s">
        <v>70</v>
      </c>
      <c r="H672" t="s">
        <v>112</v>
      </c>
      <c r="I672">
        <v>11</v>
      </c>
      <c r="J672" s="19">
        <f>WEEKNUM(tblRidershipData[[#This Row],[MeasurementDate]])</f>
        <v>40</v>
      </c>
      <c r="K672" s="19">
        <f>MONTH(tblRidershipData[[#This Row],[MeasurementDate]])</f>
        <v>10</v>
      </c>
    </row>
    <row r="673" spans="1:11" x14ac:dyDescent="0.25">
      <c r="A673" s="31">
        <v>43740</v>
      </c>
      <c r="B673" t="s">
        <v>4</v>
      </c>
      <c r="C673">
        <v>2361</v>
      </c>
      <c r="D673" t="s">
        <v>81</v>
      </c>
      <c r="E673" t="s">
        <v>111</v>
      </c>
      <c r="F673">
        <v>1</v>
      </c>
      <c r="G673" t="s">
        <v>71</v>
      </c>
      <c r="H673" t="s">
        <v>112</v>
      </c>
      <c r="I673">
        <v>9</v>
      </c>
      <c r="J673" s="19">
        <f>WEEKNUM(tblRidershipData[[#This Row],[MeasurementDate]])</f>
        <v>40</v>
      </c>
      <c r="K673" s="19">
        <f>MONTH(tblRidershipData[[#This Row],[MeasurementDate]])</f>
        <v>10</v>
      </c>
    </row>
    <row r="674" spans="1:11" x14ac:dyDescent="0.25">
      <c r="A674" s="31">
        <v>43740</v>
      </c>
      <c r="B674" t="s">
        <v>4</v>
      </c>
      <c r="C674">
        <v>2361</v>
      </c>
      <c r="D674" t="s">
        <v>81</v>
      </c>
      <c r="E674" t="s">
        <v>111</v>
      </c>
      <c r="F674">
        <v>1</v>
      </c>
      <c r="G674" t="s">
        <v>76</v>
      </c>
      <c r="H674" t="s">
        <v>112</v>
      </c>
      <c r="I674">
        <v>1</v>
      </c>
      <c r="J674" s="19">
        <f>WEEKNUM(tblRidershipData[[#This Row],[MeasurementDate]])</f>
        <v>40</v>
      </c>
      <c r="K674" s="19">
        <f>MONTH(tblRidershipData[[#This Row],[MeasurementDate]])</f>
        <v>10</v>
      </c>
    </row>
    <row r="675" spans="1:11" x14ac:dyDescent="0.25">
      <c r="A675" s="31">
        <v>43740</v>
      </c>
      <c r="B675" t="s">
        <v>4</v>
      </c>
      <c r="C675">
        <v>2361</v>
      </c>
      <c r="D675" t="s">
        <v>81</v>
      </c>
      <c r="E675" t="s">
        <v>109</v>
      </c>
      <c r="F675">
        <v>1</v>
      </c>
      <c r="G675" t="s">
        <v>42</v>
      </c>
      <c r="H675" t="s">
        <v>112</v>
      </c>
      <c r="I675">
        <v>10</v>
      </c>
      <c r="J675" s="19">
        <f>WEEKNUM(tblRidershipData[[#This Row],[MeasurementDate]])</f>
        <v>40</v>
      </c>
      <c r="K675" s="19">
        <f>MONTH(tblRidershipData[[#This Row],[MeasurementDate]])</f>
        <v>10</v>
      </c>
    </row>
    <row r="676" spans="1:11" x14ac:dyDescent="0.25">
      <c r="A676" s="31">
        <v>43740</v>
      </c>
      <c r="B676" t="s">
        <v>4</v>
      </c>
      <c r="C676">
        <v>2361</v>
      </c>
      <c r="D676" t="s">
        <v>81</v>
      </c>
      <c r="E676" t="s">
        <v>109</v>
      </c>
      <c r="F676">
        <v>1</v>
      </c>
      <c r="G676" t="s">
        <v>52</v>
      </c>
      <c r="H676" t="s">
        <v>112</v>
      </c>
      <c r="I676">
        <v>10</v>
      </c>
      <c r="J676" s="19">
        <f>WEEKNUM(tblRidershipData[[#This Row],[MeasurementDate]])</f>
        <v>40</v>
      </c>
      <c r="K676" s="19">
        <f>MONTH(tblRidershipData[[#This Row],[MeasurementDate]])</f>
        <v>10</v>
      </c>
    </row>
    <row r="677" spans="1:11" x14ac:dyDescent="0.25">
      <c r="A677" s="31">
        <v>43740</v>
      </c>
      <c r="B677" t="s">
        <v>4</v>
      </c>
      <c r="C677">
        <v>2361</v>
      </c>
      <c r="D677" t="s">
        <v>81</v>
      </c>
      <c r="E677" t="s">
        <v>109</v>
      </c>
      <c r="F677">
        <v>1</v>
      </c>
      <c r="G677" t="s">
        <v>69</v>
      </c>
      <c r="H677" t="s">
        <v>112</v>
      </c>
      <c r="I677">
        <v>20</v>
      </c>
      <c r="J677" s="19">
        <f>WEEKNUM(tblRidershipData[[#This Row],[MeasurementDate]])</f>
        <v>40</v>
      </c>
      <c r="K677" s="19">
        <f>MONTH(tblRidershipData[[#This Row],[MeasurementDate]])</f>
        <v>10</v>
      </c>
    </row>
    <row r="678" spans="1:11" x14ac:dyDescent="0.25">
      <c r="A678" s="31">
        <v>43740</v>
      </c>
      <c r="B678" t="s">
        <v>4</v>
      </c>
      <c r="C678">
        <v>2361</v>
      </c>
      <c r="D678" t="s">
        <v>81</v>
      </c>
      <c r="E678" t="s">
        <v>109</v>
      </c>
      <c r="F678">
        <v>1</v>
      </c>
      <c r="G678" t="s">
        <v>70</v>
      </c>
      <c r="H678" t="s">
        <v>112</v>
      </c>
      <c r="I678">
        <v>19</v>
      </c>
      <c r="J678" s="19">
        <f>WEEKNUM(tblRidershipData[[#This Row],[MeasurementDate]])</f>
        <v>40</v>
      </c>
      <c r="K678" s="19">
        <f>MONTH(tblRidershipData[[#This Row],[MeasurementDate]])</f>
        <v>10</v>
      </c>
    </row>
    <row r="679" spans="1:11" x14ac:dyDescent="0.25">
      <c r="A679" s="31">
        <v>43740</v>
      </c>
      <c r="B679" t="s">
        <v>4</v>
      </c>
      <c r="C679">
        <v>4501</v>
      </c>
      <c r="D679" t="s">
        <v>116</v>
      </c>
      <c r="E679" t="s">
        <v>111</v>
      </c>
      <c r="F679">
        <v>1</v>
      </c>
      <c r="G679" t="s">
        <v>43</v>
      </c>
      <c r="H679" t="s">
        <v>110</v>
      </c>
      <c r="I679">
        <v>4</v>
      </c>
      <c r="J679" s="19">
        <f>WEEKNUM(tblRidershipData[[#This Row],[MeasurementDate]])</f>
        <v>40</v>
      </c>
      <c r="K679" s="19">
        <f>MONTH(tblRidershipData[[#This Row],[MeasurementDate]])</f>
        <v>10</v>
      </c>
    </row>
    <row r="680" spans="1:11" x14ac:dyDescent="0.25">
      <c r="A680" s="31">
        <v>43740</v>
      </c>
      <c r="B680" t="s">
        <v>4</v>
      </c>
      <c r="C680">
        <v>4501</v>
      </c>
      <c r="D680" t="s">
        <v>116</v>
      </c>
      <c r="E680" t="s">
        <v>111</v>
      </c>
      <c r="F680">
        <v>1</v>
      </c>
      <c r="G680" t="s">
        <v>44</v>
      </c>
      <c r="H680" t="s">
        <v>110</v>
      </c>
      <c r="I680">
        <v>2</v>
      </c>
      <c r="J680" s="19">
        <f>WEEKNUM(tblRidershipData[[#This Row],[MeasurementDate]])</f>
        <v>40</v>
      </c>
      <c r="K680" s="19">
        <f>MONTH(tblRidershipData[[#This Row],[MeasurementDate]])</f>
        <v>10</v>
      </c>
    </row>
    <row r="681" spans="1:11" x14ac:dyDescent="0.25">
      <c r="A681" s="31">
        <v>43740</v>
      </c>
      <c r="B681" t="s">
        <v>4</v>
      </c>
      <c r="C681">
        <v>4501</v>
      </c>
      <c r="D681" t="s">
        <v>116</v>
      </c>
      <c r="E681" t="s">
        <v>111</v>
      </c>
      <c r="F681">
        <v>1</v>
      </c>
      <c r="G681" t="s">
        <v>46</v>
      </c>
      <c r="H681" t="s">
        <v>110</v>
      </c>
      <c r="I681">
        <v>8</v>
      </c>
      <c r="J681" s="19">
        <f>WEEKNUM(tblRidershipData[[#This Row],[MeasurementDate]])</f>
        <v>40</v>
      </c>
      <c r="K681" s="19">
        <f>MONTH(tblRidershipData[[#This Row],[MeasurementDate]])</f>
        <v>10</v>
      </c>
    </row>
    <row r="682" spans="1:11" x14ac:dyDescent="0.25">
      <c r="A682" s="31">
        <v>43740</v>
      </c>
      <c r="B682" t="s">
        <v>4</v>
      </c>
      <c r="C682">
        <v>4501</v>
      </c>
      <c r="D682" t="s">
        <v>116</v>
      </c>
      <c r="E682" t="s">
        <v>111</v>
      </c>
      <c r="F682">
        <v>1</v>
      </c>
      <c r="G682" t="s">
        <v>66</v>
      </c>
      <c r="H682" t="s">
        <v>110</v>
      </c>
      <c r="I682">
        <v>6</v>
      </c>
      <c r="J682" s="19">
        <f>WEEKNUM(tblRidershipData[[#This Row],[MeasurementDate]])</f>
        <v>40</v>
      </c>
      <c r="K682" s="19">
        <f>MONTH(tblRidershipData[[#This Row],[MeasurementDate]])</f>
        <v>10</v>
      </c>
    </row>
    <row r="683" spans="1:11" x14ac:dyDescent="0.25">
      <c r="A683" s="31">
        <v>43740</v>
      </c>
      <c r="B683" t="s">
        <v>4</v>
      </c>
      <c r="C683">
        <v>4501</v>
      </c>
      <c r="D683" t="s">
        <v>116</v>
      </c>
      <c r="E683" t="s">
        <v>111</v>
      </c>
      <c r="F683">
        <v>1</v>
      </c>
      <c r="G683" t="s">
        <v>70</v>
      </c>
      <c r="H683" t="s">
        <v>110</v>
      </c>
      <c r="I683">
        <v>1</v>
      </c>
      <c r="J683" s="19">
        <f>WEEKNUM(tblRidershipData[[#This Row],[MeasurementDate]])</f>
        <v>40</v>
      </c>
      <c r="K683" s="19">
        <f>MONTH(tblRidershipData[[#This Row],[MeasurementDate]])</f>
        <v>10</v>
      </c>
    </row>
    <row r="684" spans="1:11" x14ac:dyDescent="0.25">
      <c r="A684" s="31">
        <v>43740</v>
      </c>
      <c r="B684" t="s">
        <v>4</v>
      </c>
      <c r="C684">
        <v>4501</v>
      </c>
      <c r="D684" t="s">
        <v>116</v>
      </c>
      <c r="E684" t="s">
        <v>111</v>
      </c>
      <c r="F684">
        <v>1</v>
      </c>
      <c r="G684" t="s">
        <v>76</v>
      </c>
      <c r="H684" t="s">
        <v>110</v>
      </c>
      <c r="I684">
        <v>4</v>
      </c>
      <c r="J684" s="19">
        <f>WEEKNUM(tblRidershipData[[#This Row],[MeasurementDate]])</f>
        <v>40</v>
      </c>
      <c r="K684" s="19">
        <f>MONTH(tblRidershipData[[#This Row],[MeasurementDate]])</f>
        <v>10</v>
      </c>
    </row>
    <row r="685" spans="1:11" x14ac:dyDescent="0.25">
      <c r="A685" s="31">
        <v>43740</v>
      </c>
      <c r="B685" t="s">
        <v>4</v>
      </c>
      <c r="C685">
        <v>4501</v>
      </c>
      <c r="D685" t="s">
        <v>116</v>
      </c>
      <c r="E685" t="s">
        <v>109</v>
      </c>
      <c r="F685">
        <v>1</v>
      </c>
      <c r="G685" t="s">
        <v>73</v>
      </c>
      <c r="H685" t="s">
        <v>110</v>
      </c>
      <c r="I685">
        <v>16</v>
      </c>
      <c r="J685" s="19">
        <f>WEEKNUM(tblRidershipData[[#This Row],[MeasurementDate]])</f>
        <v>40</v>
      </c>
      <c r="K685" s="19">
        <f>MONTH(tblRidershipData[[#This Row],[MeasurementDate]])</f>
        <v>10</v>
      </c>
    </row>
    <row r="686" spans="1:11" x14ac:dyDescent="0.25">
      <c r="A686" s="31">
        <v>43740</v>
      </c>
      <c r="B686" t="s">
        <v>4</v>
      </c>
      <c r="C686">
        <v>4501</v>
      </c>
      <c r="D686" t="s">
        <v>116</v>
      </c>
      <c r="E686" t="s">
        <v>109</v>
      </c>
      <c r="F686">
        <v>1</v>
      </c>
      <c r="G686" t="s">
        <v>74</v>
      </c>
      <c r="H686" t="s">
        <v>110</v>
      </c>
      <c r="I686">
        <v>11</v>
      </c>
      <c r="J686" s="19">
        <f>WEEKNUM(tblRidershipData[[#This Row],[MeasurementDate]])</f>
        <v>40</v>
      </c>
      <c r="K686" s="19">
        <f>MONTH(tblRidershipData[[#This Row],[MeasurementDate]])</f>
        <v>10</v>
      </c>
    </row>
    <row r="687" spans="1:11" x14ac:dyDescent="0.25">
      <c r="A687" s="31">
        <v>43740</v>
      </c>
      <c r="B687" t="s">
        <v>4</v>
      </c>
      <c r="C687">
        <v>4501</v>
      </c>
      <c r="D687" t="s">
        <v>79</v>
      </c>
      <c r="E687" t="s">
        <v>111</v>
      </c>
      <c r="F687">
        <v>1</v>
      </c>
      <c r="G687" t="s">
        <v>46</v>
      </c>
      <c r="H687" t="s">
        <v>112</v>
      </c>
      <c r="I687">
        <v>4</v>
      </c>
      <c r="J687" s="19">
        <f>WEEKNUM(tblRidershipData[[#This Row],[MeasurementDate]])</f>
        <v>40</v>
      </c>
      <c r="K687" s="19">
        <f>MONTH(tblRidershipData[[#This Row],[MeasurementDate]])</f>
        <v>10</v>
      </c>
    </row>
    <row r="688" spans="1:11" x14ac:dyDescent="0.25">
      <c r="A688" s="31">
        <v>43740</v>
      </c>
      <c r="B688" t="s">
        <v>4</v>
      </c>
      <c r="C688">
        <v>4501</v>
      </c>
      <c r="D688" t="s">
        <v>79</v>
      </c>
      <c r="E688" t="s">
        <v>111</v>
      </c>
      <c r="F688">
        <v>1</v>
      </c>
      <c r="G688" t="s">
        <v>66</v>
      </c>
      <c r="H688" t="s">
        <v>112</v>
      </c>
      <c r="I688">
        <v>4</v>
      </c>
      <c r="J688" s="19">
        <f>WEEKNUM(tblRidershipData[[#This Row],[MeasurementDate]])</f>
        <v>40</v>
      </c>
      <c r="K688" s="19">
        <f>MONTH(tblRidershipData[[#This Row],[MeasurementDate]])</f>
        <v>10</v>
      </c>
    </row>
    <row r="689" spans="1:11" x14ac:dyDescent="0.25">
      <c r="A689" s="31">
        <v>43740</v>
      </c>
      <c r="B689" t="s">
        <v>4</v>
      </c>
      <c r="C689">
        <v>4501</v>
      </c>
      <c r="D689" t="s">
        <v>79</v>
      </c>
      <c r="E689" t="s">
        <v>111</v>
      </c>
      <c r="F689">
        <v>1</v>
      </c>
      <c r="G689" t="s">
        <v>69</v>
      </c>
      <c r="H689" t="s">
        <v>112</v>
      </c>
      <c r="I689">
        <v>10</v>
      </c>
      <c r="J689" s="19">
        <f>WEEKNUM(tblRidershipData[[#This Row],[MeasurementDate]])</f>
        <v>40</v>
      </c>
      <c r="K689" s="19">
        <f>MONTH(tblRidershipData[[#This Row],[MeasurementDate]])</f>
        <v>10</v>
      </c>
    </row>
    <row r="690" spans="1:11" x14ac:dyDescent="0.25">
      <c r="A690" s="31">
        <v>43740</v>
      </c>
      <c r="B690" t="s">
        <v>4</v>
      </c>
      <c r="C690">
        <v>4501</v>
      </c>
      <c r="D690" t="s">
        <v>79</v>
      </c>
      <c r="E690" t="s">
        <v>111</v>
      </c>
      <c r="F690">
        <v>1</v>
      </c>
      <c r="G690" t="s">
        <v>70</v>
      </c>
      <c r="H690" t="s">
        <v>112</v>
      </c>
      <c r="I690">
        <v>7</v>
      </c>
      <c r="J690" s="19">
        <f>WEEKNUM(tblRidershipData[[#This Row],[MeasurementDate]])</f>
        <v>40</v>
      </c>
      <c r="K690" s="19">
        <f>MONTH(tblRidershipData[[#This Row],[MeasurementDate]])</f>
        <v>10</v>
      </c>
    </row>
    <row r="691" spans="1:11" x14ac:dyDescent="0.25">
      <c r="A691" s="31">
        <v>43740</v>
      </c>
      <c r="B691" t="s">
        <v>4</v>
      </c>
      <c r="C691">
        <v>4501</v>
      </c>
      <c r="D691" t="s">
        <v>79</v>
      </c>
      <c r="E691" t="s">
        <v>109</v>
      </c>
      <c r="F691">
        <v>1</v>
      </c>
      <c r="G691" t="s">
        <v>43</v>
      </c>
      <c r="H691" t="s">
        <v>112</v>
      </c>
      <c r="I691">
        <v>1</v>
      </c>
      <c r="J691" s="19">
        <f>WEEKNUM(tblRidershipData[[#This Row],[MeasurementDate]])</f>
        <v>40</v>
      </c>
      <c r="K691" s="19">
        <f>MONTH(tblRidershipData[[#This Row],[MeasurementDate]])</f>
        <v>10</v>
      </c>
    </row>
    <row r="692" spans="1:11" x14ac:dyDescent="0.25">
      <c r="A692" s="31">
        <v>43740</v>
      </c>
      <c r="B692" t="s">
        <v>4</v>
      </c>
      <c r="C692">
        <v>4501</v>
      </c>
      <c r="D692" t="s">
        <v>79</v>
      </c>
      <c r="E692" t="s">
        <v>109</v>
      </c>
      <c r="F692">
        <v>1</v>
      </c>
      <c r="G692" t="s">
        <v>44</v>
      </c>
      <c r="H692" t="s">
        <v>112</v>
      </c>
      <c r="I692">
        <v>3</v>
      </c>
      <c r="J692" s="19">
        <f>WEEKNUM(tblRidershipData[[#This Row],[MeasurementDate]])</f>
        <v>40</v>
      </c>
      <c r="K692" s="19">
        <f>MONTH(tblRidershipData[[#This Row],[MeasurementDate]])</f>
        <v>10</v>
      </c>
    </row>
    <row r="693" spans="1:11" x14ac:dyDescent="0.25">
      <c r="A693" s="31">
        <v>43740</v>
      </c>
      <c r="B693" t="s">
        <v>4</v>
      </c>
      <c r="C693">
        <v>4501</v>
      </c>
      <c r="D693" t="s">
        <v>79</v>
      </c>
      <c r="E693" t="s">
        <v>109</v>
      </c>
      <c r="F693">
        <v>1</v>
      </c>
      <c r="G693" t="s">
        <v>55</v>
      </c>
      <c r="H693" t="s">
        <v>112</v>
      </c>
      <c r="I693">
        <v>2</v>
      </c>
      <c r="J693" s="19">
        <f>WEEKNUM(tblRidershipData[[#This Row],[MeasurementDate]])</f>
        <v>40</v>
      </c>
      <c r="K693" s="19">
        <f>MONTH(tblRidershipData[[#This Row],[MeasurementDate]])</f>
        <v>10</v>
      </c>
    </row>
    <row r="694" spans="1:11" x14ac:dyDescent="0.25">
      <c r="A694" s="31">
        <v>43740</v>
      </c>
      <c r="B694" t="s">
        <v>4</v>
      </c>
      <c r="C694">
        <v>4501</v>
      </c>
      <c r="D694" t="s">
        <v>79</v>
      </c>
      <c r="E694" t="s">
        <v>109</v>
      </c>
      <c r="F694">
        <v>1</v>
      </c>
      <c r="G694" t="s">
        <v>66</v>
      </c>
      <c r="H694" t="s">
        <v>112</v>
      </c>
      <c r="I694">
        <v>5</v>
      </c>
      <c r="J694" s="19">
        <f>WEEKNUM(tblRidershipData[[#This Row],[MeasurementDate]])</f>
        <v>40</v>
      </c>
      <c r="K694" s="19">
        <f>MONTH(tblRidershipData[[#This Row],[MeasurementDate]])</f>
        <v>10</v>
      </c>
    </row>
    <row r="695" spans="1:11" x14ac:dyDescent="0.25">
      <c r="A695" s="31">
        <v>43740</v>
      </c>
      <c r="B695" t="s">
        <v>4</v>
      </c>
      <c r="C695">
        <v>4501</v>
      </c>
      <c r="D695" t="s">
        <v>79</v>
      </c>
      <c r="E695" t="s">
        <v>109</v>
      </c>
      <c r="F695">
        <v>1</v>
      </c>
      <c r="G695" t="s">
        <v>70</v>
      </c>
      <c r="H695" t="s">
        <v>112</v>
      </c>
      <c r="I695">
        <v>14</v>
      </c>
      <c r="J695" s="19">
        <f>WEEKNUM(tblRidershipData[[#This Row],[MeasurementDate]])</f>
        <v>40</v>
      </c>
      <c r="K695" s="19">
        <f>MONTH(tblRidershipData[[#This Row],[MeasurementDate]])</f>
        <v>10</v>
      </c>
    </row>
    <row r="696" spans="1:11" x14ac:dyDescent="0.25">
      <c r="A696" s="31">
        <v>43740</v>
      </c>
      <c r="B696" t="s">
        <v>4</v>
      </c>
      <c r="C696">
        <v>4501</v>
      </c>
      <c r="D696" t="s">
        <v>79</v>
      </c>
      <c r="E696" t="s">
        <v>109</v>
      </c>
      <c r="F696">
        <v>1</v>
      </c>
      <c r="G696" t="s">
        <v>71</v>
      </c>
      <c r="H696" t="s">
        <v>112</v>
      </c>
      <c r="I696">
        <v>2</v>
      </c>
      <c r="J696" s="19">
        <f>WEEKNUM(tblRidershipData[[#This Row],[MeasurementDate]])</f>
        <v>40</v>
      </c>
      <c r="K696" s="19">
        <f>MONTH(tblRidershipData[[#This Row],[MeasurementDate]])</f>
        <v>10</v>
      </c>
    </row>
    <row r="697" spans="1:11" x14ac:dyDescent="0.25">
      <c r="A697" s="31">
        <v>43740</v>
      </c>
      <c r="B697" t="s">
        <v>4</v>
      </c>
      <c r="C697">
        <v>4502</v>
      </c>
      <c r="D697" t="s">
        <v>117</v>
      </c>
      <c r="E697" t="s">
        <v>111</v>
      </c>
      <c r="F697">
        <v>1</v>
      </c>
      <c r="G697" t="s">
        <v>43</v>
      </c>
      <c r="H697" t="s">
        <v>110</v>
      </c>
      <c r="I697">
        <v>7</v>
      </c>
      <c r="J697" s="19">
        <f>WEEKNUM(tblRidershipData[[#This Row],[MeasurementDate]])</f>
        <v>40</v>
      </c>
      <c r="K697" s="19">
        <f>MONTH(tblRidershipData[[#This Row],[MeasurementDate]])</f>
        <v>10</v>
      </c>
    </row>
    <row r="698" spans="1:11" x14ac:dyDescent="0.25">
      <c r="A698" s="31">
        <v>43740</v>
      </c>
      <c r="B698" t="s">
        <v>4</v>
      </c>
      <c r="C698">
        <v>4502</v>
      </c>
      <c r="D698" t="s">
        <v>117</v>
      </c>
      <c r="E698" t="s">
        <v>111</v>
      </c>
      <c r="F698">
        <v>1</v>
      </c>
      <c r="G698" t="s">
        <v>44</v>
      </c>
      <c r="H698" t="s">
        <v>110</v>
      </c>
      <c r="I698">
        <v>2</v>
      </c>
      <c r="J698" s="19">
        <f>WEEKNUM(tblRidershipData[[#This Row],[MeasurementDate]])</f>
        <v>40</v>
      </c>
      <c r="K698" s="19">
        <f>MONTH(tblRidershipData[[#This Row],[MeasurementDate]])</f>
        <v>10</v>
      </c>
    </row>
    <row r="699" spans="1:11" x14ac:dyDescent="0.25">
      <c r="A699" s="31">
        <v>43740</v>
      </c>
      <c r="B699" t="s">
        <v>4</v>
      </c>
      <c r="C699">
        <v>4502</v>
      </c>
      <c r="D699" t="s">
        <v>117</v>
      </c>
      <c r="E699" t="s">
        <v>111</v>
      </c>
      <c r="F699">
        <v>1</v>
      </c>
      <c r="G699" t="s">
        <v>57</v>
      </c>
      <c r="H699" t="s">
        <v>110</v>
      </c>
      <c r="I699">
        <v>3</v>
      </c>
      <c r="J699" s="19">
        <f>WEEKNUM(tblRidershipData[[#This Row],[MeasurementDate]])</f>
        <v>40</v>
      </c>
      <c r="K699" s="19">
        <f>MONTH(tblRidershipData[[#This Row],[MeasurementDate]])</f>
        <v>10</v>
      </c>
    </row>
    <row r="700" spans="1:11" x14ac:dyDescent="0.25">
      <c r="A700" s="31">
        <v>43740</v>
      </c>
      <c r="B700" t="s">
        <v>4</v>
      </c>
      <c r="C700">
        <v>4502</v>
      </c>
      <c r="D700" t="s">
        <v>117</v>
      </c>
      <c r="E700" t="s">
        <v>111</v>
      </c>
      <c r="F700">
        <v>1</v>
      </c>
      <c r="G700" t="s">
        <v>60</v>
      </c>
      <c r="H700" t="s">
        <v>110</v>
      </c>
      <c r="I700">
        <v>4</v>
      </c>
      <c r="J700" s="19">
        <f>WEEKNUM(tblRidershipData[[#This Row],[MeasurementDate]])</f>
        <v>40</v>
      </c>
      <c r="K700" s="19">
        <f>MONTH(tblRidershipData[[#This Row],[MeasurementDate]])</f>
        <v>10</v>
      </c>
    </row>
    <row r="701" spans="1:11" x14ac:dyDescent="0.25">
      <c r="A701" s="31">
        <v>43740</v>
      </c>
      <c r="B701" t="s">
        <v>4</v>
      </c>
      <c r="C701">
        <v>4502</v>
      </c>
      <c r="D701" t="s">
        <v>117</v>
      </c>
      <c r="E701" t="s">
        <v>111</v>
      </c>
      <c r="F701">
        <v>1</v>
      </c>
      <c r="G701" t="s">
        <v>66</v>
      </c>
      <c r="H701" t="s">
        <v>110</v>
      </c>
      <c r="I701">
        <v>3</v>
      </c>
      <c r="J701" s="19">
        <f>WEEKNUM(tblRidershipData[[#This Row],[MeasurementDate]])</f>
        <v>40</v>
      </c>
      <c r="K701" s="19">
        <f>MONTH(tblRidershipData[[#This Row],[MeasurementDate]])</f>
        <v>10</v>
      </c>
    </row>
    <row r="702" spans="1:11" x14ac:dyDescent="0.25">
      <c r="A702" s="31">
        <v>43740</v>
      </c>
      <c r="B702" t="s">
        <v>4</v>
      </c>
      <c r="C702">
        <v>4502</v>
      </c>
      <c r="D702" t="s">
        <v>117</v>
      </c>
      <c r="E702" t="s">
        <v>111</v>
      </c>
      <c r="F702">
        <v>1</v>
      </c>
      <c r="G702" t="s">
        <v>70</v>
      </c>
      <c r="H702" t="s">
        <v>110</v>
      </c>
      <c r="I702">
        <v>4</v>
      </c>
      <c r="J702" s="19">
        <f>WEEKNUM(tblRidershipData[[#This Row],[MeasurementDate]])</f>
        <v>40</v>
      </c>
      <c r="K702" s="19">
        <f>MONTH(tblRidershipData[[#This Row],[MeasurementDate]])</f>
        <v>10</v>
      </c>
    </row>
    <row r="703" spans="1:11" x14ac:dyDescent="0.25">
      <c r="A703" s="31">
        <v>43740</v>
      </c>
      <c r="B703" t="s">
        <v>4</v>
      </c>
      <c r="C703">
        <v>4502</v>
      </c>
      <c r="D703" t="s">
        <v>117</v>
      </c>
      <c r="E703" t="s">
        <v>111</v>
      </c>
      <c r="F703">
        <v>1</v>
      </c>
      <c r="G703" t="s">
        <v>71</v>
      </c>
      <c r="H703" t="s">
        <v>110</v>
      </c>
      <c r="I703">
        <v>2</v>
      </c>
      <c r="J703" s="19">
        <f>WEEKNUM(tblRidershipData[[#This Row],[MeasurementDate]])</f>
        <v>40</v>
      </c>
      <c r="K703" s="19">
        <f>MONTH(tblRidershipData[[#This Row],[MeasurementDate]])</f>
        <v>10</v>
      </c>
    </row>
    <row r="704" spans="1:11" x14ac:dyDescent="0.25">
      <c r="A704" s="31">
        <v>43740</v>
      </c>
      <c r="B704" t="s">
        <v>4</v>
      </c>
      <c r="C704">
        <v>4502</v>
      </c>
      <c r="D704" t="s">
        <v>117</v>
      </c>
      <c r="E704" t="s">
        <v>111</v>
      </c>
      <c r="F704">
        <v>2</v>
      </c>
      <c r="G704" t="s">
        <v>66</v>
      </c>
      <c r="H704" t="s">
        <v>110</v>
      </c>
      <c r="I704">
        <v>5</v>
      </c>
      <c r="J704" s="19">
        <f>WEEKNUM(tblRidershipData[[#This Row],[MeasurementDate]])</f>
        <v>40</v>
      </c>
      <c r="K704" s="19">
        <f>MONTH(tblRidershipData[[#This Row],[MeasurementDate]])</f>
        <v>10</v>
      </c>
    </row>
    <row r="705" spans="1:11" x14ac:dyDescent="0.25">
      <c r="A705" s="31">
        <v>43740</v>
      </c>
      <c r="B705" t="s">
        <v>4</v>
      </c>
      <c r="C705">
        <v>4502</v>
      </c>
      <c r="D705" t="s">
        <v>117</v>
      </c>
      <c r="E705" t="s">
        <v>111</v>
      </c>
      <c r="F705">
        <v>2</v>
      </c>
      <c r="G705" t="s">
        <v>71</v>
      </c>
      <c r="H705" t="s">
        <v>110</v>
      </c>
      <c r="I705">
        <v>2</v>
      </c>
      <c r="J705" s="19">
        <f>WEEKNUM(tblRidershipData[[#This Row],[MeasurementDate]])</f>
        <v>40</v>
      </c>
      <c r="K705" s="19">
        <f>MONTH(tblRidershipData[[#This Row],[MeasurementDate]])</f>
        <v>10</v>
      </c>
    </row>
    <row r="706" spans="1:11" x14ac:dyDescent="0.25">
      <c r="A706" s="31">
        <v>43740</v>
      </c>
      <c r="B706" t="s">
        <v>4</v>
      </c>
      <c r="C706">
        <v>4502</v>
      </c>
      <c r="D706" t="s">
        <v>117</v>
      </c>
      <c r="E706" t="s">
        <v>109</v>
      </c>
      <c r="F706">
        <v>1</v>
      </c>
      <c r="G706" t="s">
        <v>51</v>
      </c>
      <c r="H706" t="s">
        <v>110</v>
      </c>
      <c r="I706">
        <v>18</v>
      </c>
      <c r="J706" s="19">
        <f>WEEKNUM(tblRidershipData[[#This Row],[MeasurementDate]])</f>
        <v>40</v>
      </c>
      <c r="K706" s="19">
        <f>MONTH(tblRidershipData[[#This Row],[MeasurementDate]])</f>
        <v>10</v>
      </c>
    </row>
    <row r="707" spans="1:11" x14ac:dyDescent="0.25">
      <c r="A707" s="31">
        <v>43740</v>
      </c>
      <c r="B707" t="s">
        <v>4</v>
      </c>
      <c r="C707">
        <v>4502</v>
      </c>
      <c r="D707" t="s">
        <v>117</v>
      </c>
      <c r="E707" t="s">
        <v>109</v>
      </c>
      <c r="F707">
        <v>1</v>
      </c>
      <c r="G707" t="s">
        <v>52</v>
      </c>
      <c r="H707" t="s">
        <v>110</v>
      </c>
      <c r="I707">
        <v>3</v>
      </c>
      <c r="J707" s="19">
        <f>WEEKNUM(tblRidershipData[[#This Row],[MeasurementDate]])</f>
        <v>40</v>
      </c>
      <c r="K707" s="19">
        <f>MONTH(tblRidershipData[[#This Row],[MeasurementDate]])</f>
        <v>10</v>
      </c>
    </row>
    <row r="708" spans="1:11" x14ac:dyDescent="0.25">
      <c r="A708" s="31">
        <v>43740</v>
      </c>
      <c r="B708" t="s">
        <v>4</v>
      </c>
      <c r="C708">
        <v>4502</v>
      </c>
      <c r="D708" t="s">
        <v>117</v>
      </c>
      <c r="E708" t="s">
        <v>109</v>
      </c>
      <c r="F708">
        <v>1</v>
      </c>
      <c r="G708" t="s">
        <v>67</v>
      </c>
      <c r="H708" t="s">
        <v>110</v>
      </c>
      <c r="I708">
        <v>32</v>
      </c>
      <c r="J708" s="19">
        <f>WEEKNUM(tblRidershipData[[#This Row],[MeasurementDate]])</f>
        <v>40</v>
      </c>
      <c r="K708" s="19">
        <f>MONTH(tblRidershipData[[#This Row],[MeasurementDate]])</f>
        <v>10</v>
      </c>
    </row>
    <row r="709" spans="1:11" x14ac:dyDescent="0.25">
      <c r="A709" s="31">
        <v>43740</v>
      </c>
      <c r="B709" t="s">
        <v>4</v>
      </c>
      <c r="C709">
        <v>4502</v>
      </c>
      <c r="D709" t="s">
        <v>117</v>
      </c>
      <c r="E709" t="s">
        <v>109</v>
      </c>
      <c r="F709">
        <v>1</v>
      </c>
      <c r="G709" t="s">
        <v>74</v>
      </c>
      <c r="H709" t="s">
        <v>110</v>
      </c>
      <c r="I709">
        <v>9</v>
      </c>
      <c r="J709" s="19">
        <f>WEEKNUM(tblRidershipData[[#This Row],[MeasurementDate]])</f>
        <v>40</v>
      </c>
      <c r="K709" s="19">
        <f>MONTH(tblRidershipData[[#This Row],[MeasurementDate]])</f>
        <v>10</v>
      </c>
    </row>
    <row r="710" spans="1:11" x14ac:dyDescent="0.25">
      <c r="A710" s="31">
        <v>43740</v>
      </c>
      <c r="B710" t="s">
        <v>4</v>
      </c>
      <c r="C710">
        <v>4502</v>
      </c>
      <c r="D710" t="s">
        <v>118</v>
      </c>
      <c r="E710" t="s">
        <v>111</v>
      </c>
      <c r="F710">
        <v>1</v>
      </c>
      <c r="G710" t="s">
        <v>44</v>
      </c>
      <c r="H710" t="s">
        <v>112</v>
      </c>
      <c r="I710">
        <v>3</v>
      </c>
      <c r="J710" s="19">
        <f>WEEKNUM(tblRidershipData[[#This Row],[MeasurementDate]])</f>
        <v>40</v>
      </c>
      <c r="K710" s="19">
        <f>MONTH(tblRidershipData[[#This Row],[MeasurementDate]])</f>
        <v>10</v>
      </c>
    </row>
    <row r="711" spans="1:11" x14ac:dyDescent="0.25">
      <c r="A711" s="31">
        <v>43740</v>
      </c>
      <c r="B711" t="s">
        <v>4</v>
      </c>
      <c r="C711">
        <v>4502</v>
      </c>
      <c r="D711" t="s">
        <v>118</v>
      </c>
      <c r="E711" t="s">
        <v>111</v>
      </c>
      <c r="F711">
        <v>1</v>
      </c>
      <c r="G711" t="s">
        <v>52</v>
      </c>
      <c r="H711" t="s">
        <v>112</v>
      </c>
      <c r="I711">
        <v>19</v>
      </c>
      <c r="J711" s="19">
        <f>WEEKNUM(tblRidershipData[[#This Row],[MeasurementDate]])</f>
        <v>40</v>
      </c>
      <c r="K711" s="19">
        <f>MONTH(tblRidershipData[[#This Row],[MeasurementDate]])</f>
        <v>10</v>
      </c>
    </row>
    <row r="712" spans="1:11" x14ac:dyDescent="0.25">
      <c r="A712" s="31">
        <v>43740</v>
      </c>
      <c r="B712" t="s">
        <v>4</v>
      </c>
      <c r="C712">
        <v>4502</v>
      </c>
      <c r="D712" t="s">
        <v>118</v>
      </c>
      <c r="E712" t="s">
        <v>111</v>
      </c>
      <c r="F712">
        <v>1</v>
      </c>
      <c r="G712" t="s">
        <v>65</v>
      </c>
      <c r="H712" t="s">
        <v>112</v>
      </c>
      <c r="I712">
        <v>5</v>
      </c>
      <c r="J712" s="19">
        <f>WEEKNUM(tblRidershipData[[#This Row],[MeasurementDate]])</f>
        <v>40</v>
      </c>
      <c r="K712" s="19">
        <f>MONTH(tblRidershipData[[#This Row],[MeasurementDate]])</f>
        <v>10</v>
      </c>
    </row>
    <row r="713" spans="1:11" x14ac:dyDescent="0.25">
      <c r="A713" s="31">
        <v>43740</v>
      </c>
      <c r="B713" t="s">
        <v>4</v>
      </c>
      <c r="C713">
        <v>4502</v>
      </c>
      <c r="D713" t="s">
        <v>118</v>
      </c>
      <c r="E713" t="s">
        <v>111</v>
      </c>
      <c r="F713">
        <v>1</v>
      </c>
      <c r="G713" t="s">
        <v>66</v>
      </c>
      <c r="H713" t="s">
        <v>112</v>
      </c>
      <c r="I713">
        <v>1</v>
      </c>
      <c r="J713" s="19">
        <f>WEEKNUM(tblRidershipData[[#This Row],[MeasurementDate]])</f>
        <v>40</v>
      </c>
      <c r="K713" s="19">
        <f>MONTH(tblRidershipData[[#This Row],[MeasurementDate]])</f>
        <v>10</v>
      </c>
    </row>
    <row r="714" spans="1:11" x14ac:dyDescent="0.25">
      <c r="A714" s="31">
        <v>43740</v>
      </c>
      <c r="B714" t="s">
        <v>4</v>
      </c>
      <c r="C714">
        <v>4502</v>
      </c>
      <c r="D714" t="s">
        <v>118</v>
      </c>
      <c r="E714" t="s">
        <v>111</v>
      </c>
      <c r="F714">
        <v>1</v>
      </c>
      <c r="G714" t="s">
        <v>67</v>
      </c>
      <c r="H714" t="s">
        <v>112</v>
      </c>
      <c r="I714">
        <v>12</v>
      </c>
      <c r="J714" s="19">
        <f>WEEKNUM(tblRidershipData[[#This Row],[MeasurementDate]])</f>
        <v>40</v>
      </c>
      <c r="K714" s="19">
        <f>MONTH(tblRidershipData[[#This Row],[MeasurementDate]])</f>
        <v>10</v>
      </c>
    </row>
    <row r="715" spans="1:11" x14ac:dyDescent="0.25">
      <c r="A715" s="31">
        <v>43740</v>
      </c>
      <c r="B715" t="s">
        <v>4</v>
      </c>
      <c r="C715">
        <v>4502</v>
      </c>
      <c r="D715" t="s">
        <v>118</v>
      </c>
      <c r="E715" t="s">
        <v>109</v>
      </c>
      <c r="F715">
        <v>1</v>
      </c>
      <c r="G715" t="s">
        <v>43</v>
      </c>
      <c r="H715" t="s">
        <v>112</v>
      </c>
      <c r="I715">
        <v>32</v>
      </c>
      <c r="J715" s="19">
        <f>WEEKNUM(tblRidershipData[[#This Row],[MeasurementDate]])</f>
        <v>40</v>
      </c>
      <c r="K715" s="19">
        <f>MONTH(tblRidershipData[[#This Row],[MeasurementDate]])</f>
        <v>10</v>
      </c>
    </row>
    <row r="716" spans="1:11" x14ac:dyDescent="0.25">
      <c r="A716" s="31">
        <v>43740</v>
      </c>
      <c r="B716" t="s">
        <v>4</v>
      </c>
      <c r="C716">
        <v>4502</v>
      </c>
      <c r="D716" t="s">
        <v>118</v>
      </c>
      <c r="E716" t="s">
        <v>109</v>
      </c>
      <c r="F716">
        <v>1</v>
      </c>
      <c r="G716" t="s">
        <v>44</v>
      </c>
      <c r="H716" t="s">
        <v>112</v>
      </c>
      <c r="I716">
        <v>10</v>
      </c>
      <c r="J716" s="19">
        <f>WEEKNUM(tblRidershipData[[#This Row],[MeasurementDate]])</f>
        <v>40</v>
      </c>
      <c r="K716" s="19">
        <f>MONTH(tblRidershipData[[#This Row],[MeasurementDate]])</f>
        <v>10</v>
      </c>
    </row>
    <row r="717" spans="1:11" x14ac:dyDescent="0.25">
      <c r="A717" s="31">
        <v>43740</v>
      </c>
      <c r="B717" t="s">
        <v>4</v>
      </c>
      <c r="C717">
        <v>4502</v>
      </c>
      <c r="D717" t="s">
        <v>118</v>
      </c>
      <c r="E717" t="s">
        <v>109</v>
      </c>
      <c r="F717">
        <v>1</v>
      </c>
      <c r="G717" t="s">
        <v>46</v>
      </c>
      <c r="H717" t="s">
        <v>112</v>
      </c>
      <c r="I717">
        <v>1</v>
      </c>
      <c r="J717" s="19">
        <f>WEEKNUM(tblRidershipData[[#This Row],[MeasurementDate]])</f>
        <v>40</v>
      </c>
      <c r="K717" s="19">
        <f>MONTH(tblRidershipData[[#This Row],[MeasurementDate]])</f>
        <v>10</v>
      </c>
    </row>
    <row r="718" spans="1:11" x14ac:dyDescent="0.25">
      <c r="A718" s="31">
        <v>43740</v>
      </c>
      <c r="B718" t="s">
        <v>4</v>
      </c>
      <c r="C718">
        <v>4502</v>
      </c>
      <c r="D718" t="s">
        <v>118</v>
      </c>
      <c r="E718" t="s">
        <v>109</v>
      </c>
      <c r="F718">
        <v>1</v>
      </c>
      <c r="G718" t="s">
        <v>55</v>
      </c>
      <c r="H718" t="s">
        <v>112</v>
      </c>
      <c r="I718">
        <v>3</v>
      </c>
      <c r="J718" s="19">
        <f>WEEKNUM(tblRidershipData[[#This Row],[MeasurementDate]])</f>
        <v>40</v>
      </c>
      <c r="K718" s="19">
        <f>MONTH(tblRidershipData[[#This Row],[MeasurementDate]])</f>
        <v>10</v>
      </c>
    </row>
    <row r="719" spans="1:11" x14ac:dyDescent="0.25">
      <c r="A719" s="31">
        <v>43740</v>
      </c>
      <c r="B719" t="s">
        <v>4</v>
      </c>
      <c r="C719">
        <v>4502</v>
      </c>
      <c r="D719" t="s">
        <v>118</v>
      </c>
      <c r="E719" t="s">
        <v>109</v>
      </c>
      <c r="F719">
        <v>1</v>
      </c>
      <c r="G719" t="s">
        <v>57</v>
      </c>
      <c r="H719" t="s">
        <v>112</v>
      </c>
      <c r="I719">
        <v>1</v>
      </c>
      <c r="J719" s="19">
        <f>WEEKNUM(tblRidershipData[[#This Row],[MeasurementDate]])</f>
        <v>40</v>
      </c>
      <c r="K719" s="19">
        <f>MONTH(tblRidershipData[[#This Row],[MeasurementDate]])</f>
        <v>10</v>
      </c>
    </row>
    <row r="720" spans="1:11" x14ac:dyDescent="0.25">
      <c r="A720" s="31">
        <v>43740</v>
      </c>
      <c r="B720" t="s">
        <v>4</v>
      </c>
      <c r="C720">
        <v>4502</v>
      </c>
      <c r="D720" t="s">
        <v>118</v>
      </c>
      <c r="E720" t="s">
        <v>109</v>
      </c>
      <c r="F720">
        <v>1</v>
      </c>
      <c r="G720" t="s">
        <v>59</v>
      </c>
      <c r="H720" t="s">
        <v>112</v>
      </c>
      <c r="I720">
        <v>3</v>
      </c>
      <c r="J720" s="19">
        <f>WEEKNUM(tblRidershipData[[#This Row],[MeasurementDate]])</f>
        <v>40</v>
      </c>
      <c r="K720" s="19">
        <f>MONTH(tblRidershipData[[#This Row],[MeasurementDate]])</f>
        <v>10</v>
      </c>
    </row>
    <row r="721" spans="1:11" x14ac:dyDescent="0.25">
      <c r="A721" s="31">
        <v>43740</v>
      </c>
      <c r="B721" t="s">
        <v>4</v>
      </c>
      <c r="C721">
        <v>4502</v>
      </c>
      <c r="D721" t="s">
        <v>118</v>
      </c>
      <c r="E721" t="s">
        <v>109</v>
      </c>
      <c r="F721">
        <v>1</v>
      </c>
      <c r="G721" t="s">
        <v>69</v>
      </c>
      <c r="H721" t="s">
        <v>112</v>
      </c>
      <c r="I721">
        <v>3</v>
      </c>
      <c r="J721" s="19">
        <f>WEEKNUM(tblRidershipData[[#This Row],[MeasurementDate]])</f>
        <v>40</v>
      </c>
      <c r="K721" s="19">
        <f>MONTH(tblRidershipData[[#This Row],[MeasurementDate]])</f>
        <v>10</v>
      </c>
    </row>
    <row r="722" spans="1:11" x14ac:dyDescent="0.25">
      <c r="A722" s="31">
        <v>43740</v>
      </c>
      <c r="B722" t="s">
        <v>4</v>
      </c>
      <c r="C722">
        <v>4502</v>
      </c>
      <c r="D722" t="s">
        <v>118</v>
      </c>
      <c r="E722" t="s">
        <v>109</v>
      </c>
      <c r="F722">
        <v>1</v>
      </c>
      <c r="G722" t="s">
        <v>71</v>
      </c>
      <c r="H722" t="s">
        <v>112</v>
      </c>
      <c r="I722">
        <v>1</v>
      </c>
      <c r="J722" s="19">
        <f>WEEKNUM(tblRidershipData[[#This Row],[MeasurementDate]])</f>
        <v>40</v>
      </c>
      <c r="K722" s="19">
        <f>MONTH(tblRidershipData[[#This Row],[MeasurementDate]])</f>
        <v>10</v>
      </c>
    </row>
    <row r="723" spans="1:11" x14ac:dyDescent="0.25">
      <c r="A723" s="31">
        <v>43740</v>
      </c>
      <c r="B723" t="s">
        <v>4</v>
      </c>
      <c r="C723">
        <v>4502</v>
      </c>
      <c r="D723" t="s">
        <v>118</v>
      </c>
      <c r="E723" t="s">
        <v>109</v>
      </c>
      <c r="F723">
        <v>1</v>
      </c>
      <c r="G723" t="s">
        <v>76</v>
      </c>
      <c r="H723" t="s">
        <v>112</v>
      </c>
      <c r="I723">
        <v>2</v>
      </c>
      <c r="J723" s="19">
        <f>WEEKNUM(tblRidershipData[[#This Row],[MeasurementDate]])</f>
        <v>40</v>
      </c>
      <c r="K723" s="19">
        <f>MONTH(tblRidershipData[[#This Row],[MeasurementDate]])</f>
        <v>10</v>
      </c>
    </row>
    <row r="724" spans="1:11" x14ac:dyDescent="0.25">
      <c r="A724" s="31">
        <v>43740</v>
      </c>
      <c r="B724" t="s">
        <v>4</v>
      </c>
      <c r="C724">
        <v>4502</v>
      </c>
      <c r="D724" t="s">
        <v>118</v>
      </c>
      <c r="E724" t="s">
        <v>109</v>
      </c>
      <c r="F724">
        <v>2</v>
      </c>
      <c r="G724" t="s">
        <v>43</v>
      </c>
      <c r="H724" t="s">
        <v>112</v>
      </c>
      <c r="I724">
        <v>4</v>
      </c>
      <c r="J724" s="19">
        <f>WEEKNUM(tblRidershipData[[#This Row],[MeasurementDate]])</f>
        <v>40</v>
      </c>
      <c r="K724" s="19">
        <f>MONTH(tblRidershipData[[#This Row],[MeasurementDate]])</f>
        <v>10</v>
      </c>
    </row>
    <row r="725" spans="1:11" x14ac:dyDescent="0.25">
      <c r="A725" s="31">
        <v>43740</v>
      </c>
      <c r="B725" t="s">
        <v>4</v>
      </c>
      <c r="C725">
        <v>4502</v>
      </c>
      <c r="D725" t="s">
        <v>118</v>
      </c>
      <c r="E725" t="s">
        <v>109</v>
      </c>
      <c r="F725">
        <v>2</v>
      </c>
      <c r="G725" t="s">
        <v>71</v>
      </c>
      <c r="H725" t="s">
        <v>112</v>
      </c>
      <c r="I725">
        <v>2</v>
      </c>
      <c r="J725" s="19">
        <f>WEEKNUM(tblRidershipData[[#This Row],[MeasurementDate]])</f>
        <v>40</v>
      </c>
      <c r="K725" s="19">
        <f>MONTH(tblRidershipData[[#This Row],[MeasurementDate]])</f>
        <v>10</v>
      </c>
    </row>
    <row r="726" spans="1:11" x14ac:dyDescent="0.25">
      <c r="A726" s="31">
        <v>43740</v>
      </c>
      <c r="B726" t="s">
        <v>4</v>
      </c>
      <c r="C726">
        <v>4503</v>
      </c>
      <c r="D726" t="s">
        <v>84</v>
      </c>
      <c r="E726" t="s">
        <v>111</v>
      </c>
      <c r="F726">
        <v>1</v>
      </c>
      <c r="G726" t="s">
        <v>43</v>
      </c>
      <c r="H726" t="s">
        <v>110</v>
      </c>
      <c r="I726">
        <v>16</v>
      </c>
      <c r="J726" s="19">
        <f>WEEKNUM(tblRidershipData[[#This Row],[MeasurementDate]])</f>
        <v>40</v>
      </c>
      <c r="K726" s="19">
        <f>MONTH(tblRidershipData[[#This Row],[MeasurementDate]])</f>
        <v>10</v>
      </c>
    </row>
    <row r="727" spans="1:11" x14ac:dyDescent="0.25">
      <c r="A727" s="31">
        <v>43740</v>
      </c>
      <c r="B727" t="s">
        <v>4</v>
      </c>
      <c r="C727">
        <v>4503</v>
      </c>
      <c r="D727" t="s">
        <v>84</v>
      </c>
      <c r="E727" t="s">
        <v>111</v>
      </c>
      <c r="F727">
        <v>1</v>
      </c>
      <c r="G727" t="s">
        <v>44</v>
      </c>
      <c r="H727" t="s">
        <v>110</v>
      </c>
      <c r="I727">
        <v>7</v>
      </c>
      <c r="J727" s="19">
        <f>WEEKNUM(tblRidershipData[[#This Row],[MeasurementDate]])</f>
        <v>40</v>
      </c>
      <c r="K727" s="19">
        <f>MONTH(tblRidershipData[[#This Row],[MeasurementDate]])</f>
        <v>10</v>
      </c>
    </row>
    <row r="728" spans="1:11" x14ac:dyDescent="0.25">
      <c r="A728" s="31">
        <v>43740</v>
      </c>
      <c r="B728" t="s">
        <v>4</v>
      </c>
      <c r="C728">
        <v>4503</v>
      </c>
      <c r="D728" t="s">
        <v>84</v>
      </c>
      <c r="E728" t="s">
        <v>111</v>
      </c>
      <c r="F728">
        <v>1</v>
      </c>
      <c r="G728" t="s">
        <v>46</v>
      </c>
      <c r="H728" t="s">
        <v>110</v>
      </c>
      <c r="I728">
        <v>13</v>
      </c>
      <c r="J728" s="19">
        <f>WEEKNUM(tblRidershipData[[#This Row],[MeasurementDate]])</f>
        <v>40</v>
      </c>
      <c r="K728" s="19">
        <f>MONTH(tblRidershipData[[#This Row],[MeasurementDate]])</f>
        <v>10</v>
      </c>
    </row>
    <row r="729" spans="1:11" x14ac:dyDescent="0.25">
      <c r="A729" s="31">
        <v>43740</v>
      </c>
      <c r="B729" t="s">
        <v>4</v>
      </c>
      <c r="C729">
        <v>4503</v>
      </c>
      <c r="D729" t="s">
        <v>84</v>
      </c>
      <c r="E729" t="s">
        <v>111</v>
      </c>
      <c r="F729">
        <v>1</v>
      </c>
      <c r="G729" t="s">
        <v>55</v>
      </c>
      <c r="H729" t="s">
        <v>110</v>
      </c>
      <c r="I729">
        <v>3</v>
      </c>
      <c r="J729" s="19">
        <f>WEEKNUM(tblRidershipData[[#This Row],[MeasurementDate]])</f>
        <v>40</v>
      </c>
      <c r="K729" s="19">
        <f>MONTH(tblRidershipData[[#This Row],[MeasurementDate]])</f>
        <v>10</v>
      </c>
    </row>
    <row r="730" spans="1:11" x14ac:dyDescent="0.25">
      <c r="A730" s="31">
        <v>43740</v>
      </c>
      <c r="B730" t="s">
        <v>4</v>
      </c>
      <c r="C730">
        <v>4503</v>
      </c>
      <c r="D730" t="s">
        <v>84</v>
      </c>
      <c r="E730" t="s">
        <v>111</v>
      </c>
      <c r="F730">
        <v>1</v>
      </c>
      <c r="G730" t="s">
        <v>57</v>
      </c>
      <c r="H730" t="s">
        <v>110</v>
      </c>
      <c r="I730">
        <v>3</v>
      </c>
      <c r="J730" s="19">
        <f>WEEKNUM(tblRidershipData[[#This Row],[MeasurementDate]])</f>
        <v>40</v>
      </c>
      <c r="K730" s="19">
        <f>MONTH(tblRidershipData[[#This Row],[MeasurementDate]])</f>
        <v>10</v>
      </c>
    </row>
    <row r="731" spans="1:11" x14ac:dyDescent="0.25">
      <c r="A731" s="31">
        <v>43740</v>
      </c>
      <c r="B731" t="s">
        <v>4</v>
      </c>
      <c r="C731">
        <v>4503</v>
      </c>
      <c r="D731" t="s">
        <v>84</v>
      </c>
      <c r="E731" t="s">
        <v>111</v>
      </c>
      <c r="F731">
        <v>1</v>
      </c>
      <c r="G731" t="s">
        <v>70</v>
      </c>
      <c r="H731" t="s">
        <v>110</v>
      </c>
      <c r="I731">
        <v>7</v>
      </c>
      <c r="J731" s="19">
        <f>WEEKNUM(tblRidershipData[[#This Row],[MeasurementDate]])</f>
        <v>40</v>
      </c>
      <c r="K731" s="19">
        <f>MONTH(tblRidershipData[[#This Row],[MeasurementDate]])</f>
        <v>10</v>
      </c>
    </row>
    <row r="732" spans="1:11" x14ac:dyDescent="0.25">
      <c r="A732" s="31">
        <v>43740</v>
      </c>
      <c r="B732" t="s">
        <v>4</v>
      </c>
      <c r="C732">
        <v>4503</v>
      </c>
      <c r="D732" t="s">
        <v>84</v>
      </c>
      <c r="E732" t="s">
        <v>111</v>
      </c>
      <c r="F732">
        <v>1</v>
      </c>
      <c r="G732" t="s">
        <v>71</v>
      </c>
      <c r="H732" t="s">
        <v>110</v>
      </c>
      <c r="I732">
        <v>1</v>
      </c>
      <c r="J732" s="19">
        <f>WEEKNUM(tblRidershipData[[#This Row],[MeasurementDate]])</f>
        <v>40</v>
      </c>
      <c r="K732" s="19">
        <f>MONTH(tblRidershipData[[#This Row],[MeasurementDate]])</f>
        <v>10</v>
      </c>
    </row>
    <row r="733" spans="1:11" x14ac:dyDescent="0.25">
      <c r="A733" s="31">
        <v>43740</v>
      </c>
      <c r="B733" t="s">
        <v>4</v>
      </c>
      <c r="C733">
        <v>4503</v>
      </c>
      <c r="D733" t="s">
        <v>84</v>
      </c>
      <c r="E733" t="s">
        <v>111</v>
      </c>
      <c r="F733">
        <v>1</v>
      </c>
      <c r="G733" t="s">
        <v>76</v>
      </c>
      <c r="H733" t="s">
        <v>110</v>
      </c>
      <c r="I733">
        <v>2</v>
      </c>
      <c r="J733" s="19">
        <f>WEEKNUM(tblRidershipData[[#This Row],[MeasurementDate]])</f>
        <v>40</v>
      </c>
      <c r="K733" s="19">
        <f>MONTH(tblRidershipData[[#This Row],[MeasurementDate]])</f>
        <v>10</v>
      </c>
    </row>
    <row r="734" spans="1:11" x14ac:dyDescent="0.25">
      <c r="A734" s="31">
        <v>43740</v>
      </c>
      <c r="B734" t="s">
        <v>4</v>
      </c>
      <c r="C734">
        <v>4503</v>
      </c>
      <c r="D734" t="s">
        <v>84</v>
      </c>
      <c r="E734" t="s">
        <v>109</v>
      </c>
      <c r="F734">
        <v>1</v>
      </c>
      <c r="G734" t="s">
        <v>52</v>
      </c>
      <c r="H734" t="s">
        <v>110</v>
      </c>
      <c r="I734">
        <v>12</v>
      </c>
      <c r="J734" s="19">
        <f>WEEKNUM(tblRidershipData[[#This Row],[MeasurementDate]])</f>
        <v>40</v>
      </c>
      <c r="K734" s="19">
        <f>MONTH(tblRidershipData[[#This Row],[MeasurementDate]])</f>
        <v>10</v>
      </c>
    </row>
    <row r="735" spans="1:11" x14ac:dyDescent="0.25">
      <c r="A735" s="31">
        <v>43740</v>
      </c>
      <c r="B735" t="s">
        <v>4</v>
      </c>
      <c r="C735">
        <v>4503</v>
      </c>
      <c r="D735" t="s">
        <v>84</v>
      </c>
      <c r="E735" t="s">
        <v>109</v>
      </c>
      <c r="F735">
        <v>1</v>
      </c>
      <c r="G735" t="s">
        <v>69</v>
      </c>
      <c r="H735" t="s">
        <v>110</v>
      </c>
      <c r="I735">
        <v>7</v>
      </c>
      <c r="J735" s="19">
        <f>WEEKNUM(tblRidershipData[[#This Row],[MeasurementDate]])</f>
        <v>40</v>
      </c>
      <c r="K735" s="19">
        <f>MONTH(tblRidershipData[[#This Row],[MeasurementDate]])</f>
        <v>10</v>
      </c>
    </row>
    <row r="736" spans="1:11" x14ac:dyDescent="0.25">
      <c r="A736" s="31">
        <v>43740</v>
      </c>
      <c r="B736" t="s">
        <v>4</v>
      </c>
      <c r="C736">
        <v>4503</v>
      </c>
      <c r="D736" t="s">
        <v>84</v>
      </c>
      <c r="E736" t="s">
        <v>109</v>
      </c>
      <c r="F736">
        <v>1</v>
      </c>
      <c r="G736" t="s">
        <v>70</v>
      </c>
      <c r="H736" t="s">
        <v>110</v>
      </c>
      <c r="I736">
        <v>8</v>
      </c>
      <c r="J736" s="19">
        <f>WEEKNUM(tblRidershipData[[#This Row],[MeasurementDate]])</f>
        <v>40</v>
      </c>
      <c r="K736" s="19">
        <f>MONTH(tblRidershipData[[#This Row],[MeasurementDate]])</f>
        <v>10</v>
      </c>
    </row>
    <row r="737" spans="1:11" x14ac:dyDescent="0.25">
      <c r="A737" s="31">
        <v>43740</v>
      </c>
      <c r="B737" t="s">
        <v>4</v>
      </c>
      <c r="C737">
        <v>4503</v>
      </c>
      <c r="D737" t="s">
        <v>84</v>
      </c>
      <c r="E737" t="s">
        <v>109</v>
      </c>
      <c r="F737">
        <v>1</v>
      </c>
      <c r="G737" t="s">
        <v>74</v>
      </c>
      <c r="H737" t="s">
        <v>110</v>
      </c>
      <c r="I737">
        <v>18</v>
      </c>
      <c r="J737" s="19">
        <f>WEEKNUM(tblRidershipData[[#This Row],[MeasurementDate]])</f>
        <v>40</v>
      </c>
      <c r="K737" s="19">
        <f>MONTH(tblRidershipData[[#This Row],[MeasurementDate]])</f>
        <v>10</v>
      </c>
    </row>
    <row r="738" spans="1:11" x14ac:dyDescent="0.25">
      <c r="A738" s="31">
        <v>43740</v>
      </c>
      <c r="B738" t="s">
        <v>4</v>
      </c>
      <c r="C738">
        <v>4503</v>
      </c>
      <c r="D738" t="s">
        <v>84</v>
      </c>
      <c r="E738" t="s">
        <v>109</v>
      </c>
      <c r="F738">
        <v>2</v>
      </c>
      <c r="G738" t="s">
        <v>52</v>
      </c>
      <c r="H738" t="s">
        <v>110</v>
      </c>
      <c r="I738">
        <v>11</v>
      </c>
      <c r="J738" s="19">
        <f>WEEKNUM(tblRidershipData[[#This Row],[MeasurementDate]])</f>
        <v>40</v>
      </c>
      <c r="K738" s="19">
        <f>MONTH(tblRidershipData[[#This Row],[MeasurementDate]])</f>
        <v>10</v>
      </c>
    </row>
    <row r="739" spans="1:11" x14ac:dyDescent="0.25">
      <c r="A739" s="31">
        <v>43740</v>
      </c>
      <c r="B739" t="s">
        <v>4</v>
      </c>
      <c r="C739">
        <v>6552</v>
      </c>
      <c r="D739" t="s">
        <v>85</v>
      </c>
      <c r="E739" t="s">
        <v>111</v>
      </c>
      <c r="F739">
        <v>1</v>
      </c>
      <c r="G739" t="s">
        <v>56</v>
      </c>
      <c r="H739" t="s">
        <v>110</v>
      </c>
      <c r="I739">
        <v>3</v>
      </c>
      <c r="J739" s="19">
        <f>WEEKNUM(tblRidershipData[[#This Row],[MeasurementDate]])</f>
        <v>40</v>
      </c>
      <c r="K739" s="19">
        <f>MONTH(tblRidershipData[[#This Row],[MeasurementDate]])</f>
        <v>10</v>
      </c>
    </row>
    <row r="740" spans="1:11" x14ac:dyDescent="0.25">
      <c r="A740" s="31">
        <v>43740</v>
      </c>
      <c r="B740" t="s">
        <v>4</v>
      </c>
      <c r="C740">
        <v>6552</v>
      </c>
      <c r="D740" t="s">
        <v>85</v>
      </c>
      <c r="E740" t="s">
        <v>111</v>
      </c>
      <c r="F740">
        <v>1</v>
      </c>
      <c r="G740" t="s">
        <v>57</v>
      </c>
      <c r="H740" t="s">
        <v>110</v>
      </c>
      <c r="I740">
        <v>8</v>
      </c>
      <c r="J740" s="19">
        <f>WEEKNUM(tblRidershipData[[#This Row],[MeasurementDate]])</f>
        <v>40</v>
      </c>
      <c r="K740" s="19">
        <f>MONTH(tblRidershipData[[#This Row],[MeasurementDate]])</f>
        <v>10</v>
      </c>
    </row>
    <row r="741" spans="1:11" x14ac:dyDescent="0.25">
      <c r="A741" s="31">
        <v>43740</v>
      </c>
      <c r="B741" t="s">
        <v>4</v>
      </c>
      <c r="C741">
        <v>6552</v>
      </c>
      <c r="D741" t="s">
        <v>85</v>
      </c>
      <c r="E741" t="s">
        <v>111</v>
      </c>
      <c r="F741">
        <v>1</v>
      </c>
      <c r="G741" t="s">
        <v>60</v>
      </c>
      <c r="H741" t="s">
        <v>110</v>
      </c>
      <c r="I741">
        <v>7</v>
      </c>
      <c r="J741" s="19">
        <f>WEEKNUM(tblRidershipData[[#This Row],[MeasurementDate]])</f>
        <v>40</v>
      </c>
      <c r="K741" s="19">
        <f>MONTH(tblRidershipData[[#This Row],[MeasurementDate]])</f>
        <v>10</v>
      </c>
    </row>
    <row r="742" spans="1:11" x14ac:dyDescent="0.25">
      <c r="A742" s="31">
        <v>43740</v>
      </c>
      <c r="B742" t="s">
        <v>4</v>
      </c>
      <c r="C742">
        <v>6552</v>
      </c>
      <c r="D742" t="s">
        <v>85</v>
      </c>
      <c r="E742" t="s">
        <v>111</v>
      </c>
      <c r="F742">
        <v>1</v>
      </c>
      <c r="G742" t="s">
        <v>66</v>
      </c>
      <c r="H742" t="s">
        <v>110</v>
      </c>
      <c r="I742">
        <v>10</v>
      </c>
      <c r="J742" s="19">
        <f>WEEKNUM(tblRidershipData[[#This Row],[MeasurementDate]])</f>
        <v>40</v>
      </c>
      <c r="K742" s="19">
        <f>MONTH(tblRidershipData[[#This Row],[MeasurementDate]])</f>
        <v>10</v>
      </c>
    </row>
    <row r="743" spans="1:11" x14ac:dyDescent="0.25">
      <c r="A743" s="31">
        <v>43740</v>
      </c>
      <c r="B743" t="s">
        <v>4</v>
      </c>
      <c r="C743">
        <v>6552</v>
      </c>
      <c r="D743" t="s">
        <v>85</v>
      </c>
      <c r="E743" t="s">
        <v>111</v>
      </c>
      <c r="F743">
        <v>1</v>
      </c>
      <c r="G743" t="s">
        <v>71</v>
      </c>
      <c r="H743" t="s">
        <v>110</v>
      </c>
      <c r="I743">
        <v>7</v>
      </c>
      <c r="J743" s="19">
        <f>WEEKNUM(tblRidershipData[[#This Row],[MeasurementDate]])</f>
        <v>40</v>
      </c>
      <c r="K743" s="19">
        <f>MONTH(tblRidershipData[[#This Row],[MeasurementDate]])</f>
        <v>10</v>
      </c>
    </row>
    <row r="744" spans="1:11" x14ac:dyDescent="0.25">
      <c r="A744" s="31">
        <v>43740</v>
      </c>
      <c r="B744" t="s">
        <v>4</v>
      </c>
      <c r="C744">
        <v>6552</v>
      </c>
      <c r="D744" t="s">
        <v>85</v>
      </c>
      <c r="E744" t="s">
        <v>111</v>
      </c>
      <c r="F744">
        <v>1</v>
      </c>
      <c r="G744" t="s">
        <v>76</v>
      </c>
      <c r="H744" t="s">
        <v>110</v>
      </c>
      <c r="I744">
        <v>6</v>
      </c>
      <c r="J744" s="19">
        <f>WEEKNUM(tblRidershipData[[#This Row],[MeasurementDate]])</f>
        <v>40</v>
      </c>
      <c r="K744" s="19">
        <f>MONTH(tblRidershipData[[#This Row],[MeasurementDate]])</f>
        <v>10</v>
      </c>
    </row>
    <row r="745" spans="1:11" x14ac:dyDescent="0.25">
      <c r="A745" s="31">
        <v>43740</v>
      </c>
      <c r="B745" t="s">
        <v>4</v>
      </c>
      <c r="C745">
        <v>6552</v>
      </c>
      <c r="D745" t="s">
        <v>85</v>
      </c>
      <c r="E745" t="s">
        <v>109</v>
      </c>
      <c r="F745">
        <v>1</v>
      </c>
      <c r="G745" t="s">
        <v>44</v>
      </c>
      <c r="H745" t="s">
        <v>110</v>
      </c>
      <c r="I745">
        <v>13</v>
      </c>
      <c r="J745" s="19">
        <f>WEEKNUM(tblRidershipData[[#This Row],[MeasurementDate]])</f>
        <v>40</v>
      </c>
      <c r="K745" s="19">
        <f>MONTH(tblRidershipData[[#This Row],[MeasurementDate]])</f>
        <v>10</v>
      </c>
    </row>
    <row r="746" spans="1:11" x14ac:dyDescent="0.25">
      <c r="A746" s="31">
        <v>43740</v>
      </c>
      <c r="B746" t="s">
        <v>4</v>
      </c>
      <c r="C746">
        <v>6552</v>
      </c>
      <c r="D746" t="s">
        <v>85</v>
      </c>
      <c r="E746" t="s">
        <v>109</v>
      </c>
      <c r="F746">
        <v>1</v>
      </c>
      <c r="G746" t="s">
        <v>52</v>
      </c>
      <c r="H746" t="s">
        <v>110</v>
      </c>
      <c r="I746">
        <v>35</v>
      </c>
      <c r="J746" s="19">
        <f>WEEKNUM(tblRidershipData[[#This Row],[MeasurementDate]])</f>
        <v>40</v>
      </c>
      <c r="K746" s="19">
        <f>MONTH(tblRidershipData[[#This Row],[MeasurementDate]])</f>
        <v>10</v>
      </c>
    </row>
    <row r="747" spans="1:11" x14ac:dyDescent="0.25">
      <c r="A747" s="31">
        <v>43740</v>
      </c>
      <c r="B747" t="s">
        <v>4</v>
      </c>
      <c r="C747">
        <v>6552</v>
      </c>
      <c r="D747" t="s">
        <v>85</v>
      </c>
      <c r="E747" t="s">
        <v>109</v>
      </c>
      <c r="F747">
        <v>1</v>
      </c>
      <c r="G747" t="s">
        <v>57</v>
      </c>
      <c r="H747" t="s">
        <v>110</v>
      </c>
      <c r="I747">
        <v>15</v>
      </c>
      <c r="J747" s="19">
        <f>WEEKNUM(tblRidershipData[[#This Row],[MeasurementDate]])</f>
        <v>40</v>
      </c>
      <c r="K747" s="19">
        <f>MONTH(tblRidershipData[[#This Row],[MeasurementDate]])</f>
        <v>10</v>
      </c>
    </row>
    <row r="748" spans="1:11" x14ac:dyDescent="0.25">
      <c r="A748" s="31">
        <v>43740</v>
      </c>
      <c r="B748" t="s">
        <v>4</v>
      </c>
      <c r="C748">
        <v>6552</v>
      </c>
      <c r="D748" t="s">
        <v>85</v>
      </c>
      <c r="E748" t="s">
        <v>109</v>
      </c>
      <c r="F748">
        <v>1</v>
      </c>
      <c r="G748" t="s">
        <v>67</v>
      </c>
      <c r="H748" t="s">
        <v>110</v>
      </c>
      <c r="I748">
        <v>36</v>
      </c>
      <c r="J748" s="19">
        <f>WEEKNUM(tblRidershipData[[#This Row],[MeasurementDate]])</f>
        <v>40</v>
      </c>
      <c r="K748" s="19">
        <f>MONTH(tblRidershipData[[#This Row],[MeasurementDate]])</f>
        <v>10</v>
      </c>
    </row>
    <row r="749" spans="1:11" x14ac:dyDescent="0.25">
      <c r="A749" s="31">
        <v>43740</v>
      </c>
      <c r="B749" t="s">
        <v>4</v>
      </c>
      <c r="C749">
        <v>6552</v>
      </c>
      <c r="D749" t="s">
        <v>85</v>
      </c>
      <c r="E749" t="s">
        <v>109</v>
      </c>
      <c r="F749">
        <v>1</v>
      </c>
      <c r="G749" t="s">
        <v>74</v>
      </c>
      <c r="H749" t="s">
        <v>110</v>
      </c>
      <c r="I749">
        <v>14</v>
      </c>
      <c r="J749" s="19">
        <f>WEEKNUM(tblRidershipData[[#This Row],[MeasurementDate]])</f>
        <v>40</v>
      </c>
      <c r="K749" s="19">
        <f>MONTH(tblRidershipData[[#This Row],[MeasurementDate]])</f>
        <v>10</v>
      </c>
    </row>
    <row r="750" spans="1:11" x14ac:dyDescent="0.25">
      <c r="A750" s="31">
        <v>43740</v>
      </c>
      <c r="B750" t="s">
        <v>4</v>
      </c>
      <c r="C750">
        <v>6552</v>
      </c>
      <c r="D750" t="s">
        <v>85</v>
      </c>
      <c r="E750" t="s">
        <v>109</v>
      </c>
      <c r="F750">
        <v>2</v>
      </c>
      <c r="G750" t="s">
        <v>57</v>
      </c>
      <c r="H750" t="s">
        <v>110</v>
      </c>
      <c r="I750">
        <v>2</v>
      </c>
      <c r="J750" s="19">
        <f>WEEKNUM(tblRidershipData[[#This Row],[MeasurementDate]])</f>
        <v>40</v>
      </c>
      <c r="K750" s="19">
        <f>MONTH(tblRidershipData[[#This Row],[MeasurementDate]])</f>
        <v>10</v>
      </c>
    </row>
    <row r="751" spans="1:11" x14ac:dyDescent="0.25">
      <c r="A751" s="31">
        <v>43740</v>
      </c>
      <c r="B751" t="s">
        <v>4</v>
      </c>
      <c r="C751">
        <v>6552</v>
      </c>
      <c r="D751" t="s">
        <v>85</v>
      </c>
      <c r="E751" t="s">
        <v>111</v>
      </c>
      <c r="F751">
        <v>1</v>
      </c>
      <c r="G751" t="s">
        <v>44</v>
      </c>
      <c r="H751" t="s">
        <v>112</v>
      </c>
      <c r="I751">
        <v>1</v>
      </c>
      <c r="J751" s="19">
        <f>WEEKNUM(tblRidershipData[[#This Row],[MeasurementDate]])</f>
        <v>40</v>
      </c>
      <c r="K751" s="19">
        <f>MONTH(tblRidershipData[[#This Row],[MeasurementDate]])</f>
        <v>10</v>
      </c>
    </row>
    <row r="752" spans="1:11" x14ac:dyDescent="0.25">
      <c r="A752" s="31">
        <v>43740</v>
      </c>
      <c r="B752" t="s">
        <v>4</v>
      </c>
      <c r="C752">
        <v>6552</v>
      </c>
      <c r="D752" t="s">
        <v>85</v>
      </c>
      <c r="E752" t="s">
        <v>111</v>
      </c>
      <c r="F752">
        <v>1</v>
      </c>
      <c r="G752" t="s">
        <v>52</v>
      </c>
      <c r="H752" t="s">
        <v>112</v>
      </c>
      <c r="I752">
        <v>4</v>
      </c>
      <c r="J752" s="19">
        <f>WEEKNUM(tblRidershipData[[#This Row],[MeasurementDate]])</f>
        <v>40</v>
      </c>
      <c r="K752" s="19">
        <f>MONTH(tblRidershipData[[#This Row],[MeasurementDate]])</f>
        <v>10</v>
      </c>
    </row>
    <row r="753" spans="1:11" x14ac:dyDescent="0.25">
      <c r="A753" s="31">
        <v>43740</v>
      </c>
      <c r="B753" t="s">
        <v>4</v>
      </c>
      <c r="C753">
        <v>6552</v>
      </c>
      <c r="D753" t="s">
        <v>85</v>
      </c>
      <c r="E753" t="s">
        <v>111</v>
      </c>
      <c r="F753">
        <v>1</v>
      </c>
      <c r="G753" t="s">
        <v>56</v>
      </c>
      <c r="H753" t="s">
        <v>112</v>
      </c>
      <c r="I753">
        <v>6</v>
      </c>
      <c r="J753" s="19">
        <f>WEEKNUM(tblRidershipData[[#This Row],[MeasurementDate]])</f>
        <v>40</v>
      </c>
      <c r="K753" s="19">
        <f>MONTH(tblRidershipData[[#This Row],[MeasurementDate]])</f>
        <v>10</v>
      </c>
    </row>
    <row r="754" spans="1:11" x14ac:dyDescent="0.25">
      <c r="A754" s="31">
        <v>43740</v>
      </c>
      <c r="B754" t="s">
        <v>4</v>
      </c>
      <c r="C754">
        <v>6552</v>
      </c>
      <c r="D754" t="s">
        <v>85</v>
      </c>
      <c r="E754" t="s">
        <v>111</v>
      </c>
      <c r="F754">
        <v>1</v>
      </c>
      <c r="G754" t="s">
        <v>64</v>
      </c>
      <c r="H754" t="s">
        <v>112</v>
      </c>
      <c r="I754">
        <v>1</v>
      </c>
      <c r="J754" s="19">
        <f>WEEKNUM(tblRidershipData[[#This Row],[MeasurementDate]])</f>
        <v>40</v>
      </c>
      <c r="K754" s="19">
        <f>MONTH(tblRidershipData[[#This Row],[MeasurementDate]])</f>
        <v>10</v>
      </c>
    </row>
    <row r="755" spans="1:11" x14ac:dyDescent="0.25">
      <c r="A755" s="31">
        <v>43740</v>
      </c>
      <c r="B755" t="s">
        <v>4</v>
      </c>
      <c r="C755">
        <v>6552</v>
      </c>
      <c r="D755" t="s">
        <v>85</v>
      </c>
      <c r="E755" t="s">
        <v>111</v>
      </c>
      <c r="F755">
        <v>1</v>
      </c>
      <c r="G755" t="s">
        <v>67</v>
      </c>
      <c r="H755" t="s">
        <v>112</v>
      </c>
      <c r="I755">
        <v>8</v>
      </c>
      <c r="J755" s="19">
        <f>WEEKNUM(tblRidershipData[[#This Row],[MeasurementDate]])</f>
        <v>40</v>
      </c>
      <c r="K755" s="19">
        <f>MONTH(tblRidershipData[[#This Row],[MeasurementDate]])</f>
        <v>10</v>
      </c>
    </row>
    <row r="756" spans="1:11" x14ac:dyDescent="0.25">
      <c r="A756" s="31">
        <v>43740</v>
      </c>
      <c r="B756" t="s">
        <v>4</v>
      </c>
      <c r="C756">
        <v>6552</v>
      </c>
      <c r="D756" t="s">
        <v>85</v>
      </c>
      <c r="E756" t="s">
        <v>111</v>
      </c>
      <c r="F756">
        <v>1</v>
      </c>
      <c r="G756" t="s">
        <v>72</v>
      </c>
      <c r="H756" t="s">
        <v>112</v>
      </c>
      <c r="I756">
        <v>10</v>
      </c>
      <c r="J756" s="19">
        <f>WEEKNUM(tblRidershipData[[#This Row],[MeasurementDate]])</f>
        <v>40</v>
      </c>
      <c r="K756" s="19">
        <f>MONTH(tblRidershipData[[#This Row],[MeasurementDate]])</f>
        <v>10</v>
      </c>
    </row>
    <row r="757" spans="1:11" x14ac:dyDescent="0.25">
      <c r="A757" s="31">
        <v>43740</v>
      </c>
      <c r="B757" t="s">
        <v>4</v>
      </c>
      <c r="C757">
        <v>6552</v>
      </c>
      <c r="D757" t="s">
        <v>85</v>
      </c>
      <c r="E757" t="s">
        <v>111</v>
      </c>
      <c r="F757">
        <v>1</v>
      </c>
      <c r="G757" t="s">
        <v>74</v>
      </c>
      <c r="H757" t="s">
        <v>112</v>
      </c>
      <c r="I757">
        <v>11</v>
      </c>
      <c r="J757" s="19">
        <f>WEEKNUM(tblRidershipData[[#This Row],[MeasurementDate]])</f>
        <v>40</v>
      </c>
      <c r="K757" s="19">
        <f>MONTH(tblRidershipData[[#This Row],[MeasurementDate]])</f>
        <v>10</v>
      </c>
    </row>
    <row r="758" spans="1:11" x14ac:dyDescent="0.25">
      <c r="A758" s="31">
        <v>43740</v>
      </c>
      <c r="B758" t="s">
        <v>4</v>
      </c>
      <c r="C758">
        <v>6552</v>
      </c>
      <c r="D758" t="s">
        <v>85</v>
      </c>
      <c r="E758" t="s">
        <v>109</v>
      </c>
      <c r="F758">
        <v>1</v>
      </c>
      <c r="G758" t="s">
        <v>43</v>
      </c>
      <c r="H758" t="s">
        <v>112</v>
      </c>
      <c r="I758">
        <v>7</v>
      </c>
      <c r="J758" s="19">
        <f>WEEKNUM(tblRidershipData[[#This Row],[MeasurementDate]])</f>
        <v>40</v>
      </c>
      <c r="K758" s="19">
        <f>MONTH(tblRidershipData[[#This Row],[MeasurementDate]])</f>
        <v>10</v>
      </c>
    </row>
    <row r="759" spans="1:11" x14ac:dyDescent="0.25">
      <c r="A759" s="31">
        <v>43740</v>
      </c>
      <c r="B759" t="s">
        <v>4</v>
      </c>
      <c r="C759">
        <v>6552</v>
      </c>
      <c r="D759" t="s">
        <v>85</v>
      </c>
      <c r="E759" t="s">
        <v>109</v>
      </c>
      <c r="F759">
        <v>1</v>
      </c>
      <c r="G759" t="s">
        <v>44</v>
      </c>
      <c r="H759" t="s">
        <v>112</v>
      </c>
      <c r="I759">
        <v>7</v>
      </c>
      <c r="J759" s="19">
        <f>WEEKNUM(tblRidershipData[[#This Row],[MeasurementDate]])</f>
        <v>40</v>
      </c>
      <c r="K759" s="19">
        <f>MONTH(tblRidershipData[[#This Row],[MeasurementDate]])</f>
        <v>10</v>
      </c>
    </row>
    <row r="760" spans="1:11" x14ac:dyDescent="0.25">
      <c r="A760" s="31">
        <v>43740</v>
      </c>
      <c r="B760" t="s">
        <v>4</v>
      </c>
      <c r="C760">
        <v>6552</v>
      </c>
      <c r="D760" t="s">
        <v>85</v>
      </c>
      <c r="E760" t="s">
        <v>109</v>
      </c>
      <c r="F760">
        <v>1</v>
      </c>
      <c r="G760" t="s">
        <v>46</v>
      </c>
      <c r="H760" t="s">
        <v>112</v>
      </c>
      <c r="I760">
        <v>4</v>
      </c>
      <c r="J760" s="19">
        <f>WEEKNUM(tblRidershipData[[#This Row],[MeasurementDate]])</f>
        <v>40</v>
      </c>
      <c r="K760" s="19">
        <f>MONTH(tblRidershipData[[#This Row],[MeasurementDate]])</f>
        <v>10</v>
      </c>
    </row>
    <row r="761" spans="1:11" x14ac:dyDescent="0.25">
      <c r="A761" s="31">
        <v>43740</v>
      </c>
      <c r="B761" t="s">
        <v>4</v>
      </c>
      <c r="C761">
        <v>6552</v>
      </c>
      <c r="D761" t="s">
        <v>85</v>
      </c>
      <c r="E761" t="s">
        <v>109</v>
      </c>
      <c r="F761">
        <v>1</v>
      </c>
      <c r="G761" t="s">
        <v>55</v>
      </c>
      <c r="H761" t="s">
        <v>112</v>
      </c>
      <c r="I761">
        <v>5</v>
      </c>
      <c r="J761" s="19">
        <f>WEEKNUM(tblRidershipData[[#This Row],[MeasurementDate]])</f>
        <v>40</v>
      </c>
      <c r="K761" s="19">
        <f>MONTH(tblRidershipData[[#This Row],[MeasurementDate]])</f>
        <v>10</v>
      </c>
    </row>
    <row r="762" spans="1:11" x14ac:dyDescent="0.25">
      <c r="A762" s="31">
        <v>43740</v>
      </c>
      <c r="B762" t="s">
        <v>4</v>
      </c>
      <c r="C762">
        <v>6552</v>
      </c>
      <c r="D762" t="s">
        <v>85</v>
      </c>
      <c r="E762" t="s">
        <v>109</v>
      </c>
      <c r="F762">
        <v>1</v>
      </c>
      <c r="G762" t="s">
        <v>57</v>
      </c>
      <c r="H762" t="s">
        <v>112</v>
      </c>
      <c r="I762">
        <v>3</v>
      </c>
      <c r="J762" s="19">
        <f>WEEKNUM(tblRidershipData[[#This Row],[MeasurementDate]])</f>
        <v>40</v>
      </c>
      <c r="K762" s="19">
        <f>MONTH(tblRidershipData[[#This Row],[MeasurementDate]])</f>
        <v>10</v>
      </c>
    </row>
    <row r="763" spans="1:11" x14ac:dyDescent="0.25">
      <c r="A763" s="31">
        <v>43740</v>
      </c>
      <c r="B763" t="s">
        <v>4</v>
      </c>
      <c r="C763">
        <v>6552</v>
      </c>
      <c r="D763" t="s">
        <v>85</v>
      </c>
      <c r="E763" t="s">
        <v>109</v>
      </c>
      <c r="F763">
        <v>1</v>
      </c>
      <c r="G763" t="s">
        <v>66</v>
      </c>
      <c r="H763" t="s">
        <v>112</v>
      </c>
      <c r="I763">
        <v>7</v>
      </c>
      <c r="J763" s="19">
        <f>WEEKNUM(tblRidershipData[[#This Row],[MeasurementDate]])</f>
        <v>40</v>
      </c>
      <c r="K763" s="19">
        <f>MONTH(tblRidershipData[[#This Row],[MeasurementDate]])</f>
        <v>10</v>
      </c>
    </row>
    <row r="764" spans="1:11" x14ac:dyDescent="0.25">
      <c r="A764" s="31">
        <v>43740</v>
      </c>
      <c r="B764" t="s">
        <v>4</v>
      </c>
      <c r="C764">
        <v>6552</v>
      </c>
      <c r="D764" t="s">
        <v>85</v>
      </c>
      <c r="E764" t="s">
        <v>109</v>
      </c>
      <c r="F764">
        <v>1</v>
      </c>
      <c r="G764" t="s">
        <v>69</v>
      </c>
      <c r="H764" t="s">
        <v>112</v>
      </c>
      <c r="I764">
        <v>11</v>
      </c>
      <c r="J764" s="19">
        <f>WEEKNUM(tblRidershipData[[#This Row],[MeasurementDate]])</f>
        <v>40</v>
      </c>
      <c r="K764" s="19">
        <f>MONTH(tblRidershipData[[#This Row],[MeasurementDate]])</f>
        <v>10</v>
      </c>
    </row>
    <row r="765" spans="1:11" x14ac:dyDescent="0.25">
      <c r="A765" s="31">
        <v>43740</v>
      </c>
      <c r="B765" t="s">
        <v>4</v>
      </c>
      <c r="C765">
        <v>6552</v>
      </c>
      <c r="D765" t="s">
        <v>85</v>
      </c>
      <c r="E765" t="s">
        <v>109</v>
      </c>
      <c r="F765">
        <v>1</v>
      </c>
      <c r="G765" t="s">
        <v>70</v>
      </c>
      <c r="H765" t="s">
        <v>112</v>
      </c>
      <c r="I765">
        <v>11</v>
      </c>
      <c r="J765" s="19">
        <f>WEEKNUM(tblRidershipData[[#This Row],[MeasurementDate]])</f>
        <v>40</v>
      </c>
      <c r="K765" s="19">
        <f>MONTH(tblRidershipData[[#This Row],[MeasurementDate]])</f>
        <v>10</v>
      </c>
    </row>
    <row r="766" spans="1:11" x14ac:dyDescent="0.25">
      <c r="A766" s="31">
        <v>43740</v>
      </c>
      <c r="B766" t="s">
        <v>4</v>
      </c>
      <c r="C766">
        <v>6552</v>
      </c>
      <c r="D766" t="s">
        <v>85</v>
      </c>
      <c r="E766" t="s">
        <v>109</v>
      </c>
      <c r="F766">
        <v>1</v>
      </c>
      <c r="G766" t="s">
        <v>71</v>
      </c>
      <c r="H766" t="s">
        <v>112</v>
      </c>
      <c r="I766">
        <v>30</v>
      </c>
      <c r="J766" s="19">
        <f>WEEKNUM(tblRidershipData[[#This Row],[MeasurementDate]])</f>
        <v>40</v>
      </c>
      <c r="K766" s="19">
        <f>MONTH(tblRidershipData[[#This Row],[MeasurementDate]])</f>
        <v>10</v>
      </c>
    </row>
    <row r="767" spans="1:11" x14ac:dyDescent="0.25">
      <c r="A767" s="31">
        <v>43740</v>
      </c>
      <c r="B767" t="s">
        <v>4</v>
      </c>
      <c r="C767">
        <v>6552</v>
      </c>
      <c r="D767" t="s">
        <v>85</v>
      </c>
      <c r="E767" t="s">
        <v>109</v>
      </c>
      <c r="F767">
        <v>1</v>
      </c>
      <c r="G767" t="s">
        <v>76</v>
      </c>
      <c r="H767" t="s">
        <v>112</v>
      </c>
      <c r="I767">
        <v>1</v>
      </c>
      <c r="J767" s="19">
        <f>WEEKNUM(tblRidershipData[[#This Row],[MeasurementDate]])</f>
        <v>40</v>
      </c>
      <c r="K767" s="19">
        <f>MONTH(tblRidershipData[[#This Row],[MeasurementDate]])</f>
        <v>10</v>
      </c>
    </row>
    <row r="768" spans="1:11" x14ac:dyDescent="0.25">
      <c r="A768" s="31">
        <v>43740</v>
      </c>
      <c r="B768" t="s">
        <v>4</v>
      </c>
      <c r="C768">
        <v>6552</v>
      </c>
      <c r="D768" t="s">
        <v>85</v>
      </c>
      <c r="E768" t="s">
        <v>109</v>
      </c>
      <c r="F768">
        <v>2</v>
      </c>
      <c r="G768" t="s">
        <v>43</v>
      </c>
      <c r="H768" t="s">
        <v>112</v>
      </c>
      <c r="I768">
        <v>7</v>
      </c>
      <c r="J768" s="19">
        <f>WEEKNUM(tblRidershipData[[#This Row],[MeasurementDate]])</f>
        <v>40</v>
      </c>
      <c r="K768" s="19">
        <f>MONTH(tblRidershipData[[#This Row],[MeasurementDate]])</f>
        <v>10</v>
      </c>
    </row>
    <row r="769" spans="1:11" x14ac:dyDescent="0.25">
      <c r="A769" s="31">
        <v>43740</v>
      </c>
      <c r="B769" t="s">
        <v>4</v>
      </c>
      <c r="C769">
        <v>6552</v>
      </c>
      <c r="D769" t="s">
        <v>85</v>
      </c>
      <c r="E769" t="s">
        <v>109</v>
      </c>
      <c r="F769">
        <v>2</v>
      </c>
      <c r="G769" t="s">
        <v>44</v>
      </c>
      <c r="H769" t="s">
        <v>112</v>
      </c>
      <c r="I769">
        <v>2</v>
      </c>
      <c r="J769" s="19">
        <f>WEEKNUM(tblRidershipData[[#This Row],[MeasurementDate]])</f>
        <v>40</v>
      </c>
      <c r="K769" s="19">
        <f>MONTH(tblRidershipData[[#This Row],[MeasurementDate]])</f>
        <v>10</v>
      </c>
    </row>
    <row r="770" spans="1:11" x14ac:dyDescent="0.25">
      <c r="A770" s="31">
        <v>43740</v>
      </c>
      <c r="B770" t="s">
        <v>4</v>
      </c>
      <c r="C770">
        <v>6552</v>
      </c>
      <c r="D770" t="s">
        <v>85</v>
      </c>
      <c r="E770" t="s">
        <v>109</v>
      </c>
      <c r="F770">
        <v>2</v>
      </c>
      <c r="G770" t="s">
        <v>46</v>
      </c>
      <c r="H770" t="s">
        <v>112</v>
      </c>
      <c r="I770">
        <v>4</v>
      </c>
      <c r="J770" s="19">
        <f>WEEKNUM(tblRidershipData[[#This Row],[MeasurementDate]])</f>
        <v>40</v>
      </c>
      <c r="K770" s="19">
        <f>MONTH(tblRidershipData[[#This Row],[MeasurementDate]])</f>
        <v>10</v>
      </c>
    </row>
    <row r="771" spans="1:11" x14ac:dyDescent="0.25">
      <c r="A771" s="31">
        <v>43740</v>
      </c>
      <c r="B771" t="s">
        <v>4</v>
      </c>
      <c r="C771">
        <v>6552</v>
      </c>
      <c r="D771" t="s">
        <v>85</v>
      </c>
      <c r="E771" t="s">
        <v>109</v>
      </c>
      <c r="F771">
        <v>2</v>
      </c>
      <c r="G771" t="s">
        <v>55</v>
      </c>
      <c r="H771" t="s">
        <v>112</v>
      </c>
      <c r="I771">
        <v>3</v>
      </c>
      <c r="J771" s="19">
        <f>WEEKNUM(tblRidershipData[[#This Row],[MeasurementDate]])</f>
        <v>40</v>
      </c>
      <c r="K771" s="19">
        <f>MONTH(tblRidershipData[[#This Row],[MeasurementDate]])</f>
        <v>10</v>
      </c>
    </row>
    <row r="772" spans="1:11" x14ac:dyDescent="0.25">
      <c r="A772" s="31">
        <v>43740</v>
      </c>
      <c r="B772" t="s">
        <v>4</v>
      </c>
      <c r="C772">
        <v>6552</v>
      </c>
      <c r="D772" t="s">
        <v>85</v>
      </c>
      <c r="E772" t="s">
        <v>109</v>
      </c>
      <c r="F772">
        <v>2</v>
      </c>
      <c r="G772" t="s">
        <v>57</v>
      </c>
      <c r="H772" t="s">
        <v>112</v>
      </c>
      <c r="I772">
        <v>1</v>
      </c>
      <c r="J772" s="19">
        <f>WEEKNUM(tblRidershipData[[#This Row],[MeasurementDate]])</f>
        <v>40</v>
      </c>
      <c r="K772" s="19">
        <f>MONTH(tblRidershipData[[#This Row],[MeasurementDate]])</f>
        <v>10</v>
      </c>
    </row>
    <row r="773" spans="1:11" x14ac:dyDescent="0.25">
      <c r="A773" s="31">
        <v>43740</v>
      </c>
      <c r="B773" t="s">
        <v>4</v>
      </c>
      <c r="C773">
        <v>6552</v>
      </c>
      <c r="D773" t="s">
        <v>85</v>
      </c>
      <c r="E773" t="s">
        <v>109</v>
      </c>
      <c r="F773">
        <v>2</v>
      </c>
      <c r="G773" t="s">
        <v>66</v>
      </c>
      <c r="H773" t="s">
        <v>112</v>
      </c>
      <c r="I773">
        <v>5</v>
      </c>
      <c r="J773" s="19">
        <f>WEEKNUM(tblRidershipData[[#This Row],[MeasurementDate]])</f>
        <v>40</v>
      </c>
      <c r="K773" s="19">
        <f>MONTH(tblRidershipData[[#This Row],[MeasurementDate]])</f>
        <v>10</v>
      </c>
    </row>
    <row r="774" spans="1:11" x14ac:dyDescent="0.25">
      <c r="A774" s="31">
        <v>43740</v>
      </c>
      <c r="B774" t="s">
        <v>4</v>
      </c>
      <c r="C774">
        <v>6552</v>
      </c>
      <c r="D774" t="s">
        <v>85</v>
      </c>
      <c r="E774" t="s">
        <v>109</v>
      </c>
      <c r="F774">
        <v>2</v>
      </c>
      <c r="G774" t="s">
        <v>69</v>
      </c>
      <c r="H774" t="s">
        <v>112</v>
      </c>
      <c r="I774">
        <v>2</v>
      </c>
      <c r="J774" s="19">
        <f>WEEKNUM(tblRidershipData[[#This Row],[MeasurementDate]])</f>
        <v>40</v>
      </c>
      <c r="K774" s="19">
        <f>MONTH(tblRidershipData[[#This Row],[MeasurementDate]])</f>
        <v>10</v>
      </c>
    </row>
    <row r="775" spans="1:11" x14ac:dyDescent="0.25">
      <c r="A775" s="31">
        <v>43740</v>
      </c>
      <c r="B775" t="s">
        <v>4</v>
      </c>
      <c r="C775">
        <v>6552</v>
      </c>
      <c r="D775" t="s">
        <v>85</v>
      </c>
      <c r="E775" t="s">
        <v>109</v>
      </c>
      <c r="F775">
        <v>2</v>
      </c>
      <c r="G775" t="s">
        <v>70</v>
      </c>
      <c r="H775" t="s">
        <v>112</v>
      </c>
      <c r="I775">
        <v>1</v>
      </c>
      <c r="J775" s="19">
        <f>WEEKNUM(tblRidershipData[[#This Row],[MeasurementDate]])</f>
        <v>40</v>
      </c>
      <c r="K775" s="19">
        <f>MONTH(tblRidershipData[[#This Row],[MeasurementDate]])</f>
        <v>10</v>
      </c>
    </row>
    <row r="776" spans="1:11" x14ac:dyDescent="0.25">
      <c r="A776" s="31">
        <v>43740</v>
      </c>
      <c r="B776" t="s">
        <v>4</v>
      </c>
      <c r="C776">
        <v>6552</v>
      </c>
      <c r="D776" t="s">
        <v>85</v>
      </c>
      <c r="E776" t="s">
        <v>109</v>
      </c>
      <c r="F776">
        <v>2</v>
      </c>
      <c r="G776" t="s">
        <v>71</v>
      </c>
      <c r="H776" t="s">
        <v>112</v>
      </c>
      <c r="I776">
        <v>4</v>
      </c>
      <c r="J776" s="19">
        <f>WEEKNUM(tblRidershipData[[#This Row],[MeasurementDate]])</f>
        <v>40</v>
      </c>
      <c r="K776" s="19">
        <f>MONTH(tblRidershipData[[#This Row],[MeasurementDate]])</f>
        <v>10</v>
      </c>
    </row>
    <row r="777" spans="1:11" x14ac:dyDescent="0.25">
      <c r="A777" s="31">
        <v>43740</v>
      </c>
      <c r="B777" t="s">
        <v>4</v>
      </c>
      <c r="C777">
        <v>6552</v>
      </c>
      <c r="D777" t="s">
        <v>85</v>
      </c>
      <c r="E777" t="s">
        <v>109</v>
      </c>
      <c r="F777">
        <v>1</v>
      </c>
      <c r="G777" t="s">
        <v>43</v>
      </c>
      <c r="H777" t="s">
        <v>110</v>
      </c>
      <c r="I777">
        <v>5</v>
      </c>
      <c r="J777" s="19">
        <f>WEEKNUM(tblRidershipData[[#This Row],[MeasurementDate]])</f>
        <v>40</v>
      </c>
      <c r="K777" s="19">
        <f>MONTH(tblRidershipData[[#This Row],[MeasurementDate]])</f>
        <v>10</v>
      </c>
    </row>
    <row r="778" spans="1:11" x14ac:dyDescent="0.25">
      <c r="A778" s="31">
        <v>43740</v>
      </c>
      <c r="B778" t="s">
        <v>4</v>
      </c>
      <c r="C778">
        <v>6552</v>
      </c>
      <c r="D778" t="s">
        <v>85</v>
      </c>
      <c r="E778" t="s">
        <v>109</v>
      </c>
      <c r="F778">
        <v>1</v>
      </c>
      <c r="G778" t="s">
        <v>46</v>
      </c>
      <c r="H778" t="s">
        <v>110</v>
      </c>
      <c r="I778">
        <v>3</v>
      </c>
      <c r="J778" s="19">
        <f>WEEKNUM(tblRidershipData[[#This Row],[MeasurementDate]])</f>
        <v>40</v>
      </c>
      <c r="K778" s="19">
        <f>MONTH(tblRidershipData[[#This Row],[MeasurementDate]])</f>
        <v>10</v>
      </c>
    </row>
    <row r="779" spans="1:11" x14ac:dyDescent="0.25">
      <c r="A779" s="31">
        <v>43740</v>
      </c>
      <c r="B779" t="s">
        <v>4</v>
      </c>
      <c r="C779">
        <v>6552</v>
      </c>
      <c r="D779" t="s">
        <v>85</v>
      </c>
      <c r="E779" t="s">
        <v>109</v>
      </c>
      <c r="F779">
        <v>1</v>
      </c>
      <c r="G779" t="s">
        <v>56</v>
      </c>
      <c r="H779" t="s">
        <v>110</v>
      </c>
      <c r="I779">
        <v>2</v>
      </c>
      <c r="J779" s="19">
        <f>WEEKNUM(tblRidershipData[[#This Row],[MeasurementDate]])</f>
        <v>40</v>
      </c>
      <c r="K779" s="19">
        <f>MONTH(tblRidershipData[[#This Row],[MeasurementDate]])</f>
        <v>10</v>
      </c>
    </row>
    <row r="780" spans="1:11" x14ac:dyDescent="0.25">
      <c r="A780" s="31">
        <v>43740</v>
      </c>
      <c r="B780" t="s">
        <v>4</v>
      </c>
      <c r="C780">
        <v>6552</v>
      </c>
      <c r="D780" t="s">
        <v>85</v>
      </c>
      <c r="E780" t="s">
        <v>109</v>
      </c>
      <c r="F780">
        <v>1</v>
      </c>
      <c r="G780" t="s">
        <v>69</v>
      </c>
      <c r="H780" t="s">
        <v>110</v>
      </c>
      <c r="I780">
        <v>1</v>
      </c>
      <c r="J780" s="19">
        <f>WEEKNUM(tblRidershipData[[#This Row],[MeasurementDate]])</f>
        <v>40</v>
      </c>
      <c r="K780" s="19">
        <f>MONTH(tblRidershipData[[#This Row],[MeasurementDate]])</f>
        <v>10</v>
      </c>
    </row>
    <row r="781" spans="1:11" x14ac:dyDescent="0.25">
      <c r="A781" s="31">
        <v>43740</v>
      </c>
      <c r="B781" t="s">
        <v>4</v>
      </c>
      <c r="C781">
        <v>7309</v>
      </c>
      <c r="D781" t="s">
        <v>88</v>
      </c>
      <c r="E781" t="s">
        <v>111</v>
      </c>
      <c r="F781">
        <v>1</v>
      </c>
      <c r="G781" t="s">
        <v>43</v>
      </c>
      <c r="H781" t="s">
        <v>110</v>
      </c>
      <c r="I781">
        <v>4</v>
      </c>
      <c r="J781" s="19">
        <f>WEEKNUM(tblRidershipData[[#This Row],[MeasurementDate]])</f>
        <v>40</v>
      </c>
      <c r="K781" s="19">
        <f>MONTH(tblRidershipData[[#This Row],[MeasurementDate]])</f>
        <v>10</v>
      </c>
    </row>
    <row r="782" spans="1:11" x14ac:dyDescent="0.25">
      <c r="A782" s="31">
        <v>43740</v>
      </c>
      <c r="B782" t="s">
        <v>4</v>
      </c>
      <c r="C782">
        <v>7309</v>
      </c>
      <c r="D782" t="s">
        <v>88</v>
      </c>
      <c r="E782" t="s">
        <v>111</v>
      </c>
      <c r="F782">
        <v>1</v>
      </c>
      <c r="G782" t="s">
        <v>44</v>
      </c>
      <c r="H782" t="s">
        <v>110</v>
      </c>
      <c r="I782">
        <v>2</v>
      </c>
      <c r="J782" s="19">
        <f>WEEKNUM(tblRidershipData[[#This Row],[MeasurementDate]])</f>
        <v>40</v>
      </c>
      <c r="K782" s="19">
        <f>MONTH(tblRidershipData[[#This Row],[MeasurementDate]])</f>
        <v>10</v>
      </c>
    </row>
    <row r="783" spans="1:11" x14ac:dyDescent="0.25">
      <c r="A783" s="31">
        <v>43740</v>
      </c>
      <c r="B783" t="s">
        <v>4</v>
      </c>
      <c r="C783">
        <v>7309</v>
      </c>
      <c r="D783" t="s">
        <v>88</v>
      </c>
      <c r="E783" t="s">
        <v>111</v>
      </c>
      <c r="F783">
        <v>1</v>
      </c>
      <c r="G783" t="s">
        <v>57</v>
      </c>
      <c r="H783" t="s">
        <v>110</v>
      </c>
      <c r="I783">
        <v>4</v>
      </c>
      <c r="J783" s="19">
        <f>WEEKNUM(tblRidershipData[[#This Row],[MeasurementDate]])</f>
        <v>40</v>
      </c>
      <c r="K783" s="19">
        <f>MONTH(tblRidershipData[[#This Row],[MeasurementDate]])</f>
        <v>10</v>
      </c>
    </row>
    <row r="784" spans="1:11" x14ac:dyDescent="0.25">
      <c r="A784" s="31">
        <v>43740</v>
      </c>
      <c r="B784" t="s">
        <v>4</v>
      </c>
      <c r="C784">
        <v>7309</v>
      </c>
      <c r="D784" t="s">
        <v>88</v>
      </c>
      <c r="E784" t="s">
        <v>111</v>
      </c>
      <c r="F784">
        <v>1</v>
      </c>
      <c r="G784" t="s">
        <v>59</v>
      </c>
      <c r="H784" t="s">
        <v>110</v>
      </c>
      <c r="I784">
        <v>1</v>
      </c>
      <c r="J784" s="19">
        <f>WEEKNUM(tblRidershipData[[#This Row],[MeasurementDate]])</f>
        <v>40</v>
      </c>
      <c r="K784" s="19">
        <f>MONTH(tblRidershipData[[#This Row],[MeasurementDate]])</f>
        <v>10</v>
      </c>
    </row>
    <row r="785" spans="1:11" x14ac:dyDescent="0.25">
      <c r="A785" s="31">
        <v>43740</v>
      </c>
      <c r="B785" t="s">
        <v>4</v>
      </c>
      <c r="C785">
        <v>7309</v>
      </c>
      <c r="D785" t="s">
        <v>88</v>
      </c>
      <c r="E785" t="s">
        <v>111</v>
      </c>
      <c r="F785">
        <v>1</v>
      </c>
      <c r="G785" t="s">
        <v>66</v>
      </c>
      <c r="H785" t="s">
        <v>110</v>
      </c>
      <c r="I785">
        <v>4</v>
      </c>
      <c r="J785" s="19">
        <f>WEEKNUM(tblRidershipData[[#This Row],[MeasurementDate]])</f>
        <v>40</v>
      </c>
      <c r="K785" s="19">
        <f>MONTH(tblRidershipData[[#This Row],[MeasurementDate]])</f>
        <v>10</v>
      </c>
    </row>
    <row r="786" spans="1:11" x14ac:dyDescent="0.25">
      <c r="A786" s="31">
        <v>43740</v>
      </c>
      <c r="B786" t="s">
        <v>4</v>
      </c>
      <c r="C786">
        <v>7309</v>
      </c>
      <c r="D786" t="s">
        <v>88</v>
      </c>
      <c r="E786" t="s">
        <v>111</v>
      </c>
      <c r="F786">
        <v>1</v>
      </c>
      <c r="G786" t="s">
        <v>69</v>
      </c>
      <c r="H786" t="s">
        <v>110</v>
      </c>
      <c r="I786">
        <v>5</v>
      </c>
      <c r="J786" s="19">
        <f>WEEKNUM(tblRidershipData[[#This Row],[MeasurementDate]])</f>
        <v>40</v>
      </c>
      <c r="K786" s="19">
        <f>MONTH(tblRidershipData[[#This Row],[MeasurementDate]])</f>
        <v>10</v>
      </c>
    </row>
    <row r="787" spans="1:11" x14ac:dyDescent="0.25">
      <c r="A787" s="31">
        <v>43740</v>
      </c>
      <c r="B787" t="s">
        <v>4</v>
      </c>
      <c r="C787">
        <v>7309</v>
      </c>
      <c r="D787" t="s">
        <v>88</v>
      </c>
      <c r="E787" t="s">
        <v>111</v>
      </c>
      <c r="F787">
        <v>1</v>
      </c>
      <c r="G787" t="s">
        <v>70</v>
      </c>
      <c r="H787" t="s">
        <v>110</v>
      </c>
      <c r="I787">
        <v>6</v>
      </c>
      <c r="J787" s="19">
        <f>WEEKNUM(tblRidershipData[[#This Row],[MeasurementDate]])</f>
        <v>40</v>
      </c>
      <c r="K787" s="19">
        <f>MONTH(tblRidershipData[[#This Row],[MeasurementDate]])</f>
        <v>10</v>
      </c>
    </row>
    <row r="788" spans="1:11" x14ac:dyDescent="0.25">
      <c r="A788" s="31">
        <v>43740</v>
      </c>
      <c r="B788" t="s">
        <v>4</v>
      </c>
      <c r="C788">
        <v>7309</v>
      </c>
      <c r="D788" t="s">
        <v>88</v>
      </c>
      <c r="E788" t="s">
        <v>111</v>
      </c>
      <c r="F788">
        <v>1</v>
      </c>
      <c r="G788" t="s">
        <v>71</v>
      </c>
      <c r="H788" t="s">
        <v>110</v>
      </c>
      <c r="I788">
        <v>3</v>
      </c>
      <c r="J788" s="19">
        <f>WEEKNUM(tblRidershipData[[#This Row],[MeasurementDate]])</f>
        <v>40</v>
      </c>
      <c r="K788" s="19">
        <f>MONTH(tblRidershipData[[#This Row],[MeasurementDate]])</f>
        <v>10</v>
      </c>
    </row>
    <row r="789" spans="1:11" x14ac:dyDescent="0.25">
      <c r="A789" s="31">
        <v>43740</v>
      </c>
      <c r="B789" t="s">
        <v>4</v>
      </c>
      <c r="C789">
        <v>7309</v>
      </c>
      <c r="D789" t="s">
        <v>88</v>
      </c>
      <c r="E789" t="s">
        <v>111</v>
      </c>
      <c r="F789">
        <v>2</v>
      </c>
      <c r="G789" t="s">
        <v>66</v>
      </c>
      <c r="H789" t="s">
        <v>110</v>
      </c>
      <c r="I789">
        <v>5</v>
      </c>
      <c r="J789" s="19">
        <f>WEEKNUM(tblRidershipData[[#This Row],[MeasurementDate]])</f>
        <v>40</v>
      </c>
      <c r="K789" s="19">
        <f>MONTH(tblRidershipData[[#This Row],[MeasurementDate]])</f>
        <v>10</v>
      </c>
    </row>
    <row r="790" spans="1:11" x14ac:dyDescent="0.25">
      <c r="A790" s="31">
        <v>43740</v>
      </c>
      <c r="B790" t="s">
        <v>4</v>
      </c>
      <c r="C790">
        <v>7309</v>
      </c>
      <c r="D790" t="s">
        <v>88</v>
      </c>
      <c r="E790" t="s">
        <v>111</v>
      </c>
      <c r="F790">
        <v>2</v>
      </c>
      <c r="G790" t="s">
        <v>71</v>
      </c>
      <c r="H790" t="s">
        <v>110</v>
      </c>
      <c r="I790">
        <v>2</v>
      </c>
      <c r="J790" s="19">
        <f>WEEKNUM(tblRidershipData[[#This Row],[MeasurementDate]])</f>
        <v>40</v>
      </c>
      <c r="K790" s="19">
        <f>MONTH(tblRidershipData[[#This Row],[MeasurementDate]])</f>
        <v>10</v>
      </c>
    </row>
    <row r="791" spans="1:11" x14ac:dyDescent="0.25">
      <c r="A791" s="31">
        <v>43740</v>
      </c>
      <c r="B791" t="s">
        <v>4</v>
      </c>
      <c r="C791">
        <v>7309</v>
      </c>
      <c r="D791" t="s">
        <v>88</v>
      </c>
      <c r="E791" t="s">
        <v>109</v>
      </c>
      <c r="F791">
        <v>1</v>
      </c>
      <c r="G791" t="s">
        <v>51</v>
      </c>
      <c r="H791" t="s">
        <v>110</v>
      </c>
      <c r="I791">
        <v>28</v>
      </c>
      <c r="J791" s="19">
        <f>WEEKNUM(tblRidershipData[[#This Row],[MeasurementDate]])</f>
        <v>40</v>
      </c>
      <c r="K791" s="19">
        <f>MONTH(tblRidershipData[[#This Row],[MeasurementDate]])</f>
        <v>10</v>
      </c>
    </row>
    <row r="792" spans="1:11" x14ac:dyDescent="0.25">
      <c r="A792" s="31">
        <v>43740</v>
      </c>
      <c r="B792" t="s">
        <v>4</v>
      </c>
      <c r="C792">
        <v>7309</v>
      </c>
      <c r="D792" t="s">
        <v>88</v>
      </c>
      <c r="E792" t="s">
        <v>109</v>
      </c>
      <c r="F792">
        <v>1</v>
      </c>
      <c r="G792" t="s">
        <v>52</v>
      </c>
      <c r="H792" t="s">
        <v>110</v>
      </c>
      <c r="I792">
        <v>4</v>
      </c>
      <c r="J792" s="19">
        <f>WEEKNUM(tblRidershipData[[#This Row],[MeasurementDate]])</f>
        <v>40</v>
      </c>
      <c r="K792" s="19">
        <f>MONTH(tblRidershipData[[#This Row],[MeasurementDate]])</f>
        <v>10</v>
      </c>
    </row>
    <row r="793" spans="1:11" x14ac:dyDescent="0.25">
      <c r="A793" s="31">
        <v>43740</v>
      </c>
      <c r="B793" t="s">
        <v>4</v>
      </c>
      <c r="C793">
        <v>7309</v>
      </c>
      <c r="D793" t="s">
        <v>88</v>
      </c>
      <c r="E793" t="s">
        <v>109</v>
      </c>
      <c r="F793">
        <v>1</v>
      </c>
      <c r="G793" t="s">
        <v>59</v>
      </c>
      <c r="H793" t="s">
        <v>110</v>
      </c>
      <c r="I793">
        <v>9</v>
      </c>
      <c r="J793" s="19">
        <f>WEEKNUM(tblRidershipData[[#This Row],[MeasurementDate]])</f>
        <v>40</v>
      </c>
      <c r="K793" s="19">
        <f>MONTH(tblRidershipData[[#This Row],[MeasurementDate]])</f>
        <v>10</v>
      </c>
    </row>
    <row r="794" spans="1:11" x14ac:dyDescent="0.25">
      <c r="A794" s="31">
        <v>43740</v>
      </c>
      <c r="B794" t="s">
        <v>4</v>
      </c>
      <c r="C794">
        <v>7309</v>
      </c>
      <c r="D794" t="s">
        <v>88</v>
      </c>
      <c r="E794" t="s">
        <v>109</v>
      </c>
      <c r="F794">
        <v>1</v>
      </c>
      <c r="G794" t="s">
        <v>67</v>
      </c>
      <c r="H794" t="s">
        <v>110</v>
      </c>
      <c r="I794">
        <v>35</v>
      </c>
      <c r="J794" s="19">
        <f>WEEKNUM(tblRidershipData[[#This Row],[MeasurementDate]])</f>
        <v>40</v>
      </c>
      <c r="K794" s="19">
        <f>MONTH(tblRidershipData[[#This Row],[MeasurementDate]])</f>
        <v>10</v>
      </c>
    </row>
    <row r="795" spans="1:11" x14ac:dyDescent="0.25">
      <c r="A795" s="31">
        <v>43740</v>
      </c>
      <c r="B795" t="s">
        <v>4</v>
      </c>
      <c r="C795">
        <v>7309</v>
      </c>
      <c r="D795" t="s">
        <v>88</v>
      </c>
      <c r="E795" t="s">
        <v>109</v>
      </c>
      <c r="F795">
        <v>1</v>
      </c>
      <c r="G795" t="s">
        <v>74</v>
      </c>
      <c r="H795" t="s">
        <v>110</v>
      </c>
      <c r="I795">
        <v>3</v>
      </c>
      <c r="J795" s="19">
        <f>WEEKNUM(tblRidershipData[[#This Row],[MeasurementDate]])</f>
        <v>40</v>
      </c>
      <c r="K795" s="19">
        <f>MONTH(tblRidershipData[[#This Row],[MeasurementDate]])</f>
        <v>10</v>
      </c>
    </row>
    <row r="796" spans="1:11" x14ac:dyDescent="0.25">
      <c r="A796" s="31">
        <v>43740</v>
      </c>
      <c r="B796" t="s">
        <v>4</v>
      </c>
      <c r="C796">
        <v>7311</v>
      </c>
      <c r="D796" t="s">
        <v>82</v>
      </c>
      <c r="E796" t="s">
        <v>111</v>
      </c>
      <c r="F796">
        <v>1</v>
      </c>
      <c r="G796" t="s">
        <v>46</v>
      </c>
      <c r="H796" t="s">
        <v>110</v>
      </c>
      <c r="I796">
        <v>2</v>
      </c>
      <c r="J796" s="19">
        <f>WEEKNUM(tblRidershipData[[#This Row],[MeasurementDate]])</f>
        <v>40</v>
      </c>
      <c r="K796" s="19">
        <f>MONTH(tblRidershipData[[#This Row],[MeasurementDate]])</f>
        <v>10</v>
      </c>
    </row>
    <row r="797" spans="1:11" x14ac:dyDescent="0.25">
      <c r="A797" s="31">
        <v>43740</v>
      </c>
      <c r="B797" t="s">
        <v>4</v>
      </c>
      <c r="C797">
        <v>7311</v>
      </c>
      <c r="D797" t="s">
        <v>82</v>
      </c>
      <c r="E797" t="s">
        <v>111</v>
      </c>
      <c r="F797">
        <v>1</v>
      </c>
      <c r="G797" t="s">
        <v>55</v>
      </c>
      <c r="H797" t="s">
        <v>110</v>
      </c>
      <c r="I797">
        <v>4</v>
      </c>
      <c r="J797" s="19">
        <f>WEEKNUM(tblRidershipData[[#This Row],[MeasurementDate]])</f>
        <v>40</v>
      </c>
      <c r="K797" s="19">
        <f>MONTH(tblRidershipData[[#This Row],[MeasurementDate]])</f>
        <v>10</v>
      </c>
    </row>
    <row r="798" spans="1:11" x14ac:dyDescent="0.25">
      <c r="A798" s="31">
        <v>43740</v>
      </c>
      <c r="B798" t="s">
        <v>4</v>
      </c>
      <c r="C798">
        <v>7311</v>
      </c>
      <c r="D798" t="s">
        <v>82</v>
      </c>
      <c r="E798" t="s">
        <v>111</v>
      </c>
      <c r="F798">
        <v>1</v>
      </c>
      <c r="G798" t="s">
        <v>59</v>
      </c>
      <c r="H798" t="s">
        <v>110</v>
      </c>
      <c r="I798">
        <v>25</v>
      </c>
      <c r="J798" s="19">
        <f>WEEKNUM(tblRidershipData[[#This Row],[MeasurementDate]])</f>
        <v>40</v>
      </c>
      <c r="K798" s="19">
        <f>MONTH(tblRidershipData[[#This Row],[MeasurementDate]])</f>
        <v>10</v>
      </c>
    </row>
    <row r="799" spans="1:11" x14ac:dyDescent="0.25">
      <c r="A799" s="31">
        <v>43740</v>
      </c>
      <c r="B799" t="s">
        <v>4</v>
      </c>
      <c r="C799">
        <v>7311</v>
      </c>
      <c r="D799" t="s">
        <v>82</v>
      </c>
      <c r="E799" t="s">
        <v>111</v>
      </c>
      <c r="F799">
        <v>1</v>
      </c>
      <c r="G799" t="s">
        <v>69</v>
      </c>
      <c r="H799" t="s">
        <v>110</v>
      </c>
      <c r="I799">
        <v>12</v>
      </c>
      <c r="J799" s="19">
        <f>WEEKNUM(tblRidershipData[[#This Row],[MeasurementDate]])</f>
        <v>40</v>
      </c>
      <c r="K799" s="19">
        <f>MONTH(tblRidershipData[[#This Row],[MeasurementDate]])</f>
        <v>10</v>
      </c>
    </row>
    <row r="800" spans="1:11" x14ac:dyDescent="0.25">
      <c r="A800" s="31">
        <v>43740</v>
      </c>
      <c r="B800" t="s">
        <v>4</v>
      </c>
      <c r="C800">
        <v>7311</v>
      </c>
      <c r="D800" t="s">
        <v>82</v>
      </c>
      <c r="E800" t="s">
        <v>111</v>
      </c>
      <c r="F800">
        <v>1</v>
      </c>
      <c r="G800" t="s">
        <v>70</v>
      </c>
      <c r="H800" t="s">
        <v>110</v>
      </c>
      <c r="I800">
        <v>1</v>
      </c>
      <c r="J800" s="19">
        <f>WEEKNUM(tblRidershipData[[#This Row],[MeasurementDate]])</f>
        <v>40</v>
      </c>
      <c r="K800" s="19">
        <f>MONTH(tblRidershipData[[#This Row],[MeasurementDate]])</f>
        <v>10</v>
      </c>
    </row>
    <row r="801" spans="1:11" x14ac:dyDescent="0.25">
      <c r="A801" s="31">
        <v>43740</v>
      </c>
      <c r="B801" t="s">
        <v>4</v>
      </c>
      <c r="C801">
        <v>7311</v>
      </c>
      <c r="D801" t="s">
        <v>82</v>
      </c>
      <c r="E801" t="s">
        <v>111</v>
      </c>
      <c r="F801">
        <v>1</v>
      </c>
      <c r="G801" t="s">
        <v>73</v>
      </c>
      <c r="H801" t="s">
        <v>110</v>
      </c>
      <c r="I801">
        <v>12</v>
      </c>
      <c r="J801" s="19">
        <f>WEEKNUM(tblRidershipData[[#This Row],[MeasurementDate]])</f>
        <v>40</v>
      </c>
      <c r="K801" s="19">
        <f>MONTH(tblRidershipData[[#This Row],[MeasurementDate]])</f>
        <v>10</v>
      </c>
    </row>
    <row r="802" spans="1:11" x14ac:dyDescent="0.25">
      <c r="A802" s="31">
        <v>43740</v>
      </c>
      <c r="B802" t="s">
        <v>4</v>
      </c>
      <c r="C802">
        <v>7311</v>
      </c>
      <c r="D802" t="s">
        <v>82</v>
      </c>
      <c r="E802" t="s">
        <v>111</v>
      </c>
      <c r="F802">
        <v>1</v>
      </c>
      <c r="G802" t="s">
        <v>74</v>
      </c>
      <c r="H802" t="s">
        <v>110</v>
      </c>
      <c r="I802">
        <v>3</v>
      </c>
      <c r="J802" s="19">
        <f>WEEKNUM(tblRidershipData[[#This Row],[MeasurementDate]])</f>
        <v>40</v>
      </c>
      <c r="K802" s="19">
        <f>MONTH(tblRidershipData[[#This Row],[MeasurementDate]])</f>
        <v>10</v>
      </c>
    </row>
    <row r="803" spans="1:11" x14ac:dyDescent="0.25">
      <c r="A803" s="31">
        <v>43740</v>
      </c>
      <c r="B803" t="s">
        <v>4</v>
      </c>
      <c r="C803">
        <v>7311</v>
      </c>
      <c r="D803" t="s">
        <v>82</v>
      </c>
      <c r="E803" t="s">
        <v>109</v>
      </c>
      <c r="F803">
        <v>1</v>
      </c>
      <c r="G803" t="s">
        <v>43</v>
      </c>
      <c r="H803" t="s">
        <v>110</v>
      </c>
      <c r="I803">
        <v>2</v>
      </c>
      <c r="J803" s="19">
        <f>WEEKNUM(tblRidershipData[[#This Row],[MeasurementDate]])</f>
        <v>40</v>
      </c>
      <c r="K803" s="19">
        <f>MONTH(tblRidershipData[[#This Row],[MeasurementDate]])</f>
        <v>10</v>
      </c>
    </row>
    <row r="804" spans="1:11" x14ac:dyDescent="0.25">
      <c r="A804" s="31">
        <v>43740</v>
      </c>
      <c r="B804" t="s">
        <v>4</v>
      </c>
      <c r="C804">
        <v>7311</v>
      </c>
      <c r="D804" t="s">
        <v>82</v>
      </c>
      <c r="E804" t="s">
        <v>109</v>
      </c>
      <c r="F804">
        <v>1</v>
      </c>
      <c r="G804" t="s">
        <v>44</v>
      </c>
      <c r="H804" t="s">
        <v>110</v>
      </c>
      <c r="I804">
        <v>2</v>
      </c>
      <c r="J804" s="19">
        <f>WEEKNUM(tblRidershipData[[#This Row],[MeasurementDate]])</f>
        <v>40</v>
      </c>
      <c r="K804" s="19">
        <f>MONTH(tblRidershipData[[#This Row],[MeasurementDate]])</f>
        <v>10</v>
      </c>
    </row>
    <row r="805" spans="1:11" x14ac:dyDescent="0.25">
      <c r="A805" s="31">
        <v>43740</v>
      </c>
      <c r="B805" t="s">
        <v>4</v>
      </c>
      <c r="C805">
        <v>7311</v>
      </c>
      <c r="D805" t="s">
        <v>82</v>
      </c>
      <c r="E805" t="s">
        <v>109</v>
      </c>
      <c r="F805">
        <v>1</v>
      </c>
      <c r="G805" t="s">
        <v>46</v>
      </c>
      <c r="H805" t="s">
        <v>110</v>
      </c>
      <c r="I805">
        <v>2</v>
      </c>
      <c r="J805" s="19">
        <f>WEEKNUM(tblRidershipData[[#This Row],[MeasurementDate]])</f>
        <v>40</v>
      </c>
      <c r="K805" s="19">
        <f>MONTH(tblRidershipData[[#This Row],[MeasurementDate]])</f>
        <v>10</v>
      </c>
    </row>
    <row r="806" spans="1:11" x14ac:dyDescent="0.25">
      <c r="A806" s="31">
        <v>43740</v>
      </c>
      <c r="B806" t="s">
        <v>4</v>
      </c>
      <c r="C806">
        <v>7311</v>
      </c>
      <c r="D806" t="s">
        <v>82</v>
      </c>
      <c r="E806" t="s">
        <v>109</v>
      </c>
      <c r="F806">
        <v>1</v>
      </c>
      <c r="G806" t="s">
        <v>54</v>
      </c>
      <c r="H806" t="s">
        <v>110</v>
      </c>
      <c r="I806">
        <v>1</v>
      </c>
      <c r="J806" s="19">
        <f>WEEKNUM(tblRidershipData[[#This Row],[MeasurementDate]])</f>
        <v>40</v>
      </c>
      <c r="K806" s="19">
        <f>MONTH(tblRidershipData[[#This Row],[MeasurementDate]])</f>
        <v>10</v>
      </c>
    </row>
    <row r="807" spans="1:11" x14ac:dyDescent="0.25">
      <c r="A807" s="31">
        <v>43740</v>
      </c>
      <c r="B807" t="s">
        <v>4</v>
      </c>
      <c r="C807">
        <v>7311</v>
      </c>
      <c r="D807" t="s">
        <v>82</v>
      </c>
      <c r="E807" t="s">
        <v>109</v>
      </c>
      <c r="F807">
        <v>1</v>
      </c>
      <c r="G807" t="s">
        <v>55</v>
      </c>
      <c r="H807" t="s">
        <v>110</v>
      </c>
      <c r="I807">
        <v>3</v>
      </c>
      <c r="J807" s="19">
        <f>WEEKNUM(tblRidershipData[[#This Row],[MeasurementDate]])</f>
        <v>40</v>
      </c>
      <c r="K807" s="19">
        <f>MONTH(tblRidershipData[[#This Row],[MeasurementDate]])</f>
        <v>10</v>
      </c>
    </row>
    <row r="808" spans="1:11" x14ac:dyDescent="0.25">
      <c r="A808" s="31">
        <v>43740</v>
      </c>
      <c r="B808" t="s">
        <v>4</v>
      </c>
      <c r="C808">
        <v>7311</v>
      </c>
      <c r="D808" t="s">
        <v>82</v>
      </c>
      <c r="E808" t="s">
        <v>109</v>
      </c>
      <c r="F808">
        <v>1</v>
      </c>
      <c r="G808" t="s">
        <v>59</v>
      </c>
      <c r="H808" t="s">
        <v>110</v>
      </c>
      <c r="I808">
        <v>2</v>
      </c>
      <c r="J808" s="19">
        <f>WEEKNUM(tblRidershipData[[#This Row],[MeasurementDate]])</f>
        <v>40</v>
      </c>
      <c r="K808" s="19">
        <f>MONTH(tblRidershipData[[#This Row],[MeasurementDate]])</f>
        <v>10</v>
      </c>
    </row>
    <row r="809" spans="1:11" x14ac:dyDescent="0.25">
      <c r="A809" s="31">
        <v>43740</v>
      </c>
      <c r="B809" t="s">
        <v>4</v>
      </c>
      <c r="C809">
        <v>7311</v>
      </c>
      <c r="D809" t="s">
        <v>82</v>
      </c>
      <c r="E809" t="s">
        <v>109</v>
      </c>
      <c r="F809">
        <v>1</v>
      </c>
      <c r="G809" t="s">
        <v>60</v>
      </c>
      <c r="H809" t="s">
        <v>110</v>
      </c>
      <c r="I809">
        <v>3</v>
      </c>
      <c r="J809" s="19">
        <f>WEEKNUM(tblRidershipData[[#This Row],[MeasurementDate]])</f>
        <v>40</v>
      </c>
      <c r="K809" s="19">
        <f>MONTH(tblRidershipData[[#This Row],[MeasurementDate]])</f>
        <v>10</v>
      </c>
    </row>
    <row r="810" spans="1:11" x14ac:dyDescent="0.25">
      <c r="A810" s="31">
        <v>43740</v>
      </c>
      <c r="B810" t="s">
        <v>4</v>
      </c>
      <c r="C810">
        <v>7311</v>
      </c>
      <c r="D810" t="s">
        <v>82</v>
      </c>
      <c r="E810" t="s">
        <v>109</v>
      </c>
      <c r="F810">
        <v>1</v>
      </c>
      <c r="G810" t="s">
        <v>62</v>
      </c>
      <c r="H810" t="s">
        <v>110</v>
      </c>
      <c r="I810">
        <v>1</v>
      </c>
      <c r="J810" s="19">
        <f>WEEKNUM(tblRidershipData[[#This Row],[MeasurementDate]])</f>
        <v>40</v>
      </c>
      <c r="K810" s="19">
        <f>MONTH(tblRidershipData[[#This Row],[MeasurementDate]])</f>
        <v>10</v>
      </c>
    </row>
    <row r="811" spans="1:11" x14ac:dyDescent="0.25">
      <c r="A811" s="31">
        <v>43740</v>
      </c>
      <c r="B811" t="s">
        <v>4</v>
      </c>
      <c r="C811">
        <v>7311</v>
      </c>
      <c r="D811" t="s">
        <v>82</v>
      </c>
      <c r="E811" t="s">
        <v>109</v>
      </c>
      <c r="F811">
        <v>1</v>
      </c>
      <c r="G811" t="s">
        <v>63</v>
      </c>
      <c r="H811" t="s">
        <v>110</v>
      </c>
      <c r="I811">
        <v>7</v>
      </c>
      <c r="J811" s="19">
        <f>WEEKNUM(tblRidershipData[[#This Row],[MeasurementDate]])</f>
        <v>40</v>
      </c>
      <c r="K811" s="19">
        <f>MONTH(tblRidershipData[[#This Row],[MeasurementDate]])</f>
        <v>10</v>
      </c>
    </row>
    <row r="812" spans="1:11" x14ac:dyDescent="0.25">
      <c r="A812" s="31">
        <v>43740</v>
      </c>
      <c r="B812" t="s">
        <v>4</v>
      </c>
      <c r="C812">
        <v>7311</v>
      </c>
      <c r="D812" t="s">
        <v>82</v>
      </c>
      <c r="E812" t="s">
        <v>109</v>
      </c>
      <c r="F812">
        <v>1</v>
      </c>
      <c r="G812" t="s">
        <v>66</v>
      </c>
      <c r="H812" t="s">
        <v>110</v>
      </c>
      <c r="I812">
        <v>14</v>
      </c>
      <c r="J812" s="19">
        <f>WEEKNUM(tblRidershipData[[#This Row],[MeasurementDate]])</f>
        <v>40</v>
      </c>
      <c r="K812" s="19">
        <f>MONTH(tblRidershipData[[#This Row],[MeasurementDate]])</f>
        <v>10</v>
      </c>
    </row>
    <row r="813" spans="1:11" x14ac:dyDescent="0.25">
      <c r="A813" s="31">
        <v>43740</v>
      </c>
      <c r="B813" t="s">
        <v>4</v>
      </c>
      <c r="C813">
        <v>7311</v>
      </c>
      <c r="D813" t="s">
        <v>82</v>
      </c>
      <c r="E813" t="s">
        <v>109</v>
      </c>
      <c r="F813">
        <v>1</v>
      </c>
      <c r="G813" t="s">
        <v>69</v>
      </c>
      <c r="H813" t="s">
        <v>110</v>
      </c>
      <c r="I813">
        <v>18</v>
      </c>
      <c r="J813" s="19">
        <f>WEEKNUM(tblRidershipData[[#This Row],[MeasurementDate]])</f>
        <v>40</v>
      </c>
      <c r="K813" s="19">
        <f>MONTH(tblRidershipData[[#This Row],[MeasurementDate]])</f>
        <v>10</v>
      </c>
    </row>
    <row r="814" spans="1:11" x14ac:dyDescent="0.25">
      <c r="A814" s="31">
        <v>43740</v>
      </c>
      <c r="B814" t="s">
        <v>4</v>
      </c>
      <c r="C814">
        <v>7311</v>
      </c>
      <c r="D814" t="s">
        <v>82</v>
      </c>
      <c r="E814" t="s">
        <v>109</v>
      </c>
      <c r="F814">
        <v>1</v>
      </c>
      <c r="G814" t="s">
        <v>70</v>
      </c>
      <c r="H814" t="s">
        <v>110</v>
      </c>
      <c r="I814">
        <v>3</v>
      </c>
      <c r="J814" s="19">
        <f>WEEKNUM(tblRidershipData[[#This Row],[MeasurementDate]])</f>
        <v>40</v>
      </c>
      <c r="K814" s="19">
        <f>MONTH(tblRidershipData[[#This Row],[MeasurementDate]])</f>
        <v>10</v>
      </c>
    </row>
    <row r="815" spans="1:11" x14ac:dyDescent="0.25">
      <c r="A815" s="31">
        <v>43740</v>
      </c>
      <c r="B815" t="s">
        <v>4</v>
      </c>
      <c r="C815">
        <v>7311</v>
      </c>
      <c r="D815" t="s">
        <v>82</v>
      </c>
      <c r="E815" t="s">
        <v>109</v>
      </c>
      <c r="F815">
        <v>1</v>
      </c>
      <c r="G815" t="s">
        <v>71</v>
      </c>
      <c r="H815" t="s">
        <v>110</v>
      </c>
      <c r="I815">
        <v>2</v>
      </c>
      <c r="J815" s="19">
        <f>WEEKNUM(tblRidershipData[[#This Row],[MeasurementDate]])</f>
        <v>40</v>
      </c>
      <c r="K815" s="19">
        <f>MONTH(tblRidershipData[[#This Row],[MeasurementDate]])</f>
        <v>10</v>
      </c>
    </row>
    <row r="816" spans="1:11" x14ac:dyDescent="0.25">
      <c r="A816" s="31">
        <v>43740</v>
      </c>
      <c r="B816" t="s">
        <v>4</v>
      </c>
      <c r="C816">
        <v>7311</v>
      </c>
      <c r="D816" t="s">
        <v>82</v>
      </c>
      <c r="E816" t="s">
        <v>109</v>
      </c>
      <c r="F816">
        <v>2</v>
      </c>
      <c r="G816" t="s">
        <v>43</v>
      </c>
      <c r="H816" t="s">
        <v>110</v>
      </c>
      <c r="I816">
        <v>10</v>
      </c>
      <c r="J816" s="19">
        <f>WEEKNUM(tblRidershipData[[#This Row],[MeasurementDate]])</f>
        <v>40</v>
      </c>
      <c r="K816" s="19">
        <f>MONTH(tblRidershipData[[#This Row],[MeasurementDate]])</f>
        <v>10</v>
      </c>
    </row>
    <row r="817" spans="1:11" x14ac:dyDescent="0.25">
      <c r="A817" s="31">
        <v>43740</v>
      </c>
      <c r="B817" t="s">
        <v>4</v>
      </c>
      <c r="C817">
        <v>7311</v>
      </c>
      <c r="D817" t="s">
        <v>82</v>
      </c>
      <c r="E817" t="s">
        <v>109</v>
      </c>
      <c r="F817">
        <v>2</v>
      </c>
      <c r="G817" t="s">
        <v>46</v>
      </c>
      <c r="H817" t="s">
        <v>110</v>
      </c>
      <c r="I817">
        <v>5</v>
      </c>
      <c r="J817" s="19">
        <f>WEEKNUM(tblRidershipData[[#This Row],[MeasurementDate]])</f>
        <v>40</v>
      </c>
      <c r="K817" s="19">
        <f>MONTH(tblRidershipData[[#This Row],[MeasurementDate]])</f>
        <v>10</v>
      </c>
    </row>
    <row r="818" spans="1:11" x14ac:dyDescent="0.25">
      <c r="A818" s="31">
        <v>43740</v>
      </c>
      <c r="B818" t="s">
        <v>4</v>
      </c>
      <c r="C818">
        <v>7311</v>
      </c>
      <c r="D818" t="s">
        <v>82</v>
      </c>
      <c r="E818" t="s">
        <v>109</v>
      </c>
      <c r="F818">
        <v>2</v>
      </c>
      <c r="G818" t="s">
        <v>55</v>
      </c>
      <c r="H818" t="s">
        <v>110</v>
      </c>
      <c r="I818">
        <v>4</v>
      </c>
      <c r="J818" s="19">
        <f>WEEKNUM(tblRidershipData[[#This Row],[MeasurementDate]])</f>
        <v>40</v>
      </c>
      <c r="K818" s="19">
        <f>MONTH(tblRidershipData[[#This Row],[MeasurementDate]])</f>
        <v>10</v>
      </c>
    </row>
    <row r="819" spans="1:11" x14ac:dyDescent="0.25">
      <c r="A819" s="31">
        <v>43740</v>
      </c>
      <c r="B819" t="s">
        <v>4</v>
      </c>
      <c r="C819">
        <v>7311</v>
      </c>
      <c r="D819" t="s">
        <v>82</v>
      </c>
      <c r="E819" t="s">
        <v>109</v>
      </c>
      <c r="F819">
        <v>2</v>
      </c>
      <c r="G819" t="s">
        <v>69</v>
      </c>
      <c r="H819" t="s">
        <v>110</v>
      </c>
      <c r="I819">
        <v>10</v>
      </c>
      <c r="J819" s="19">
        <f>WEEKNUM(tblRidershipData[[#This Row],[MeasurementDate]])</f>
        <v>40</v>
      </c>
      <c r="K819" s="19">
        <f>MONTH(tblRidershipData[[#This Row],[MeasurementDate]])</f>
        <v>10</v>
      </c>
    </row>
    <row r="820" spans="1:11" x14ac:dyDescent="0.25">
      <c r="A820" s="31">
        <v>43740</v>
      </c>
      <c r="B820" t="s">
        <v>4</v>
      </c>
      <c r="C820">
        <v>7311</v>
      </c>
      <c r="D820" t="s">
        <v>82</v>
      </c>
      <c r="E820" t="s">
        <v>109</v>
      </c>
      <c r="F820">
        <v>2</v>
      </c>
      <c r="G820" t="s">
        <v>70</v>
      </c>
      <c r="H820" t="s">
        <v>110</v>
      </c>
      <c r="I820">
        <v>2</v>
      </c>
      <c r="J820" s="19">
        <f>WEEKNUM(tblRidershipData[[#This Row],[MeasurementDate]])</f>
        <v>40</v>
      </c>
      <c r="K820" s="19">
        <f>MONTH(tblRidershipData[[#This Row],[MeasurementDate]])</f>
        <v>10</v>
      </c>
    </row>
    <row r="821" spans="1:11" x14ac:dyDescent="0.25">
      <c r="A821" s="31">
        <v>43740</v>
      </c>
      <c r="B821" t="s">
        <v>4</v>
      </c>
      <c r="C821">
        <v>7311</v>
      </c>
      <c r="D821" t="s">
        <v>119</v>
      </c>
      <c r="E821" t="s">
        <v>111</v>
      </c>
      <c r="F821">
        <v>1</v>
      </c>
      <c r="G821" t="s">
        <v>43</v>
      </c>
      <c r="H821" t="s">
        <v>112</v>
      </c>
      <c r="I821">
        <v>14</v>
      </c>
      <c r="J821" s="19">
        <f>WEEKNUM(tblRidershipData[[#This Row],[MeasurementDate]])</f>
        <v>40</v>
      </c>
      <c r="K821" s="19">
        <f>MONTH(tblRidershipData[[#This Row],[MeasurementDate]])</f>
        <v>10</v>
      </c>
    </row>
    <row r="822" spans="1:11" x14ac:dyDescent="0.25">
      <c r="A822" s="31">
        <v>43740</v>
      </c>
      <c r="B822" t="s">
        <v>4</v>
      </c>
      <c r="C822">
        <v>7311</v>
      </c>
      <c r="D822" t="s">
        <v>119</v>
      </c>
      <c r="E822" t="s">
        <v>111</v>
      </c>
      <c r="F822">
        <v>1</v>
      </c>
      <c r="G822" t="s">
        <v>46</v>
      </c>
      <c r="H822" t="s">
        <v>112</v>
      </c>
      <c r="I822">
        <v>18</v>
      </c>
      <c r="J822" s="19">
        <f>WEEKNUM(tblRidershipData[[#This Row],[MeasurementDate]])</f>
        <v>40</v>
      </c>
      <c r="K822" s="19">
        <f>MONTH(tblRidershipData[[#This Row],[MeasurementDate]])</f>
        <v>10</v>
      </c>
    </row>
    <row r="823" spans="1:11" x14ac:dyDescent="0.25">
      <c r="A823" s="31">
        <v>43740</v>
      </c>
      <c r="B823" t="s">
        <v>4</v>
      </c>
      <c r="C823">
        <v>7311</v>
      </c>
      <c r="D823" t="s">
        <v>119</v>
      </c>
      <c r="E823" t="s">
        <v>111</v>
      </c>
      <c r="F823">
        <v>1</v>
      </c>
      <c r="G823" t="s">
        <v>55</v>
      </c>
      <c r="H823" t="s">
        <v>112</v>
      </c>
      <c r="I823">
        <v>1</v>
      </c>
      <c r="J823" s="19">
        <f>WEEKNUM(tblRidershipData[[#This Row],[MeasurementDate]])</f>
        <v>40</v>
      </c>
      <c r="K823" s="19">
        <f>MONTH(tblRidershipData[[#This Row],[MeasurementDate]])</f>
        <v>10</v>
      </c>
    </row>
    <row r="824" spans="1:11" x14ac:dyDescent="0.25">
      <c r="A824" s="31">
        <v>43740</v>
      </c>
      <c r="B824" t="s">
        <v>4</v>
      </c>
      <c r="C824">
        <v>7311</v>
      </c>
      <c r="D824" t="s">
        <v>119</v>
      </c>
      <c r="E824" t="s">
        <v>111</v>
      </c>
      <c r="F824">
        <v>1</v>
      </c>
      <c r="G824" t="s">
        <v>59</v>
      </c>
      <c r="H824" t="s">
        <v>112</v>
      </c>
      <c r="I824">
        <v>1</v>
      </c>
      <c r="J824" s="19">
        <f>WEEKNUM(tblRidershipData[[#This Row],[MeasurementDate]])</f>
        <v>40</v>
      </c>
      <c r="K824" s="19">
        <f>MONTH(tblRidershipData[[#This Row],[MeasurementDate]])</f>
        <v>10</v>
      </c>
    </row>
    <row r="825" spans="1:11" x14ac:dyDescent="0.25">
      <c r="A825" s="31">
        <v>43740</v>
      </c>
      <c r="B825" t="s">
        <v>4</v>
      </c>
      <c r="C825">
        <v>7311</v>
      </c>
      <c r="D825" t="s">
        <v>119</v>
      </c>
      <c r="E825" t="s">
        <v>111</v>
      </c>
      <c r="F825">
        <v>1</v>
      </c>
      <c r="G825" t="s">
        <v>65</v>
      </c>
      <c r="H825" t="s">
        <v>112</v>
      </c>
      <c r="I825">
        <v>3</v>
      </c>
      <c r="J825" s="19">
        <f>WEEKNUM(tblRidershipData[[#This Row],[MeasurementDate]])</f>
        <v>40</v>
      </c>
      <c r="K825" s="19">
        <f>MONTH(tblRidershipData[[#This Row],[MeasurementDate]])</f>
        <v>10</v>
      </c>
    </row>
    <row r="826" spans="1:11" x14ac:dyDescent="0.25">
      <c r="A826" s="31">
        <v>43740</v>
      </c>
      <c r="B826" t="s">
        <v>4</v>
      </c>
      <c r="C826">
        <v>7311</v>
      </c>
      <c r="D826" t="s">
        <v>119</v>
      </c>
      <c r="E826" t="s">
        <v>111</v>
      </c>
      <c r="F826">
        <v>1</v>
      </c>
      <c r="G826" t="s">
        <v>66</v>
      </c>
      <c r="H826" t="s">
        <v>112</v>
      </c>
      <c r="I826">
        <v>8</v>
      </c>
      <c r="J826" s="19">
        <f>WEEKNUM(tblRidershipData[[#This Row],[MeasurementDate]])</f>
        <v>40</v>
      </c>
      <c r="K826" s="19">
        <f>MONTH(tblRidershipData[[#This Row],[MeasurementDate]])</f>
        <v>10</v>
      </c>
    </row>
    <row r="827" spans="1:11" x14ac:dyDescent="0.25">
      <c r="A827" s="31">
        <v>43740</v>
      </c>
      <c r="B827" t="s">
        <v>4</v>
      </c>
      <c r="C827">
        <v>7311</v>
      </c>
      <c r="D827" t="s">
        <v>119</v>
      </c>
      <c r="E827" t="s">
        <v>111</v>
      </c>
      <c r="F827">
        <v>1</v>
      </c>
      <c r="G827" t="s">
        <v>69</v>
      </c>
      <c r="H827" t="s">
        <v>112</v>
      </c>
      <c r="I827">
        <v>6</v>
      </c>
      <c r="J827" s="19">
        <f>WEEKNUM(tblRidershipData[[#This Row],[MeasurementDate]])</f>
        <v>40</v>
      </c>
      <c r="K827" s="19">
        <f>MONTH(tblRidershipData[[#This Row],[MeasurementDate]])</f>
        <v>10</v>
      </c>
    </row>
    <row r="828" spans="1:11" x14ac:dyDescent="0.25">
      <c r="A828" s="31">
        <v>43740</v>
      </c>
      <c r="B828" t="s">
        <v>4</v>
      </c>
      <c r="C828">
        <v>7311</v>
      </c>
      <c r="D828" t="s">
        <v>119</v>
      </c>
      <c r="E828" t="s">
        <v>111</v>
      </c>
      <c r="F828">
        <v>1</v>
      </c>
      <c r="G828" t="s">
        <v>70</v>
      </c>
      <c r="H828" t="s">
        <v>112</v>
      </c>
      <c r="I828">
        <v>1</v>
      </c>
      <c r="J828" s="19">
        <f>WEEKNUM(tblRidershipData[[#This Row],[MeasurementDate]])</f>
        <v>40</v>
      </c>
      <c r="K828" s="19">
        <f>MONTH(tblRidershipData[[#This Row],[MeasurementDate]])</f>
        <v>10</v>
      </c>
    </row>
    <row r="829" spans="1:11" x14ac:dyDescent="0.25">
      <c r="A829" s="31">
        <v>43740</v>
      </c>
      <c r="B829" t="s">
        <v>4</v>
      </c>
      <c r="C829">
        <v>7311</v>
      </c>
      <c r="D829" t="s">
        <v>119</v>
      </c>
      <c r="E829" t="s">
        <v>111</v>
      </c>
      <c r="F829">
        <v>1</v>
      </c>
      <c r="G829" t="s">
        <v>71</v>
      </c>
      <c r="H829" t="s">
        <v>112</v>
      </c>
      <c r="I829">
        <v>3</v>
      </c>
      <c r="J829" s="19">
        <f>WEEKNUM(tblRidershipData[[#This Row],[MeasurementDate]])</f>
        <v>40</v>
      </c>
      <c r="K829" s="19">
        <f>MONTH(tblRidershipData[[#This Row],[MeasurementDate]])</f>
        <v>10</v>
      </c>
    </row>
    <row r="830" spans="1:11" x14ac:dyDescent="0.25">
      <c r="A830" s="31">
        <v>43740</v>
      </c>
      <c r="B830" t="s">
        <v>4</v>
      </c>
      <c r="C830">
        <v>7311</v>
      </c>
      <c r="D830" t="s">
        <v>119</v>
      </c>
      <c r="E830" t="s">
        <v>111</v>
      </c>
      <c r="F830">
        <v>1</v>
      </c>
      <c r="G830" t="s">
        <v>76</v>
      </c>
      <c r="H830" t="s">
        <v>112</v>
      </c>
      <c r="I830">
        <v>4</v>
      </c>
      <c r="J830" s="19">
        <f>WEEKNUM(tblRidershipData[[#This Row],[MeasurementDate]])</f>
        <v>40</v>
      </c>
      <c r="K830" s="19">
        <f>MONTH(tblRidershipData[[#This Row],[MeasurementDate]])</f>
        <v>10</v>
      </c>
    </row>
    <row r="831" spans="1:11" x14ac:dyDescent="0.25">
      <c r="A831" s="31">
        <v>43740</v>
      </c>
      <c r="B831" t="s">
        <v>4</v>
      </c>
      <c r="C831">
        <v>7311</v>
      </c>
      <c r="D831" t="s">
        <v>119</v>
      </c>
      <c r="E831" t="s">
        <v>109</v>
      </c>
      <c r="F831">
        <v>1</v>
      </c>
      <c r="G831" t="s">
        <v>42</v>
      </c>
      <c r="H831" t="s">
        <v>112</v>
      </c>
      <c r="I831">
        <v>30</v>
      </c>
      <c r="J831" s="19">
        <f>WEEKNUM(tblRidershipData[[#This Row],[MeasurementDate]])</f>
        <v>40</v>
      </c>
      <c r="K831" s="19">
        <f>MONTH(tblRidershipData[[#This Row],[MeasurementDate]])</f>
        <v>10</v>
      </c>
    </row>
    <row r="832" spans="1:11" x14ac:dyDescent="0.25">
      <c r="A832" s="31">
        <v>43740</v>
      </c>
      <c r="B832" t="s">
        <v>4</v>
      </c>
      <c r="C832">
        <v>7311</v>
      </c>
      <c r="D832" t="s">
        <v>119</v>
      </c>
      <c r="E832" t="s">
        <v>109</v>
      </c>
      <c r="F832">
        <v>1</v>
      </c>
      <c r="G832" t="s">
        <v>64</v>
      </c>
      <c r="H832" t="s">
        <v>112</v>
      </c>
      <c r="I832">
        <v>11</v>
      </c>
      <c r="J832" s="19">
        <f>WEEKNUM(tblRidershipData[[#This Row],[MeasurementDate]])</f>
        <v>40</v>
      </c>
      <c r="K832" s="19">
        <f>MONTH(tblRidershipData[[#This Row],[MeasurementDate]])</f>
        <v>10</v>
      </c>
    </row>
    <row r="833" spans="1:11" x14ac:dyDescent="0.25">
      <c r="A833" s="31">
        <v>43740</v>
      </c>
      <c r="B833" t="s">
        <v>4</v>
      </c>
      <c r="C833">
        <v>7311</v>
      </c>
      <c r="D833" t="s">
        <v>119</v>
      </c>
      <c r="E833" t="s">
        <v>109</v>
      </c>
      <c r="F833">
        <v>1</v>
      </c>
      <c r="G833" t="s">
        <v>67</v>
      </c>
      <c r="H833" t="s">
        <v>112</v>
      </c>
      <c r="I833">
        <v>33</v>
      </c>
      <c r="J833" s="19">
        <f>WEEKNUM(tblRidershipData[[#This Row],[MeasurementDate]])</f>
        <v>40</v>
      </c>
      <c r="K833" s="19">
        <f>MONTH(tblRidershipData[[#This Row],[MeasurementDate]])</f>
        <v>10</v>
      </c>
    </row>
    <row r="834" spans="1:11" x14ac:dyDescent="0.25">
      <c r="A834" s="31">
        <v>43740</v>
      </c>
      <c r="B834" t="s">
        <v>4</v>
      </c>
      <c r="C834">
        <v>7317</v>
      </c>
      <c r="D834" t="s">
        <v>105</v>
      </c>
      <c r="E834" t="s">
        <v>109</v>
      </c>
      <c r="F834">
        <v>1</v>
      </c>
      <c r="G834" t="s">
        <v>52</v>
      </c>
      <c r="H834" t="s">
        <v>110</v>
      </c>
      <c r="I834">
        <v>32</v>
      </c>
      <c r="J834" s="19">
        <f>WEEKNUM(tblRidershipData[[#This Row],[MeasurementDate]])</f>
        <v>40</v>
      </c>
      <c r="K834" s="19">
        <f>MONTH(tblRidershipData[[#This Row],[MeasurementDate]])</f>
        <v>10</v>
      </c>
    </row>
    <row r="835" spans="1:11" x14ac:dyDescent="0.25">
      <c r="A835" s="31">
        <v>43740</v>
      </c>
      <c r="B835" t="s">
        <v>4</v>
      </c>
      <c r="C835">
        <v>7317</v>
      </c>
      <c r="D835" t="s">
        <v>105</v>
      </c>
      <c r="E835" t="s">
        <v>109</v>
      </c>
      <c r="F835">
        <v>1</v>
      </c>
      <c r="G835" t="s">
        <v>53</v>
      </c>
      <c r="H835" t="s">
        <v>110</v>
      </c>
      <c r="I835">
        <v>12</v>
      </c>
      <c r="J835" s="19">
        <f>WEEKNUM(tblRidershipData[[#This Row],[MeasurementDate]])</f>
        <v>40</v>
      </c>
      <c r="K835" s="19">
        <f>MONTH(tblRidershipData[[#This Row],[MeasurementDate]])</f>
        <v>10</v>
      </c>
    </row>
    <row r="836" spans="1:11" x14ac:dyDescent="0.25">
      <c r="A836" s="31">
        <v>43740</v>
      </c>
      <c r="B836" t="s">
        <v>4</v>
      </c>
      <c r="C836">
        <v>7317</v>
      </c>
      <c r="D836" t="s">
        <v>105</v>
      </c>
      <c r="E836" t="s">
        <v>109</v>
      </c>
      <c r="F836">
        <v>1</v>
      </c>
      <c r="G836" t="s">
        <v>64</v>
      </c>
      <c r="H836" t="s">
        <v>110</v>
      </c>
      <c r="I836">
        <v>1</v>
      </c>
      <c r="J836" s="19">
        <f>WEEKNUM(tblRidershipData[[#This Row],[MeasurementDate]])</f>
        <v>40</v>
      </c>
      <c r="K836" s="19">
        <f>MONTH(tblRidershipData[[#This Row],[MeasurementDate]])</f>
        <v>10</v>
      </c>
    </row>
    <row r="837" spans="1:11" x14ac:dyDescent="0.25">
      <c r="A837" s="31">
        <v>43740</v>
      </c>
      <c r="B837" t="s">
        <v>4</v>
      </c>
      <c r="C837">
        <v>7317</v>
      </c>
      <c r="D837" t="s">
        <v>105</v>
      </c>
      <c r="E837" t="s">
        <v>109</v>
      </c>
      <c r="F837">
        <v>1</v>
      </c>
      <c r="G837" t="s">
        <v>70</v>
      </c>
      <c r="H837" t="s">
        <v>110</v>
      </c>
      <c r="I837">
        <v>4</v>
      </c>
      <c r="J837" s="19">
        <f>WEEKNUM(tblRidershipData[[#This Row],[MeasurementDate]])</f>
        <v>40</v>
      </c>
      <c r="K837" s="19">
        <f>MONTH(tblRidershipData[[#This Row],[MeasurementDate]])</f>
        <v>10</v>
      </c>
    </row>
    <row r="838" spans="1:11" x14ac:dyDescent="0.25">
      <c r="A838" s="31">
        <v>43740</v>
      </c>
      <c r="B838" t="s">
        <v>4</v>
      </c>
      <c r="C838">
        <v>7317</v>
      </c>
      <c r="D838" t="s">
        <v>105</v>
      </c>
      <c r="E838" t="s">
        <v>111</v>
      </c>
      <c r="F838">
        <v>1</v>
      </c>
      <c r="G838" t="s">
        <v>44</v>
      </c>
      <c r="H838" t="s">
        <v>112</v>
      </c>
      <c r="I838">
        <v>5</v>
      </c>
      <c r="J838" s="19">
        <f>WEEKNUM(tblRidershipData[[#This Row],[MeasurementDate]])</f>
        <v>40</v>
      </c>
      <c r="K838" s="19">
        <f>MONTH(tblRidershipData[[#This Row],[MeasurementDate]])</f>
        <v>10</v>
      </c>
    </row>
    <row r="839" spans="1:11" x14ac:dyDescent="0.25">
      <c r="A839" s="31">
        <v>43740</v>
      </c>
      <c r="B839" t="s">
        <v>4</v>
      </c>
      <c r="C839">
        <v>7317</v>
      </c>
      <c r="D839" t="s">
        <v>105</v>
      </c>
      <c r="E839" t="s">
        <v>111</v>
      </c>
      <c r="F839">
        <v>1</v>
      </c>
      <c r="G839" t="s">
        <v>46</v>
      </c>
      <c r="H839" t="s">
        <v>112</v>
      </c>
      <c r="I839">
        <v>6</v>
      </c>
      <c r="J839" s="19">
        <f>WEEKNUM(tblRidershipData[[#This Row],[MeasurementDate]])</f>
        <v>40</v>
      </c>
      <c r="K839" s="19">
        <f>MONTH(tblRidershipData[[#This Row],[MeasurementDate]])</f>
        <v>10</v>
      </c>
    </row>
    <row r="840" spans="1:11" x14ac:dyDescent="0.25">
      <c r="A840" s="31">
        <v>43740</v>
      </c>
      <c r="B840" t="s">
        <v>4</v>
      </c>
      <c r="C840">
        <v>7317</v>
      </c>
      <c r="D840" t="s">
        <v>105</v>
      </c>
      <c r="E840" t="s">
        <v>111</v>
      </c>
      <c r="F840">
        <v>1</v>
      </c>
      <c r="G840" t="s">
        <v>55</v>
      </c>
      <c r="H840" t="s">
        <v>112</v>
      </c>
      <c r="I840">
        <v>2</v>
      </c>
      <c r="J840" s="19">
        <f>WEEKNUM(tblRidershipData[[#This Row],[MeasurementDate]])</f>
        <v>40</v>
      </c>
      <c r="K840" s="19">
        <f>MONTH(tblRidershipData[[#This Row],[MeasurementDate]])</f>
        <v>10</v>
      </c>
    </row>
    <row r="841" spans="1:11" x14ac:dyDescent="0.25">
      <c r="A841" s="31">
        <v>43740</v>
      </c>
      <c r="B841" t="s">
        <v>4</v>
      </c>
      <c r="C841">
        <v>7317</v>
      </c>
      <c r="D841" t="s">
        <v>105</v>
      </c>
      <c r="E841" t="s">
        <v>111</v>
      </c>
      <c r="F841">
        <v>1</v>
      </c>
      <c r="G841" t="s">
        <v>60</v>
      </c>
      <c r="H841" t="s">
        <v>112</v>
      </c>
      <c r="I841">
        <v>2</v>
      </c>
      <c r="J841" s="19">
        <f>WEEKNUM(tblRidershipData[[#This Row],[MeasurementDate]])</f>
        <v>40</v>
      </c>
      <c r="K841" s="19">
        <f>MONTH(tblRidershipData[[#This Row],[MeasurementDate]])</f>
        <v>10</v>
      </c>
    </row>
    <row r="842" spans="1:11" x14ac:dyDescent="0.25">
      <c r="A842" s="31">
        <v>43740</v>
      </c>
      <c r="B842" t="s">
        <v>4</v>
      </c>
      <c r="C842">
        <v>7317</v>
      </c>
      <c r="D842" t="s">
        <v>105</v>
      </c>
      <c r="E842" t="s">
        <v>111</v>
      </c>
      <c r="F842">
        <v>1</v>
      </c>
      <c r="G842" t="s">
        <v>66</v>
      </c>
      <c r="H842" t="s">
        <v>112</v>
      </c>
      <c r="I842">
        <v>15</v>
      </c>
      <c r="J842" s="19">
        <f>WEEKNUM(tblRidershipData[[#This Row],[MeasurementDate]])</f>
        <v>40</v>
      </c>
      <c r="K842" s="19">
        <f>MONTH(tblRidershipData[[#This Row],[MeasurementDate]])</f>
        <v>10</v>
      </c>
    </row>
    <row r="843" spans="1:11" x14ac:dyDescent="0.25">
      <c r="A843" s="31">
        <v>43740</v>
      </c>
      <c r="B843" t="s">
        <v>4</v>
      </c>
      <c r="C843">
        <v>7317</v>
      </c>
      <c r="D843" t="s">
        <v>105</v>
      </c>
      <c r="E843" t="s">
        <v>111</v>
      </c>
      <c r="F843">
        <v>1</v>
      </c>
      <c r="G843" t="s">
        <v>69</v>
      </c>
      <c r="H843" t="s">
        <v>112</v>
      </c>
      <c r="I843">
        <v>4</v>
      </c>
      <c r="J843" s="19">
        <f>WEEKNUM(tblRidershipData[[#This Row],[MeasurementDate]])</f>
        <v>40</v>
      </c>
      <c r="K843" s="19">
        <f>MONTH(tblRidershipData[[#This Row],[MeasurementDate]])</f>
        <v>10</v>
      </c>
    </row>
    <row r="844" spans="1:11" x14ac:dyDescent="0.25">
      <c r="A844" s="31">
        <v>43740</v>
      </c>
      <c r="B844" t="s">
        <v>4</v>
      </c>
      <c r="C844">
        <v>7317</v>
      </c>
      <c r="D844" t="s">
        <v>105</v>
      </c>
      <c r="E844" t="s">
        <v>111</v>
      </c>
      <c r="F844">
        <v>1</v>
      </c>
      <c r="G844" t="s">
        <v>70</v>
      </c>
      <c r="H844" t="s">
        <v>112</v>
      </c>
      <c r="I844">
        <v>3</v>
      </c>
      <c r="J844" s="19">
        <f>WEEKNUM(tblRidershipData[[#This Row],[MeasurementDate]])</f>
        <v>40</v>
      </c>
      <c r="K844" s="19">
        <f>MONTH(tblRidershipData[[#This Row],[MeasurementDate]])</f>
        <v>10</v>
      </c>
    </row>
    <row r="845" spans="1:11" x14ac:dyDescent="0.25">
      <c r="A845" s="31">
        <v>43740</v>
      </c>
      <c r="B845" t="s">
        <v>4</v>
      </c>
      <c r="C845">
        <v>7317</v>
      </c>
      <c r="D845" t="s">
        <v>105</v>
      </c>
      <c r="E845" t="s">
        <v>111</v>
      </c>
      <c r="F845">
        <v>1</v>
      </c>
      <c r="G845" t="s">
        <v>71</v>
      </c>
      <c r="H845" t="s">
        <v>112</v>
      </c>
      <c r="I845">
        <v>10</v>
      </c>
      <c r="J845" s="19">
        <f>WEEKNUM(tblRidershipData[[#This Row],[MeasurementDate]])</f>
        <v>40</v>
      </c>
      <c r="K845" s="19">
        <f>MONTH(tblRidershipData[[#This Row],[MeasurementDate]])</f>
        <v>10</v>
      </c>
    </row>
    <row r="846" spans="1:11" x14ac:dyDescent="0.25">
      <c r="A846" s="31">
        <v>43740</v>
      </c>
      <c r="B846" t="s">
        <v>4</v>
      </c>
      <c r="C846">
        <v>7317</v>
      </c>
      <c r="D846" t="s">
        <v>105</v>
      </c>
      <c r="E846" t="s">
        <v>111</v>
      </c>
      <c r="F846">
        <v>1</v>
      </c>
      <c r="G846" t="s">
        <v>76</v>
      </c>
      <c r="H846" t="s">
        <v>112</v>
      </c>
      <c r="I846">
        <v>2</v>
      </c>
      <c r="J846" s="19">
        <f>WEEKNUM(tblRidershipData[[#This Row],[MeasurementDate]])</f>
        <v>40</v>
      </c>
      <c r="K846" s="19">
        <f>MONTH(tblRidershipData[[#This Row],[MeasurementDate]])</f>
        <v>10</v>
      </c>
    </row>
    <row r="847" spans="1:11" x14ac:dyDescent="0.25">
      <c r="A847" s="31">
        <v>43740</v>
      </c>
      <c r="B847" t="s">
        <v>4</v>
      </c>
      <c r="C847">
        <v>8312</v>
      </c>
      <c r="D847" t="s">
        <v>120</v>
      </c>
      <c r="E847" t="s">
        <v>111</v>
      </c>
      <c r="F847">
        <v>1</v>
      </c>
      <c r="G847" t="s">
        <v>43</v>
      </c>
      <c r="H847" t="s">
        <v>110</v>
      </c>
      <c r="I847">
        <v>9</v>
      </c>
      <c r="J847" s="19">
        <f>WEEKNUM(tblRidershipData[[#This Row],[MeasurementDate]])</f>
        <v>40</v>
      </c>
      <c r="K847" s="19">
        <f>MONTH(tblRidershipData[[#This Row],[MeasurementDate]])</f>
        <v>10</v>
      </c>
    </row>
    <row r="848" spans="1:11" x14ac:dyDescent="0.25">
      <c r="A848" s="31">
        <v>43740</v>
      </c>
      <c r="B848" t="s">
        <v>4</v>
      </c>
      <c r="C848">
        <v>8312</v>
      </c>
      <c r="D848" t="s">
        <v>120</v>
      </c>
      <c r="E848" t="s">
        <v>111</v>
      </c>
      <c r="F848">
        <v>1</v>
      </c>
      <c r="G848" t="s">
        <v>44</v>
      </c>
      <c r="H848" t="s">
        <v>110</v>
      </c>
      <c r="I848">
        <v>2</v>
      </c>
      <c r="J848" s="19">
        <f>WEEKNUM(tblRidershipData[[#This Row],[MeasurementDate]])</f>
        <v>40</v>
      </c>
      <c r="K848" s="19">
        <f>MONTH(tblRidershipData[[#This Row],[MeasurementDate]])</f>
        <v>10</v>
      </c>
    </row>
    <row r="849" spans="1:11" x14ac:dyDescent="0.25">
      <c r="A849" s="31">
        <v>43740</v>
      </c>
      <c r="B849" t="s">
        <v>4</v>
      </c>
      <c r="C849">
        <v>8312</v>
      </c>
      <c r="D849" t="s">
        <v>120</v>
      </c>
      <c r="E849" t="s">
        <v>111</v>
      </c>
      <c r="F849">
        <v>1</v>
      </c>
      <c r="G849" t="s">
        <v>46</v>
      </c>
      <c r="H849" t="s">
        <v>110</v>
      </c>
      <c r="I849">
        <v>5</v>
      </c>
      <c r="J849" s="19">
        <f>WEEKNUM(tblRidershipData[[#This Row],[MeasurementDate]])</f>
        <v>40</v>
      </c>
      <c r="K849" s="19">
        <f>MONTH(tblRidershipData[[#This Row],[MeasurementDate]])</f>
        <v>10</v>
      </c>
    </row>
    <row r="850" spans="1:11" x14ac:dyDescent="0.25">
      <c r="A850" s="31">
        <v>43740</v>
      </c>
      <c r="B850" t="s">
        <v>4</v>
      </c>
      <c r="C850">
        <v>8312</v>
      </c>
      <c r="D850" t="s">
        <v>120</v>
      </c>
      <c r="E850" t="s">
        <v>111</v>
      </c>
      <c r="F850">
        <v>1</v>
      </c>
      <c r="G850" t="s">
        <v>55</v>
      </c>
      <c r="H850" t="s">
        <v>110</v>
      </c>
      <c r="I850">
        <v>3</v>
      </c>
      <c r="J850" s="19">
        <f>WEEKNUM(tblRidershipData[[#This Row],[MeasurementDate]])</f>
        <v>40</v>
      </c>
      <c r="K850" s="19">
        <f>MONTH(tblRidershipData[[#This Row],[MeasurementDate]])</f>
        <v>10</v>
      </c>
    </row>
    <row r="851" spans="1:11" x14ac:dyDescent="0.25">
      <c r="A851" s="31">
        <v>43740</v>
      </c>
      <c r="B851" t="s">
        <v>4</v>
      </c>
      <c r="C851">
        <v>8312</v>
      </c>
      <c r="D851" t="s">
        <v>120</v>
      </c>
      <c r="E851" t="s">
        <v>111</v>
      </c>
      <c r="F851">
        <v>1</v>
      </c>
      <c r="G851" t="s">
        <v>59</v>
      </c>
      <c r="H851" t="s">
        <v>110</v>
      </c>
      <c r="I851">
        <v>1</v>
      </c>
      <c r="J851" s="19">
        <f>WEEKNUM(tblRidershipData[[#This Row],[MeasurementDate]])</f>
        <v>40</v>
      </c>
      <c r="K851" s="19">
        <f>MONTH(tblRidershipData[[#This Row],[MeasurementDate]])</f>
        <v>10</v>
      </c>
    </row>
    <row r="852" spans="1:11" x14ac:dyDescent="0.25">
      <c r="A852" s="31">
        <v>43740</v>
      </c>
      <c r="B852" t="s">
        <v>4</v>
      </c>
      <c r="C852">
        <v>8312</v>
      </c>
      <c r="D852" t="s">
        <v>120</v>
      </c>
      <c r="E852" t="s">
        <v>111</v>
      </c>
      <c r="F852">
        <v>1</v>
      </c>
      <c r="G852" t="s">
        <v>60</v>
      </c>
      <c r="H852" t="s">
        <v>110</v>
      </c>
      <c r="I852">
        <v>4</v>
      </c>
      <c r="J852" s="19">
        <f>WEEKNUM(tblRidershipData[[#This Row],[MeasurementDate]])</f>
        <v>40</v>
      </c>
      <c r="K852" s="19">
        <f>MONTH(tblRidershipData[[#This Row],[MeasurementDate]])</f>
        <v>10</v>
      </c>
    </row>
    <row r="853" spans="1:11" x14ac:dyDescent="0.25">
      <c r="A853" s="31">
        <v>43740</v>
      </c>
      <c r="B853" t="s">
        <v>4</v>
      </c>
      <c r="C853">
        <v>8312</v>
      </c>
      <c r="D853" t="s">
        <v>120</v>
      </c>
      <c r="E853" t="s">
        <v>111</v>
      </c>
      <c r="F853">
        <v>1</v>
      </c>
      <c r="G853" t="s">
        <v>69</v>
      </c>
      <c r="H853" t="s">
        <v>110</v>
      </c>
      <c r="I853">
        <v>5</v>
      </c>
      <c r="J853" s="19">
        <f>WEEKNUM(tblRidershipData[[#This Row],[MeasurementDate]])</f>
        <v>40</v>
      </c>
      <c r="K853" s="19">
        <f>MONTH(tblRidershipData[[#This Row],[MeasurementDate]])</f>
        <v>10</v>
      </c>
    </row>
    <row r="854" spans="1:11" x14ac:dyDescent="0.25">
      <c r="A854" s="31">
        <v>43740</v>
      </c>
      <c r="B854" t="s">
        <v>4</v>
      </c>
      <c r="C854">
        <v>8312</v>
      </c>
      <c r="D854" t="s">
        <v>120</v>
      </c>
      <c r="E854" t="s">
        <v>111</v>
      </c>
      <c r="F854">
        <v>1</v>
      </c>
      <c r="G854" t="s">
        <v>70</v>
      </c>
      <c r="H854" t="s">
        <v>110</v>
      </c>
      <c r="I854">
        <v>7</v>
      </c>
      <c r="J854" s="19">
        <f>WEEKNUM(tblRidershipData[[#This Row],[MeasurementDate]])</f>
        <v>40</v>
      </c>
      <c r="K854" s="19">
        <f>MONTH(tblRidershipData[[#This Row],[MeasurementDate]])</f>
        <v>10</v>
      </c>
    </row>
    <row r="855" spans="1:11" x14ac:dyDescent="0.25">
      <c r="A855" s="31">
        <v>43740</v>
      </c>
      <c r="B855" t="s">
        <v>4</v>
      </c>
      <c r="C855">
        <v>8312</v>
      </c>
      <c r="D855" t="s">
        <v>120</v>
      </c>
      <c r="E855" t="s">
        <v>111</v>
      </c>
      <c r="F855">
        <v>1</v>
      </c>
      <c r="G855" t="s">
        <v>76</v>
      </c>
      <c r="H855" t="s">
        <v>110</v>
      </c>
      <c r="I855">
        <v>7</v>
      </c>
      <c r="J855" s="19">
        <f>WEEKNUM(tblRidershipData[[#This Row],[MeasurementDate]])</f>
        <v>40</v>
      </c>
      <c r="K855" s="19">
        <f>MONTH(tblRidershipData[[#This Row],[MeasurementDate]])</f>
        <v>10</v>
      </c>
    </row>
    <row r="856" spans="1:11" x14ac:dyDescent="0.25">
      <c r="A856" s="31">
        <v>43740</v>
      </c>
      <c r="B856" t="s">
        <v>4</v>
      </c>
      <c r="C856">
        <v>8312</v>
      </c>
      <c r="D856" t="s">
        <v>120</v>
      </c>
      <c r="E856" t="s">
        <v>109</v>
      </c>
      <c r="F856">
        <v>1</v>
      </c>
      <c r="G856" t="s">
        <v>56</v>
      </c>
      <c r="H856" t="s">
        <v>110</v>
      </c>
      <c r="I856">
        <v>12</v>
      </c>
      <c r="J856" s="19">
        <f>WEEKNUM(tblRidershipData[[#This Row],[MeasurementDate]])</f>
        <v>40</v>
      </c>
      <c r="K856" s="19">
        <f>MONTH(tblRidershipData[[#This Row],[MeasurementDate]])</f>
        <v>10</v>
      </c>
    </row>
    <row r="857" spans="1:11" x14ac:dyDescent="0.25">
      <c r="A857" s="31">
        <v>43740</v>
      </c>
      <c r="B857" t="s">
        <v>4</v>
      </c>
      <c r="C857">
        <v>8312</v>
      </c>
      <c r="D857" t="s">
        <v>120</v>
      </c>
      <c r="E857" t="s">
        <v>109</v>
      </c>
      <c r="F857">
        <v>2</v>
      </c>
      <c r="G857" t="s">
        <v>72</v>
      </c>
      <c r="H857" t="s">
        <v>110</v>
      </c>
      <c r="I857">
        <v>11</v>
      </c>
      <c r="J857" s="19">
        <f>WEEKNUM(tblRidershipData[[#This Row],[MeasurementDate]])</f>
        <v>40</v>
      </c>
      <c r="K857" s="19">
        <f>MONTH(tblRidershipData[[#This Row],[MeasurementDate]])</f>
        <v>10</v>
      </c>
    </row>
    <row r="858" spans="1:11" x14ac:dyDescent="0.25">
      <c r="A858" s="31">
        <v>43740</v>
      </c>
      <c r="B858" t="s">
        <v>4</v>
      </c>
      <c r="C858">
        <v>8312</v>
      </c>
      <c r="D858" t="s">
        <v>120</v>
      </c>
      <c r="E858" t="s">
        <v>109</v>
      </c>
      <c r="F858">
        <v>2</v>
      </c>
      <c r="G858" t="s">
        <v>74</v>
      </c>
      <c r="H858" t="s">
        <v>110</v>
      </c>
      <c r="I858">
        <v>32</v>
      </c>
      <c r="J858" s="19">
        <f>WEEKNUM(tblRidershipData[[#This Row],[MeasurementDate]])</f>
        <v>40</v>
      </c>
      <c r="K858" s="19">
        <f>MONTH(tblRidershipData[[#This Row],[MeasurementDate]])</f>
        <v>10</v>
      </c>
    </row>
    <row r="859" spans="1:11" x14ac:dyDescent="0.25">
      <c r="A859" s="31">
        <v>43740</v>
      </c>
      <c r="B859" t="s">
        <v>4</v>
      </c>
      <c r="C859">
        <v>8312</v>
      </c>
      <c r="D859" t="s">
        <v>83</v>
      </c>
      <c r="E859" t="s">
        <v>111</v>
      </c>
      <c r="F859">
        <v>1</v>
      </c>
      <c r="G859" t="s">
        <v>43</v>
      </c>
      <c r="H859" t="s">
        <v>110</v>
      </c>
      <c r="I859">
        <v>9</v>
      </c>
      <c r="J859" s="19">
        <f>WEEKNUM(tblRidershipData[[#This Row],[MeasurementDate]])</f>
        <v>40</v>
      </c>
      <c r="K859" s="19">
        <f>MONTH(tblRidershipData[[#This Row],[MeasurementDate]])</f>
        <v>10</v>
      </c>
    </row>
    <row r="860" spans="1:11" x14ac:dyDescent="0.25">
      <c r="A860" s="31">
        <v>43740</v>
      </c>
      <c r="B860" t="s">
        <v>4</v>
      </c>
      <c r="C860">
        <v>8312</v>
      </c>
      <c r="D860" t="s">
        <v>83</v>
      </c>
      <c r="E860" t="s">
        <v>111</v>
      </c>
      <c r="F860">
        <v>1</v>
      </c>
      <c r="G860" t="s">
        <v>44</v>
      </c>
      <c r="H860" t="s">
        <v>110</v>
      </c>
      <c r="I860">
        <v>2</v>
      </c>
      <c r="J860" s="19">
        <f>WEEKNUM(tblRidershipData[[#This Row],[MeasurementDate]])</f>
        <v>40</v>
      </c>
      <c r="K860" s="19">
        <f>MONTH(tblRidershipData[[#This Row],[MeasurementDate]])</f>
        <v>10</v>
      </c>
    </row>
    <row r="861" spans="1:11" x14ac:dyDescent="0.25">
      <c r="A861" s="31">
        <v>43740</v>
      </c>
      <c r="B861" t="s">
        <v>4</v>
      </c>
      <c r="C861">
        <v>8312</v>
      </c>
      <c r="D861" t="s">
        <v>83</v>
      </c>
      <c r="E861" t="s">
        <v>111</v>
      </c>
      <c r="F861">
        <v>1</v>
      </c>
      <c r="G861" t="s">
        <v>46</v>
      </c>
      <c r="H861" t="s">
        <v>110</v>
      </c>
      <c r="I861">
        <v>5</v>
      </c>
      <c r="J861" s="19">
        <f>WEEKNUM(tblRidershipData[[#This Row],[MeasurementDate]])</f>
        <v>40</v>
      </c>
      <c r="K861" s="19">
        <f>MONTH(tblRidershipData[[#This Row],[MeasurementDate]])</f>
        <v>10</v>
      </c>
    </row>
    <row r="862" spans="1:11" x14ac:dyDescent="0.25">
      <c r="A862" s="31">
        <v>43740</v>
      </c>
      <c r="B862" t="s">
        <v>4</v>
      </c>
      <c r="C862">
        <v>8312</v>
      </c>
      <c r="D862" t="s">
        <v>83</v>
      </c>
      <c r="E862" t="s">
        <v>111</v>
      </c>
      <c r="F862">
        <v>1</v>
      </c>
      <c r="G862" t="s">
        <v>55</v>
      </c>
      <c r="H862" t="s">
        <v>110</v>
      </c>
      <c r="I862">
        <v>3</v>
      </c>
      <c r="J862" s="19">
        <f>WEEKNUM(tblRidershipData[[#This Row],[MeasurementDate]])</f>
        <v>40</v>
      </c>
      <c r="K862" s="19">
        <f>MONTH(tblRidershipData[[#This Row],[MeasurementDate]])</f>
        <v>10</v>
      </c>
    </row>
    <row r="863" spans="1:11" x14ac:dyDescent="0.25">
      <c r="A863" s="31">
        <v>43740</v>
      </c>
      <c r="B863" t="s">
        <v>4</v>
      </c>
      <c r="C863">
        <v>8312</v>
      </c>
      <c r="D863" t="s">
        <v>83</v>
      </c>
      <c r="E863" t="s">
        <v>111</v>
      </c>
      <c r="F863">
        <v>1</v>
      </c>
      <c r="G863" t="s">
        <v>69</v>
      </c>
      <c r="H863" t="s">
        <v>110</v>
      </c>
      <c r="I863">
        <v>5</v>
      </c>
      <c r="J863" s="19">
        <f>WEEKNUM(tblRidershipData[[#This Row],[MeasurementDate]])</f>
        <v>40</v>
      </c>
      <c r="K863" s="19">
        <f>MONTH(tblRidershipData[[#This Row],[MeasurementDate]])</f>
        <v>10</v>
      </c>
    </row>
    <row r="864" spans="1:11" x14ac:dyDescent="0.25">
      <c r="A864" s="31">
        <v>43740</v>
      </c>
      <c r="B864" t="s">
        <v>4</v>
      </c>
      <c r="C864">
        <v>8312</v>
      </c>
      <c r="D864" t="s">
        <v>83</v>
      </c>
      <c r="E864" t="s">
        <v>111</v>
      </c>
      <c r="F864">
        <v>1</v>
      </c>
      <c r="G864" t="s">
        <v>70</v>
      </c>
      <c r="H864" t="s">
        <v>110</v>
      </c>
      <c r="I864">
        <v>5</v>
      </c>
      <c r="J864" s="19">
        <f>WEEKNUM(tblRidershipData[[#This Row],[MeasurementDate]])</f>
        <v>40</v>
      </c>
      <c r="K864" s="19">
        <f>MONTH(tblRidershipData[[#This Row],[MeasurementDate]])</f>
        <v>10</v>
      </c>
    </row>
    <row r="865" spans="1:11" x14ac:dyDescent="0.25">
      <c r="A865" s="31">
        <v>43740</v>
      </c>
      <c r="B865" t="s">
        <v>4</v>
      </c>
      <c r="C865">
        <v>8312</v>
      </c>
      <c r="D865" t="s">
        <v>83</v>
      </c>
      <c r="E865" t="s">
        <v>111</v>
      </c>
      <c r="F865">
        <v>1</v>
      </c>
      <c r="G865" t="s">
        <v>76</v>
      </c>
      <c r="H865" t="s">
        <v>110</v>
      </c>
      <c r="I865">
        <v>1</v>
      </c>
      <c r="J865" s="19">
        <f>WEEKNUM(tblRidershipData[[#This Row],[MeasurementDate]])</f>
        <v>40</v>
      </c>
      <c r="K865" s="19">
        <f>MONTH(tblRidershipData[[#This Row],[MeasurementDate]])</f>
        <v>10</v>
      </c>
    </row>
    <row r="866" spans="1:11" x14ac:dyDescent="0.25">
      <c r="A866" s="31">
        <v>43740</v>
      </c>
      <c r="B866" t="s">
        <v>4</v>
      </c>
      <c r="C866">
        <v>8312</v>
      </c>
      <c r="D866" t="s">
        <v>83</v>
      </c>
      <c r="E866" t="s">
        <v>111</v>
      </c>
      <c r="F866">
        <v>2</v>
      </c>
      <c r="G866" t="s">
        <v>59</v>
      </c>
      <c r="H866" t="s">
        <v>110</v>
      </c>
      <c r="I866">
        <v>1</v>
      </c>
      <c r="J866" s="19">
        <f>WEEKNUM(tblRidershipData[[#This Row],[MeasurementDate]])</f>
        <v>40</v>
      </c>
      <c r="K866" s="19">
        <f>MONTH(tblRidershipData[[#This Row],[MeasurementDate]])</f>
        <v>10</v>
      </c>
    </row>
    <row r="867" spans="1:11" x14ac:dyDescent="0.25">
      <c r="A867" s="31">
        <v>43740</v>
      </c>
      <c r="B867" t="s">
        <v>4</v>
      </c>
      <c r="C867">
        <v>8312</v>
      </c>
      <c r="D867" t="s">
        <v>83</v>
      </c>
      <c r="E867" t="s">
        <v>111</v>
      </c>
      <c r="F867">
        <v>2</v>
      </c>
      <c r="G867" t="s">
        <v>60</v>
      </c>
      <c r="H867" t="s">
        <v>110</v>
      </c>
      <c r="I867">
        <v>4</v>
      </c>
      <c r="J867" s="19">
        <f>WEEKNUM(tblRidershipData[[#This Row],[MeasurementDate]])</f>
        <v>40</v>
      </c>
      <c r="K867" s="19">
        <f>MONTH(tblRidershipData[[#This Row],[MeasurementDate]])</f>
        <v>10</v>
      </c>
    </row>
    <row r="868" spans="1:11" x14ac:dyDescent="0.25">
      <c r="A868" s="31">
        <v>43740</v>
      </c>
      <c r="B868" t="s">
        <v>4</v>
      </c>
      <c r="C868">
        <v>8312</v>
      </c>
      <c r="D868" t="s">
        <v>83</v>
      </c>
      <c r="E868" t="s">
        <v>111</v>
      </c>
      <c r="F868">
        <v>2</v>
      </c>
      <c r="G868" t="s">
        <v>70</v>
      </c>
      <c r="H868" t="s">
        <v>110</v>
      </c>
      <c r="I868">
        <v>2</v>
      </c>
      <c r="J868" s="19">
        <f>WEEKNUM(tblRidershipData[[#This Row],[MeasurementDate]])</f>
        <v>40</v>
      </c>
      <c r="K868" s="19">
        <f>MONTH(tblRidershipData[[#This Row],[MeasurementDate]])</f>
        <v>10</v>
      </c>
    </row>
    <row r="869" spans="1:11" x14ac:dyDescent="0.25">
      <c r="A869" s="31">
        <v>43740</v>
      </c>
      <c r="B869" t="s">
        <v>4</v>
      </c>
      <c r="C869">
        <v>8312</v>
      </c>
      <c r="D869" t="s">
        <v>83</v>
      </c>
      <c r="E869" t="s">
        <v>111</v>
      </c>
      <c r="F869">
        <v>2</v>
      </c>
      <c r="G869" t="s">
        <v>76</v>
      </c>
      <c r="H869" t="s">
        <v>110</v>
      </c>
      <c r="I869">
        <v>6</v>
      </c>
      <c r="J869" s="19">
        <f>WEEKNUM(tblRidershipData[[#This Row],[MeasurementDate]])</f>
        <v>40</v>
      </c>
      <c r="K869" s="19">
        <f>MONTH(tblRidershipData[[#This Row],[MeasurementDate]])</f>
        <v>10</v>
      </c>
    </row>
    <row r="870" spans="1:11" x14ac:dyDescent="0.25">
      <c r="A870" s="31">
        <v>43740</v>
      </c>
      <c r="B870" t="s">
        <v>4</v>
      </c>
      <c r="C870">
        <v>8312</v>
      </c>
      <c r="D870" t="s">
        <v>83</v>
      </c>
      <c r="E870" t="s">
        <v>109</v>
      </c>
      <c r="F870">
        <v>1</v>
      </c>
      <c r="G870" t="s">
        <v>72</v>
      </c>
      <c r="H870" t="s">
        <v>110</v>
      </c>
      <c r="I870">
        <v>11</v>
      </c>
      <c r="J870" s="19">
        <f>WEEKNUM(tblRidershipData[[#This Row],[MeasurementDate]])</f>
        <v>40</v>
      </c>
      <c r="K870" s="19">
        <f>MONTH(tblRidershipData[[#This Row],[MeasurementDate]])</f>
        <v>10</v>
      </c>
    </row>
    <row r="871" spans="1:11" x14ac:dyDescent="0.25">
      <c r="A871" s="31">
        <v>43740</v>
      </c>
      <c r="B871" t="s">
        <v>4</v>
      </c>
      <c r="C871">
        <v>8312</v>
      </c>
      <c r="D871" t="s">
        <v>83</v>
      </c>
      <c r="E871" t="s">
        <v>109</v>
      </c>
      <c r="F871">
        <v>1</v>
      </c>
      <c r="G871" t="s">
        <v>74</v>
      </c>
      <c r="H871" t="s">
        <v>110</v>
      </c>
      <c r="I871">
        <v>32</v>
      </c>
      <c r="J871" s="19">
        <f>WEEKNUM(tblRidershipData[[#This Row],[MeasurementDate]])</f>
        <v>40</v>
      </c>
      <c r="K871" s="19">
        <f>MONTH(tblRidershipData[[#This Row],[MeasurementDate]])</f>
        <v>10</v>
      </c>
    </row>
    <row r="872" spans="1:11" x14ac:dyDescent="0.25">
      <c r="A872" s="31">
        <v>43740</v>
      </c>
      <c r="B872" t="s">
        <v>4</v>
      </c>
      <c r="C872">
        <v>8312</v>
      </c>
      <c r="D872" t="s">
        <v>83</v>
      </c>
      <c r="E872" t="s">
        <v>111</v>
      </c>
      <c r="F872">
        <v>1</v>
      </c>
      <c r="G872" t="s">
        <v>42</v>
      </c>
      <c r="H872" t="s">
        <v>112</v>
      </c>
      <c r="I872">
        <v>12</v>
      </c>
      <c r="J872" s="19">
        <f>WEEKNUM(tblRidershipData[[#This Row],[MeasurementDate]])</f>
        <v>40</v>
      </c>
      <c r="K872" s="19">
        <f>MONTH(tblRidershipData[[#This Row],[MeasurementDate]])</f>
        <v>10</v>
      </c>
    </row>
    <row r="873" spans="1:11" x14ac:dyDescent="0.25">
      <c r="A873" s="31">
        <v>43740</v>
      </c>
      <c r="B873" t="s">
        <v>4</v>
      </c>
      <c r="C873">
        <v>8312</v>
      </c>
      <c r="D873" t="s">
        <v>83</v>
      </c>
      <c r="E873" t="s">
        <v>111</v>
      </c>
      <c r="F873">
        <v>1</v>
      </c>
      <c r="G873" t="s">
        <v>57</v>
      </c>
      <c r="H873" t="s">
        <v>112</v>
      </c>
      <c r="I873">
        <v>10</v>
      </c>
      <c r="J873" s="19">
        <f>WEEKNUM(tblRidershipData[[#This Row],[MeasurementDate]])</f>
        <v>40</v>
      </c>
      <c r="K873" s="19">
        <f>MONTH(tblRidershipData[[#This Row],[MeasurementDate]])</f>
        <v>10</v>
      </c>
    </row>
    <row r="874" spans="1:11" x14ac:dyDescent="0.25">
      <c r="A874" s="31">
        <v>43740</v>
      </c>
      <c r="B874" t="s">
        <v>4</v>
      </c>
      <c r="C874">
        <v>8312</v>
      </c>
      <c r="D874" t="s">
        <v>83</v>
      </c>
      <c r="E874" t="s">
        <v>111</v>
      </c>
      <c r="F874">
        <v>1</v>
      </c>
      <c r="G874" t="s">
        <v>66</v>
      </c>
      <c r="H874" t="s">
        <v>112</v>
      </c>
      <c r="I874">
        <v>3</v>
      </c>
      <c r="J874" s="19">
        <f>WEEKNUM(tblRidershipData[[#This Row],[MeasurementDate]])</f>
        <v>40</v>
      </c>
      <c r="K874" s="19">
        <f>MONTH(tblRidershipData[[#This Row],[MeasurementDate]])</f>
        <v>10</v>
      </c>
    </row>
    <row r="875" spans="1:11" x14ac:dyDescent="0.25">
      <c r="A875" s="31">
        <v>43740</v>
      </c>
      <c r="B875" t="s">
        <v>4</v>
      </c>
      <c r="C875">
        <v>8312</v>
      </c>
      <c r="D875" t="s">
        <v>83</v>
      </c>
      <c r="E875" t="s">
        <v>111</v>
      </c>
      <c r="F875">
        <v>1</v>
      </c>
      <c r="G875" t="s">
        <v>69</v>
      </c>
      <c r="H875" t="s">
        <v>112</v>
      </c>
      <c r="I875">
        <v>3</v>
      </c>
      <c r="J875" s="19">
        <f>WEEKNUM(tblRidershipData[[#This Row],[MeasurementDate]])</f>
        <v>40</v>
      </c>
      <c r="K875" s="19">
        <f>MONTH(tblRidershipData[[#This Row],[MeasurementDate]])</f>
        <v>10</v>
      </c>
    </row>
    <row r="876" spans="1:11" x14ac:dyDescent="0.25">
      <c r="A876" s="31">
        <v>43740</v>
      </c>
      <c r="B876" t="s">
        <v>4</v>
      </c>
      <c r="C876">
        <v>8312</v>
      </c>
      <c r="D876" t="s">
        <v>83</v>
      </c>
      <c r="E876" t="s">
        <v>111</v>
      </c>
      <c r="F876">
        <v>2</v>
      </c>
      <c r="G876" t="s">
        <v>44</v>
      </c>
      <c r="H876" t="s">
        <v>112</v>
      </c>
      <c r="I876">
        <v>13</v>
      </c>
      <c r="J876" s="19">
        <f>WEEKNUM(tblRidershipData[[#This Row],[MeasurementDate]])</f>
        <v>40</v>
      </c>
      <c r="K876" s="19">
        <f>MONTH(tblRidershipData[[#This Row],[MeasurementDate]])</f>
        <v>10</v>
      </c>
    </row>
    <row r="877" spans="1:11" x14ac:dyDescent="0.25">
      <c r="A877" s="31">
        <v>43740</v>
      </c>
      <c r="B877" t="s">
        <v>4</v>
      </c>
      <c r="C877">
        <v>8312</v>
      </c>
      <c r="D877" t="s">
        <v>83</v>
      </c>
      <c r="E877" t="s">
        <v>111</v>
      </c>
      <c r="F877">
        <v>2</v>
      </c>
      <c r="G877" t="s">
        <v>58</v>
      </c>
      <c r="H877" t="s">
        <v>112</v>
      </c>
      <c r="I877">
        <v>2</v>
      </c>
      <c r="J877" s="19">
        <f>WEEKNUM(tblRidershipData[[#This Row],[MeasurementDate]])</f>
        <v>40</v>
      </c>
      <c r="K877" s="19">
        <f>MONTH(tblRidershipData[[#This Row],[MeasurementDate]])</f>
        <v>10</v>
      </c>
    </row>
    <row r="878" spans="1:11" x14ac:dyDescent="0.25">
      <c r="A878" s="31">
        <v>43740</v>
      </c>
      <c r="B878" t="s">
        <v>4</v>
      </c>
      <c r="C878">
        <v>9308</v>
      </c>
      <c r="D878" t="s">
        <v>87</v>
      </c>
      <c r="E878" t="s">
        <v>111</v>
      </c>
      <c r="F878">
        <v>1</v>
      </c>
      <c r="G878" t="s">
        <v>43</v>
      </c>
      <c r="H878" t="s">
        <v>110</v>
      </c>
      <c r="I878">
        <v>23</v>
      </c>
      <c r="J878" s="19">
        <f>WEEKNUM(tblRidershipData[[#This Row],[MeasurementDate]])</f>
        <v>40</v>
      </c>
      <c r="K878" s="19">
        <f>MONTH(tblRidershipData[[#This Row],[MeasurementDate]])</f>
        <v>10</v>
      </c>
    </row>
    <row r="879" spans="1:11" x14ac:dyDescent="0.25">
      <c r="A879" s="31">
        <v>43740</v>
      </c>
      <c r="B879" t="s">
        <v>4</v>
      </c>
      <c r="C879">
        <v>9308</v>
      </c>
      <c r="D879" t="s">
        <v>87</v>
      </c>
      <c r="E879" t="s">
        <v>111</v>
      </c>
      <c r="F879">
        <v>1</v>
      </c>
      <c r="G879" t="s">
        <v>44</v>
      </c>
      <c r="H879" t="s">
        <v>110</v>
      </c>
      <c r="I879">
        <v>1</v>
      </c>
      <c r="J879" s="19">
        <f>WEEKNUM(tblRidershipData[[#This Row],[MeasurementDate]])</f>
        <v>40</v>
      </c>
      <c r="K879" s="19">
        <f>MONTH(tblRidershipData[[#This Row],[MeasurementDate]])</f>
        <v>10</v>
      </c>
    </row>
    <row r="880" spans="1:11" x14ac:dyDescent="0.25">
      <c r="A880" s="31">
        <v>43740</v>
      </c>
      <c r="B880" t="s">
        <v>4</v>
      </c>
      <c r="C880">
        <v>9308</v>
      </c>
      <c r="D880" t="s">
        <v>87</v>
      </c>
      <c r="E880" t="s">
        <v>111</v>
      </c>
      <c r="F880">
        <v>1</v>
      </c>
      <c r="G880" t="s">
        <v>46</v>
      </c>
      <c r="H880" t="s">
        <v>110</v>
      </c>
      <c r="I880">
        <v>1</v>
      </c>
      <c r="J880" s="19">
        <f>WEEKNUM(tblRidershipData[[#This Row],[MeasurementDate]])</f>
        <v>40</v>
      </c>
      <c r="K880" s="19">
        <f>MONTH(tblRidershipData[[#This Row],[MeasurementDate]])</f>
        <v>10</v>
      </c>
    </row>
    <row r="881" spans="1:11" x14ac:dyDescent="0.25">
      <c r="A881" s="31">
        <v>43740</v>
      </c>
      <c r="B881" t="s">
        <v>4</v>
      </c>
      <c r="C881">
        <v>9308</v>
      </c>
      <c r="D881" t="s">
        <v>87</v>
      </c>
      <c r="E881" t="s">
        <v>111</v>
      </c>
      <c r="F881">
        <v>1</v>
      </c>
      <c r="G881" t="s">
        <v>57</v>
      </c>
      <c r="H881" t="s">
        <v>110</v>
      </c>
      <c r="I881">
        <v>3</v>
      </c>
      <c r="J881" s="19">
        <f>WEEKNUM(tblRidershipData[[#This Row],[MeasurementDate]])</f>
        <v>40</v>
      </c>
      <c r="K881" s="19">
        <f>MONTH(tblRidershipData[[#This Row],[MeasurementDate]])</f>
        <v>10</v>
      </c>
    </row>
    <row r="882" spans="1:11" x14ac:dyDescent="0.25">
      <c r="A882" s="31">
        <v>43740</v>
      </c>
      <c r="B882" t="s">
        <v>4</v>
      </c>
      <c r="C882">
        <v>9308</v>
      </c>
      <c r="D882" t="s">
        <v>87</v>
      </c>
      <c r="E882" t="s">
        <v>111</v>
      </c>
      <c r="F882">
        <v>1</v>
      </c>
      <c r="G882" t="s">
        <v>59</v>
      </c>
      <c r="H882" t="s">
        <v>110</v>
      </c>
      <c r="I882">
        <v>1</v>
      </c>
      <c r="J882" s="19">
        <f>WEEKNUM(tblRidershipData[[#This Row],[MeasurementDate]])</f>
        <v>40</v>
      </c>
      <c r="K882" s="19">
        <f>MONTH(tblRidershipData[[#This Row],[MeasurementDate]])</f>
        <v>10</v>
      </c>
    </row>
    <row r="883" spans="1:11" x14ac:dyDescent="0.25">
      <c r="A883" s="31">
        <v>43740</v>
      </c>
      <c r="B883" t="s">
        <v>4</v>
      </c>
      <c r="C883">
        <v>9308</v>
      </c>
      <c r="D883" t="s">
        <v>87</v>
      </c>
      <c r="E883" t="s">
        <v>111</v>
      </c>
      <c r="F883">
        <v>1</v>
      </c>
      <c r="G883" t="s">
        <v>60</v>
      </c>
      <c r="H883" t="s">
        <v>110</v>
      </c>
      <c r="I883">
        <v>4</v>
      </c>
      <c r="J883" s="19">
        <f>WEEKNUM(tblRidershipData[[#This Row],[MeasurementDate]])</f>
        <v>40</v>
      </c>
      <c r="K883" s="19">
        <f>MONTH(tblRidershipData[[#This Row],[MeasurementDate]])</f>
        <v>10</v>
      </c>
    </row>
    <row r="884" spans="1:11" x14ac:dyDescent="0.25">
      <c r="A884" s="31">
        <v>43740</v>
      </c>
      <c r="B884" t="s">
        <v>4</v>
      </c>
      <c r="C884">
        <v>9308</v>
      </c>
      <c r="D884" t="s">
        <v>87</v>
      </c>
      <c r="E884" t="s">
        <v>111</v>
      </c>
      <c r="F884">
        <v>1</v>
      </c>
      <c r="G884" t="s">
        <v>66</v>
      </c>
      <c r="H884" t="s">
        <v>110</v>
      </c>
      <c r="I884">
        <v>9</v>
      </c>
      <c r="J884" s="19">
        <f>WEEKNUM(tblRidershipData[[#This Row],[MeasurementDate]])</f>
        <v>40</v>
      </c>
      <c r="K884" s="19">
        <f>MONTH(tblRidershipData[[#This Row],[MeasurementDate]])</f>
        <v>10</v>
      </c>
    </row>
    <row r="885" spans="1:11" x14ac:dyDescent="0.25">
      <c r="A885" s="31">
        <v>43740</v>
      </c>
      <c r="B885" t="s">
        <v>4</v>
      </c>
      <c r="C885">
        <v>9308</v>
      </c>
      <c r="D885" t="s">
        <v>87</v>
      </c>
      <c r="E885" t="s">
        <v>111</v>
      </c>
      <c r="F885">
        <v>1</v>
      </c>
      <c r="G885" t="s">
        <v>71</v>
      </c>
      <c r="H885" t="s">
        <v>110</v>
      </c>
      <c r="I885">
        <v>5</v>
      </c>
      <c r="J885" s="19">
        <f>WEEKNUM(tblRidershipData[[#This Row],[MeasurementDate]])</f>
        <v>40</v>
      </c>
      <c r="K885" s="19">
        <f>MONTH(tblRidershipData[[#This Row],[MeasurementDate]])</f>
        <v>10</v>
      </c>
    </row>
    <row r="886" spans="1:11" x14ac:dyDescent="0.25">
      <c r="A886" s="31">
        <v>43740</v>
      </c>
      <c r="B886" t="s">
        <v>4</v>
      </c>
      <c r="C886">
        <v>9308</v>
      </c>
      <c r="D886" t="s">
        <v>87</v>
      </c>
      <c r="E886" t="s">
        <v>111</v>
      </c>
      <c r="F886">
        <v>2</v>
      </c>
      <c r="G886" t="s">
        <v>60</v>
      </c>
      <c r="H886" t="s">
        <v>110</v>
      </c>
      <c r="I886">
        <v>7</v>
      </c>
      <c r="J886" s="19">
        <f>WEEKNUM(tblRidershipData[[#This Row],[MeasurementDate]])</f>
        <v>40</v>
      </c>
      <c r="K886" s="19">
        <f>MONTH(tblRidershipData[[#This Row],[MeasurementDate]])</f>
        <v>10</v>
      </c>
    </row>
    <row r="887" spans="1:11" x14ac:dyDescent="0.25">
      <c r="A887" s="31">
        <v>43740</v>
      </c>
      <c r="B887" t="s">
        <v>4</v>
      </c>
      <c r="C887">
        <v>9308</v>
      </c>
      <c r="D887" t="s">
        <v>87</v>
      </c>
      <c r="E887" t="s">
        <v>111</v>
      </c>
      <c r="F887">
        <v>2</v>
      </c>
      <c r="G887" t="s">
        <v>71</v>
      </c>
      <c r="H887" t="s">
        <v>110</v>
      </c>
      <c r="I887">
        <v>1</v>
      </c>
      <c r="J887" s="19">
        <f>WEEKNUM(tblRidershipData[[#This Row],[MeasurementDate]])</f>
        <v>40</v>
      </c>
      <c r="K887" s="19">
        <f>MONTH(tblRidershipData[[#This Row],[MeasurementDate]])</f>
        <v>10</v>
      </c>
    </row>
    <row r="888" spans="1:11" x14ac:dyDescent="0.25">
      <c r="A888" s="31">
        <v>43740</v>
      </c>
      <c r="B888" t="s">
        <v>4</v>
      </c>
      <c r="C888">
        <v>9308</v>
      </c>
      <c r="D888" t="s">
        <v>87</v>
      </c>
      <c r="E888" t="s">
        <v>109</v>
      </c>
      <c r="F888">
        <v>1</v>
      </c>
      <c r="G888" t="s">
        <v>44</v>
      </c>
      <c r="H888" t="s">
        <v>110</v>
      </c>
      <c r="I888">
        <v>10</v>
      </c>
      <c r="J888" s="19">
        <f>WEEKNUM(tblRidershipData[[#This Row],[MeasurementDate]])</f>
        <v>40</v>
      </c>
      <c r="K888" s="19">
        <f>MONTH(tblRidershipData[[#This Row],[MeasurementDate]])</f>
        <v>10</v>
      </c>
    </row>
    <row r="889" spans="1:11" x14ac:dyDescent="0.25">
      <c r="A889" s="31">
        <v>43740</v>
      </c>
      <c r="B889" t="s">
        <v>4</v>
      </c>
      <c r="C889">
        <v>9308</v>
      </c>
      <c r="D889" t="s">
        <v>87</v>
      </c>
      <c r="E889" t="s">
        <v>109</v>
      </c>
      <c r="F889">
        <v>1</v>
      </c>
      <c r="G889" t="s">
        <v>51</v>
      </c>
      <c r="H889" t="s">
        <v>110</v>
      </c>
      <c r="I889">
        <v>4</v>
      </c>
      <c r="J889" s="19">
        <f>WEEKNUM(tblRidershipData[[#This Row],[MeasurementDate]])</f>
        <v>40</v>
      </c>
      <c r="K889" s="19">
        <f>MONTH(tblRidershipData[[#This Row],[MeasurementDate]])</f>
        <v>10</v>
      </c>
    </row>
    <row r="890" spans="1:11" x14ac:dyDescent="0.25">
      <c r="A890" s="31">
        <v>43740</v>
      </c>
      <c r="B890" t="s">
        <v>4</v>
      </c>
      <c r="C890">
        <v>9308</v>
      </c>
      <c r="D890" t="s">
        <v>87</v>
      </c>
      <c r="E890" t="s">
        <v>109</v>
      </c>
      <c r="F890">
        <v>1</v>
      </c>
      <c r="G890" t="s">
        <v>52</v>
      </c>
      <c r="H890" t="s">
        <v>110</v>
      </c>
      <c r="I890">
        <v>13</v>
      </c>
      <c r="J890" s="19">
        <f>WEEKNUM(tblRidershipData[[#This Row],[MeasurementDate]])</f>
        <v>40</v>
      </c>
      <c r="K890" s="19">
        <f>MONTH(tblRidershipData[[#This Row],[MeasurementDate]])</f>
        <v>10</v>
      </c>
    </row>
    <row r="891" spans="1:11" x14ac:dyDescent="0.25">
      <c r="A891" s="31">
        <v>43740</v>
      </c>
      <c r="B891" t="s">
        <v>4</v>
      </c>
      <c r="C891">
        <v>9308</v>
      </c>
      <c r="D891" t="s">
        <v>87</v>
      </c>
      <c r="E891" t="s">
        <v>109</v>
      </c>
      <c r="F891">
        <v>1</v>
      </c>
      <c r="G891" t="s">
        <v>59</v>
      </c>
      <c r="H891" t="s">
        <v>110</v>
      </c>
      <c r="I891">
        <v>31</v>
      </c>
      <c r="J891" s="19">
        <f>WEEKNUM(tblRidershipData[[#This Row],[MeasurementDate]])</f>
        <v>40</v>
      </c>
      <c r="K891" s="19">
        <f>MONTH(tblRidershipData[[#This Row],[MeasurementDate]])</f>
        <v>10</v>
      </c>
    </row>
    <row r="892" spans="1:11" x14ac:dyDescent="0.25">
      <c r="A892" s="31">
        <v>43740</v>
      </c>
      <c r="B892" t="s">
        <v>4</v>
      </c>
      <c r="C892">
        <v>9308</v>
      </c>
      <c r="D892" t="s">
        <v>87</v>
      </c>
      <c r="E892" t="s">
        <v>109</v>
      </c>
      <c r="F892">
        <v>1</v>
      </c>
      <c r="G892" t="s">
        <v>65</v>
      </c>
      <c r="H892" t="s">
        <v>110</v>
      </c>
      <c r="I892">
        <v>25</v>
      </c>
      <c r="J892" s="19">
        <f>WEEKNUM(tblRidershipData[[#This Row],[MeasurementDate]])</f>
        <v>40</v>
      </c>
      <c r="K892" s="19">
        <f>MONTH(tblRidershipData[[#This Row],[MeasurementDate]])</f>
        <v>10</v>
      </c>
    </row>
    <row r="893" spans="1:11" x14ac:dyDescent="0.25">
      <c r="A893" s="31">
        <v>43740</v>
      </c>
      <c r="B893" t="s">
        <v>4</v>
      </c>
      <c r="C893">
        <v>9308</v>
      </c>
      <c r="D893" t="s">
        <v>87</v>
      </c>
      <c r="E893" t="s">
        <v>109</v>
      </c>
      <c r="F893">
        <v>1</v>
      </c>
      <c r="G893" t="s">
        <v>66</v>
      </c>
      <c r="H893" t="s">
        <v>110</v>
      </c>
      <c r="I893">
        <v>3</v>
      </c>
      <c r="J893" s="19">
        <f>WEEKNUM(tblRidershipData[[#This Row],[MeasurementDate]])</f>
        <v>40</v>
      </c>
      <c r="K893" s="19">
        <f>MONTH(tblRidershipData[[#This Row],[MeasurementDate]])</f>
        <v>10</v>
      </c>
    </row>
    <row r="894" spans="1:11" x14ac:dyDescent="0.25">
      <c r="A894" s="31">
        <v>43740</v>
      </c>
      <c r="B894" t="s">
        <v>4</v>
      </c>
      <c r="C894">
        <v>9308</v>
      </c>
      <c r="D894" t="s">
        <v>87</v>
      </c>
      <c r="E894" t="s">
        <v>109</v>
      </c>
      <c r="F894">
        <v>1</v>
      </c>
      <c r="G894" t="s">
        <v>69</v>
      </c>
      <c r="H894" t="s">
        <v>110</v>
      </c>
      <c r="I894">
        <v>12</v>
      </c>
      <c r="J894" s="19">
        <f>WEEKNUM(tblRidershipData[[#This Row],[MeasurementDate]])</f>
        <v>40</v>
      </c>
      <c r="K894" s="19">
        <f>MONTH(tblRidershipData[[#This Row],[MeasurementDate]])</f>
        <v>10</v>
      </c>
    </row>
    <row r="895" spans="1:11" x14ac:dyDescent="0.25">
      <c r="A895" s="31">
        <v>43740</v>
      </c>
      <c r="B895" t="s">
        <v>4</v>
      </c>
      <c r="C895">
        <v>9308</v>
      </c>
      <c r="D895" t="s">
        <v>87</v>
      </c>
      <c r="E895" t="s">
        <v>109</v>
      </c>
      <c r="F895">
        <v>1</v>
      </c>
      <c r="G895" t="s">
        <v>70</v>
      </c>
      <c r="H895" t="s">
        <v>110</v>
      </c>
      <c r="I895">
        <v>6</v>
      </c>
      <c r="J895" s="19">
        <f>WEEKNUM(tblRidershipData[[#This Row],[MeasurementDate]])</f>
        <v>40</v>
      </c>
      <c r="K895" s="19">
        <f>MONTH(tblRidershipData[[#This Row],[MeasurementDate]])</f>
        <v>10</v>
      </c>
    </row>
    <row r="896" spans="1:11" x14ac:dyDescent="0.25">
      <c r="A896" s="31">
        <v>43740</v>
      </c>
      <c r="B896" t="s">
        <v>4</v>
      </c>
      <c r="C896">
        <v>9308</v>
      </c>
      <c r="D896" t="s">
        <v>87</v>
      </c>
      <c r="E896" t="s">
        <v>109</v>
      </c>
      <c r="F896">
        <v>2</v>
      </c>
      <c r="G896" t="s">
        <v>70</v>
      </c>
      <c r="H896" t="s">
        <v>110</v>
      </c>
      <c r="I896">
        <v>1</v>
      </c>
      <c r="J896" s="19">
        <f>WEEKNUM(tblRidershipData[[#This Row],[MeasurementDate]])</f>
        <v>40</v>
      </c>
      <c r="K896" s="19">
        <f>MONTH(tblRidershipData[[#This Row],[MeasurementDate]])</f>
        <v>10</v>
      </c>
    </row>
    <row r="897" spans="1:11" x14ac:dyDescent="0.25">
      <c r="A897" s="31">
        <v>43740</v>
      </c>
      <c r="B897" t="s">
        <v>4</v>
      </c>
      <c r="C897">
        <v>9308</v>
      </c>
      <c r="D897" t="s">
        <v>87</v>
      </c>
      <c r="E897" t="s">
        <v>111</v>
      </c>
      <c r="F897">
        <v>1</v>
      </c>
      <c r="G897" t="s">
        <v>43</v>
      </c>
      <c r="H897" t="s">
        <v>110</v>
      </c>
      <c r="I897">
        <v>22</v>
      </c>
      <c r="J897" s="19">
        <f>WEEKNUM(tblRidershipData[[#This Row],[MeasurementDate]])</f>
        <v>40</v>
      </c>
      <c r="K897" s="19">
        <f>MONTH(tblRidershipData[[#This Row],[MeasurementDate]])</f>
        <v>10</v>
      </c>
    </row>
    <row r="898" spans="1:11" x14ac:dyDescent="0.25">
      <c r="A898" s="31">
        <v>43740</v>
      </c>
      <c r="B898" t="s">
        <v>4</v>
      </c>
      <c r="C898">
        <v>9308</v>
      </c>
      <c r="D898" t="s">
        <v>87</v>
      </c>
      <c r="E898" t="s">
        <v>111</v>
      </c>
      <c r="F898">
        <v>1</v>
      </c>
      <c r="G898" t="s">
        <v>44</v>
      </c>
      <c r="H898" t="s">
        <v>110</v>
      </c>
      <c r="I898">
        <v>1</v>
      </c>
      <c r="J898" s="19">
        <f>WEEKNUM(tblRidershipData[[#This Row],[MeasurementDate]])</f>
        <v>40</v>
      </c>
      <c r="K898" s="19">
        <f>MONTH(tblRidershipData[[#This Row],[MeasurementDate]])</f>
        <v>10</v>
      </c>
    </row>
    <row r="899" spans="1:11" x14ac:dyDescent="0.25">
      <c r="A899" s="31">
        <v>43740</v>
      </c>
      <c r="B899" t="s">
        <v>4</v>
      </c>
      <c r="C899">
        <v>9308</v>
      </c>
      <c r="D899" t="s">
        <v>87</v>
      </c>
      <c r="E899" t="s">
        <v>111</v>
      </c>
      <c r="F899">
        <v>1</v>
      </c>
      <c r="G899" t="s">
        <v>46</v>
      </c>
      <c r="H899" t="s">
        <v>110</v>
      </c>
      <c r="I899">
        <v>3</v>
      </c>
      <c r="J899" s="19">
        <f>WEEKNUM(tblRidershipData[[#This Row],[MeasurementDate]])</f>
        <v>40</v>
      </c>
      <c r="K899" s="19">
        <f>MONTH(tblRidershipData[[#This Row],[MeasurementDate]])</f>
        <v>10</v>
      </c>
    </row>
    <row r="900" spans="1:11" x14ac:dyDescent="0.25">
      <c r="A900" s="31">
        <v>43740</v>
      </c>
      <c r="B900" t="s">
        <v>4</v>
      </c>
      <c r="C900">
        <v>9308</v>
      </c>
      <c r="D900" t="s">
        <v>87</v>
      </c>
      <c r="E900" t="s">
        <v>111</v>
      </c>
      <c r="F900">
        <v>1</v>
      </c>
      <c r="G900" t="s">
        <v>57</v>
      </c>
      <c r="H900" t="s">
        <v>110</v>
      </c>
      <c r="I900">
        <v>4</v>
      </c>
      <c r="J900" s="19">
        <f>WEEKNUM(tblRidershipData[[#This Row],[MeasurementDate]])</f>
        <v>40</v>
      </c>
      <c r="K900" s="19">
        <f>MONTH(tblRidershipData[[#This Row],[MeasurementDate]])</f>
        <v>10</v>
      </c>
    </row>
    <row r="901" spans="1:11" x14ac:dyDescent="0.25">
      <c r="A901" s="31">
        <v>43740</v>
      </c>
      <c r="B901" t="s">
        <v>4</v>
      </c>
      <c r="C901">
        <v>9308</v>
      </c>
      <c r="D901" t="s">
        <v>87</v>
      </c>
      <c r="E901" t="s">
        <v>111</v>
      </c>
      <c r="F901">
        <v>1</v>
      </c>
      <c r="G901" t="s">
        <v>59</v>
      </c>
      <c r="H901" t="s">
        <v>110</v>
      </c>
      <c r="I901">
        <v>1</v>
      </c>
      <c r="J901" s="19">
        <f>WEEKNUM(tblRidershipData[[#This Row],[MeasurementDate]])</f>
        <v>40</v>
      </c>
      <c r="K901" s="19">
        <f>MONTH(tblRidershipData[[#This Row],[MeasurementDate]])</f>
        <v>10</v>
      </c>
    </row>
    <row r="902" spans="1:11" x14ac:dyDescent="0.25">
      <c r="A902" s="31">
        <v>43740</v>
      </c>
      <c r="B902" t="s">
        <v>4</v>
      </c>
      <c r="C902">
        <v>9308</v>
      </c>
      <c r="D902" t="s">
        <v>87</v>
      </c>
      <c r="E902" t="s">
        <v>111</v>
      </c>
      <c r="F902">
        <v>1</v>
      </c>
      <c r="G902" t="s">
        <v>60</v>
      </c>
      <c r="H902" t="s">
        <v>110</v>
      </c>
      <c r="I902">
        <v>9</v>
      </c>
      <c r="J902" s="19">
        <f>WEEKNUM(tblRidershipData[[#This Row],[MeasurementDate]])</f>
        <v>40</v>
      </c>
      <c r="K902" s="19">
        <f>MONTH(tblRidershipData[[#This Row],[MeasurementDate]])</f>
        <v>10</v>
      </c>
    </row>
    <row r="903" spans="1:11" x14ac:dyDescent="0.25">
      <c r="A903" s="31">
        <v>43740</v>
      </c>
      <c r="B903" t="s">
        <v>4</v>
      </c>
      <c r="C903">
        <v>9308</v>
      </c>
      <c r="D903" t="s">
        <v>87</v>
      </c>
      <c r="E903" t="s">
        <v>111</v>
      </c>
      <c r="F903">
        <v>1</v>
      </c>
      <c r="G903" t="s">
        <v>65</v>
      </c>
      <c r="H903" t="s">
        <v>110</v>
      </c>
      <c r="I903">
        <v>1</v>
      </c>
      <c r="J903" s="19">
        <f>WEEKNUM(tblRidershipData[[#This Row],[MeasurementDate]])</f>
        <v>40</v>
      </c>
      <c r="K903" s="19">
        <f>MONTH(tblRidershipData[[#This Row],[MeasurementDate]])</f>
        <v>10</v>
      </c>
    </row>
    <row r="904" spans="1:11" x14ac:dyDescent="0.25">
      <c r="A904" s="31">
        <v>43740</v>
      </c>
      <c r="B904" t="s">
        <v>4</v>
      </c>
      <c r="C904">
        <v>9308</v>
      </c>
      <c r="D904" t="s">
        <v>87</v>
      </c>
      <c r="E904" t="s">
        <v>111</v>
      </c>
      <c r="F904">
        <v>1</v>
      </c>
      <c r="G904" t="s">
        <v>66</v>
      </c>
      <c r="H904" t="s">
        <v>110</v>
      </c>
      <c r="I904">
        <v>10</v>
      </c>
      <c r="J904" s="19">
        <f>WEEKNUM(tblRidershipData[[#This Row],[MeasurementDate]])</f>
        <v>40</v>
      </c>
      <c r="K904" s="19">
        <f>MONTH(tblRidershipData[[#This Row],[MeasurementDate]])</f>
        <v>10</v>
      </c>
    </row>
    <row r="905" spans="1:11" x14ac:dyDescent="0.25">
      <c r="A905" s="31">
        <v>43740</v>
      </c>
      <c r="B905" t="s">
        <v>4</v>
      </c>
      <c r="C905">
        <v>9308</v>
      </c>
      <c r="D905" t="s">
        <v>87</v>
      </c>
      <c r="E905" t="s">
        <v>111</v>
      </c>
      <c r="F905">
        <v>1</v>
      </c>
      <c r="G905" t="s">
        <v>70</v>
      </c>
      <c r="H905" t="s">
        <v>110</v>
      </c>
      <c r="I905">
        <v>2</v>
      </c>
      <c r="J905" s="19">
        <f>WEEKNUM(tblRidershipData[[#This Row],[MeasurementDate]])</f>
        <v>40</v>
      </c>
      <c r="K905" s="19">
        <f>MONTH(tblRidershipData[[#This Row],[MeasurementDate]])</f>
        <v>10</v>
      </c>
    </row>
    <row r="906" spans="1:11" x14ac:dyDescent="0.25">
      <c r="A906" s="31">
        <v>43740</v>
      </c>
      <c r="B906" t="s">
        <v>4</v>
      </c>
      <c r="C906">
        <v>9308</v>
      </c>
      <c r="D906" t="s">
        <v>87</v>
      </c>
      <c r="E906" t="s">
        <v>111</v>
      </c>
      <c r="F906">
        <v>1</v>
      </c>
      <c r="G906" t="s">
        <v>71</v>
      </c>
      <c r="H906" t="s">
        <v>110</v>
      </c>
      <c r="I906">
        <v>6</v>
      </c>
      <c r="J906" s="19">
        <f>WEEKNUM(tblRidershipData[[#This Row],[MeasurementDate]])</f>
        <v>40</v>
      </c>
      <c r="K906" s="19">
        <f>MONTH(tblRidershipData[[#This Row],[MeasurementDate]])</f>
        <v>10</v>
      </c>
    </row>
    <row r="907" spans="1:11" x14ac:dyDescent="0.25">
      <c r="A907" s="31">
        <v>43740</v>
      </c>
      <c r="B907" t="s">
        <v>4</v>
      </c>
      <c r="C907">
        <v>9308</v>
      </c>
      <c r="D907" t="s">
        <v>87</v>
      </c>
      <c r="E907" t="s">
        <v>111</v>
      </c>
      <c r="F907">
        <v>2</v>
      </c>
      <c r="G907" t="s">
        <v>60</v>
      </c>
      <c r="H907" t="s">
        <v>110</v>
      </c>
      <c r="I907">
        <v>5</v>
      </c>
      <c r="J907" s="19">
        <f>WEEKNUM(tblRidershipData[[#This Row],[MeasurementDate]])</f>
        <v>40</v>
      </c>
      <c r="K907" s="19">
        <f>MONTH(tblRidershipData[[#This Row],[MeasurementDate]])</f>
        <v>10</v>
      </c>
    </row>
    <row r="908" spans="1:11" x14ac:dyDescent="0.25">
      <c r="A908" s="31">
        <v>43740</v>
      </c>
      <c r="B908" t="s">
        <v>4</v>
      </c>
      <c r="C908">
        <v>9308</v>
      </c>
      <c r="D908" t="s">
        <v>87</v>
      </c>
      <c r="E908" t="s">
        <v>111</v>
      </c>
      <c r="F908">
        <v>2</v>
      </c>
      <c r="G908" t="s">
        <v>71</v>
      </c>
      <c r="H908" t="s">
        <v>110</v>
      </c>
      <c r="I908">
        <v>1</v>
      </c>
      <c r="J908" s="19">
        <f>WEEKNUM(tblRidershipData[[#This Row],[MeasurementDate]])</f>
        <v>40</v>
      </c>
      <c r="K908" s="19">
        <f>MONTH(tblRidershipData[[#This Row],[MeasurementDate]])</f>
        <v>10</v>
      </c>
    </row>
    <row r="909" spans="1:11" x14ac:dyDescent="0.25">
      <c r="A909" s="31">
        <v>43740</v>
      </c>
      <c r="B909" t="s">
        <v>4</v>
      </c>
      <c r="C909">
        <v>9308</v>
      </c>
      <c r="D909" t="s">
        <v>87</v>
      </c>
      <c r="E909" t="s">
        <v>109</v>
      </c>
      <c r="F909">
        <v>1</v>
      </c>
      <c r="G909" t="s">
        <v>44</v>
      </c>
      <c r="H909" t="s">
        <v>110</v>
      </c>
      <c r="I909">
        <v>13</v>
      </c>
      <c r="J909" s="19">
        <f>WEEKNUM(tblRidershipData[[#This Row],[MeasurementDate]])</f>
        <v>40</v>
      </c>
      <c r="K909" s="19">
        <f>MONTH(tblRidershipData[[#This Row],[MeasurementDate]])</f>
        <v>10</v>
      </c>
    </row>
    <row r="910" spans="1:11" x14ac:dyDescent="0.25">
      <c r="A910" s="31">
        <v>43740</v>
      </c>
      <c r="B910" t="s">
        <v>4</v>
      </c>
      <c r="C910">
        <v>9308</v>
      </c>
      <c r="D910" t="s">
        <v>87</v>
      </c>
      <c r="E910" t="s">
        <v>109</v>
      </c>
      <c r="F910">
        <v>1</v>
      </c>
      <c r="G910" t="s">
        <v>51</v>
      </c>
      <c r="H910" t="s">
        <v>110</v>
      </c>
      <c r="I910">
        <v>4</v>
      </c>
      <c r="J910" s="19">
        <f>WEEKNUM(tblRidershipData[[#This Row],[MeasurementDate]])</f>
        <v>40</v>
      </c>
      <c r="K910" s="19">
        <f>MONTH(tblRidershipData[[#This Row],[MeasurementDate]])</f>
        <v>10</v>
      </c>
    </row>
    <row r="911" spans="1:11" x14ac:dyDescent="0.25">
      <c r="A911" s="31">
        <v>43740</v>
      </c>
      <c r="B911" t="s">
        <v>4</v>
      </c>
      <c r="C911">
        <v>9308</v>
      </c>
      <c r="D911" t="s">
        <v>87</v>
      </c>
      <c r="E911" t="s">
        <v>109</v>
      </c>
      <c r="F911">
        <v>1</v>
      </c>
      <c r="G911" t="s">
        <v>52</v>
      </c>
      <c r="H911" t="s">
        <v>110</v>
      </c>
      <c r="I911">
        <v>18</v>
      </c>
      <c r="J911" s="19">
        <f>WEEKNUM(tblRidershipData[[#This Row],[MeasurementDate]])</f>
        <v>40</v>
      </c>
      <c r="K911" s="19">
        <f>MONTH(tblRidershipData[[#This Row],[MeasurementDate]])</f>
        <v>10</v>
      </c>
    </row>
    <row r="912" spans="1:11" x14ac:dyDescent="0.25">
      <c r="A912" s="31">
        <v>43740</v>
      </c>
      <c r="B912" t="s">
        <v>4</v>
      </c>
      <c r="C912">
        <v>9308</v>
      </c>
      <c r="D912" t="s">
        <v>87</v>
      </c>
      <c r="E912" t="s">
        <v>109</v>
      </c>
      <c r="F912">
        <v>1</v>
      </c>
      <c r="G912" t="s">
        <v>59</v>
      </c>
      <c r="H912" t="s">
        <v>110</v>
      </c>
      <c r="I912">
        <v>37</v>
      </c>
      <c r="J912" s="19">
        <f>WEEKNUM(tblRidershipData[[#This Row],[MeasurementDate]])</f>
        <v>40</v>
      </c>
      <c r="K912" s="19">
        <f>MONTH(tblRidershipData[[#This Row],[MeasurementDate]])</f>
        <v>10</v>
      </c>
    </row>
    <row r="913" spans="1:11" x14ac:dyDescent="0.25">
      <c r="A913" s="31">
        <v>43740</v>
      </c>
      <c r="B913" t="s">
        <v>4</v>
      </c>
      <c r="C913">
        <v>9308</v>
      </c>
      <c r="D913" t="s">
        <v>87</v>
      </c>
      <c r="E913" t="s">
        <v>109</v>
      </c>
      <c r="F913">
        <v>1</v>
      </c>
      <c r="G913" t="s">
        <v>65</v>
      </c>
      <c r="H913" t="s">
        <v>110</v>
      </c>
      <c r="I913">
        <v>25</v>
      </c>
      <c r="J913" s="19">
        <f>WEEKNUM(tblRidershipData[[#This Row],[MeasurementDate]])</f>
        <v>40</v>
      </c>
      <c r="K913" s="19">
        <f>MONTH(tblRidershipData[[#This Row],[MeasurementDate]])</f>
        <v>10</v>
      </c>
    </row>
    <row r="914" spans="1:11" x14ac:dyDescent="0.25">
      <c r="A914" s="31">
        <v>43740</v>
      </c>
      <c r="B914" t="s">
        <v>4</v>
      </c>
      <c r="C914">
        <v>9308</v>
      </c>
      <c r="D914" t="s">
        <v>87</v>
      </c>
      <c r="E914" t="s">
        <v>109</v>
      </c>
      <c r="F914">
        <v>1</v>
      </c>
      <c r="G914" t="s">
        <v>66</v>
      </c>
      <c r="H914" t="s">
        <v>110</v>
      </c>
      <c r="I914">
        <v>6</v>
      </c>
      <c r="J914" s="19">
        <f>WEEKNUM(tblRidershipData[[#This Row],[MeasurementDate]])</f>
        <v>40</v>
      </c>
      <c r="K914" s="19">
        <f>MONTH(tblRidershipData[[#This Row],[MeasurementDate]])</f>
        <v>10</v>
      </c>
    </row>
    <row r="915" spans="1:11" x14ac:dyDescent="0.25">
      <c r="A915" s="31">
        <v>43740</v>
      </c>
      <c r="B915" t="s">
        <v>4</v>
      </c>
      <c r="C915">
        <v>9308</v>
      </c>
      <c r="D915" t="s">
        <v>87</v>
      </c>
      <c r="E915" t="s">
        <v>109</v>
      </c>
      <c r="F915">
        <v>1</v>
      </c>
      <c r="G915" t="s">
        <v>69</v>
      </c>
      <c r="H915" t="s">
        <v>110</v>
      </c>
      <c r="I915">
        <v>16</v>
      </c>
      <c r="J915" s="19">
        <f>WEEKNUM(tblRidershipData[[#This Row],[MeasurementDate]])</f>
        <v>40</v>
      </c>
      <c r="K915" s="19">
        <f>MONTH(tblRidershipData[[#This Row],[MeasurementDate]])</f>
        <v>10</v>
      </c>
    </row>
    <row r="916" spans="1:11" x14ac:dyDescent="0.25">
      <c r="A916" s="31">
        <v>43740</v>
      </c>
      <c r="B916" t="s">
        <v>4</v>
      </c>
      <c r="C916">
        <v>9308</v>
      </c>
      <c r="D916" t="s">
        <v>87</v>
      </c>
      <c r="E916" t="s">
        <v>109</v>
      </c>
      <c r="F916">
        <v>2</v>
      </c>
      <c r="G916" t="s">
        <v>70</v>
      </c>
      <c r="H916" t="s">
        <v>110</v>
      </c>
      <c r="I916">
        <v>16</v>
      </c>
      <c r="J916" s="19">
        <f>WEEKNUM(tblRidershipData[[#This Row],[MeasurementDate]])</f>
        <v>40</v>
      </c>
      <c r="K916" s="19">
        <f>MONTH(tblRidershipData[[#This Row],[MeasurementDate]])</f>
        <v>10</v>
      </c>
    </row>
    <row r="917" spans="1:11" x14ac:dyDescent="0.25">
      <c r="A917" s="31">
        <v>43740</v>
      </c>
      <c r="B917" t="s">
        <v>4</v>
      </c>
      <c r="C917">
        <v>9308</v>
      </c>
      <c r="D917" t="s">
        <v>87</v>
      </c>
      <c r="E917" t="s">
        <v>111</v>
      </c>
      <c r="F917">
        <v>1</v>
      </c>
      <c r="G917" t="s">
        <v>52</v>
      </c>
      <c r="H917" t="s">
        <v>110</v>
      </c>
      <c r="I917">
        <v>33</v>
      </c>
      <c r="J917" s="19">
        <f>WEEKNUM(tblRidershipData[[#This Row],[MeasurementDate]])</f>
        <v>40</v>
      </c>
      <c r="K917" s="19">
        <f>MONTH(tblRidershipData[[#This Row],[MeasurementDate]])</f>
        <v>10</v>
      </c>
    </row>
    <row r="918" spans="1:11" x14ac:dyDescent="0.25">
      <c r="A918" s="31">
        <v>43740</v>
      </c>
      <c r="B918" t="s">
        <v>4</v>
      </c>
      <c r="C918">
        <v>9308</v>
      </c>
      <c r="D918" t="s">
        <v>87</v>
      </c>
      <c r="E918" t="s">
        <v>111</v>
      </c>
      <c r="F918">
        <v>1</v>
      </c>
      <c r="G918" t="s">
        <v>55</v>
      </c>
      <c r="H918" t="s">
        <v>110</v>
      </c>
      <c r="I918">
        <v>1</v>
      </c>
      <c r="J918" s="19">
        <f>WEEKNUM(tblRidershipData[[#This Row],[MeasurementDate]])</f>
        <v>40</v>
      </c>
      <c r="K918" s="19">
        <f>MONTH(tblRidershipData[[#This Row],[MeasurementDate]])</f>
        <v>10</v>
      </c>
    </row>
    <row r="919" spans="1:11" x14ac:dyDescent="0.25">
      <c r="A919" s="31">
        <v>43740</v>
      </c>
      <c r="B919" t="s">
        <v>4</v>
      </c>
      <c r="C919">
        <v>9308</v>
      </c>
      <c r="D919" t="s">
        <v>87</v>
      </c>
      <c r="E919" t="s">
        <v>111</v>
      </c>
      <c r="F919">
        <v>1</v>
      </c>
      <c r="G919" t="s">
        <v>59</v>
      </c>
      <c r="H919" t="s">
        <v>110</v>
      </c>
      <c r="I919">
        <v>9</v>
      </c>
      <c r="J919" s="19">
        <f>WEEKNUM(tblRidershipData[[#This Row],[MeasurementDate]])</f>
        <v>40</v>
      </c>
      <c r="K919" s="19">
        <f>MONTH(tblRidershipData[[#This Row],[MeasurementDate]])</f>
        <v>10</v>
      </c>
    </row>
    <row r="920" spans="1:11" x14ac:dyDescent="0.25">
      <c r="A920" s="31">
        <v>43740</v>
      </c>
      <c r="B920" t="s">
        <v>4</v>
      </c>
      <c r="C920">
        <v>9308</v>
      </c>
      <c r="D920" t="s">
        <v>87</v>
      </c>
      <c r="E920" t="s">
        <v>111</v>
      </c>
      <c r="F920">
        <v>1</v>
      </c>
      <c r="G920" t="s">
        <v>70</v>
      </c>
      <c r="H920" t="s">
        <v>110</v>
      </c>
      <c r="I920">
        <v>2</v>
      </c>
      <c r="J920" s="19">
        <f>WEEKNUM(tblRidershipData[[#This Row],[MeasurementDate]])</f>
        <v>40</v>
      </c>
      <c r="K920" s="19">
        <f>MONTH(tblRidershipData[[#This Row],[MeasurementDate]])</f>
        <v>10</v>
      </c>
    </row>
    <row r="921" spans="1:11" x14ac:dyDescent="0.25">
      <c r="A921" s="31">
        <v>43740</v>
      </c>
      <c r="B921" t="s">
        <v>4</v>
      </c>
      <c r="C921">
        <v>9308</v>
      </c>
      <c r="D921" t="s">
        <v>87</v>
      </c>
      <c r="E921" t="s">
        <v>111</v>
      </c>
      <c r="F921">
        <v>1</v>
      </c>
      <c r="G921" t="s">
        <v>72</v>
      </c>
      <c r="H921" t="s">
        <v>110</v>
      </c>
      <c r="I921">
        <v>1</v>
      </c>
      <c r="J921" s="19">
        <f>WEEKNUM(tblRidershipData[[#This Row],[MeasurementDate]])</f>
        <v>40</v>
      </c>
      <c r="K921" s="19">
        <f>MONTH(tblRidershipData[[#This Row],[MeasurementDate]])</f>
        <v>10</v>
      </c>
    </row>
    <row r="922" spans="1:11" x14ac:dyDescent="0.25">
      <c r="A922" s="31">
        <v>43740</v>
      </c>
      <c r="B922" t="s">
        <v>4</v>
      </c>
      <c r="C922">
        <v>9308</v>
      </c>
      <c r="D922" t="s">
        <v>87</v>
      </c>
      <c r="E922" t="s">
        <v>111</v>
      </c>
      <c r="F922">
        <v>2</v>
      </c>
      <c r="G922" t="s">
        <v>52</v>
      </c>
      <c r="H922" t="s">
        <v>110</v>
      </c>
      <c r="I922">
        <v>9</v>
      </c>
      <c r="J922" s="19">
        <f>WEEKNUM(tblRidershipData[[#This Row],[MeasurementDate]])</f>
        <v>40</v>
      </c>
      <c r="K922" s="19">
        <f>MONTH(tblRidershipData[[#This Row],[MeasurementDate]])</f>
        <v>10</v>
      </c>
    </row>
    <row r="923" spans="1:11" x14ac:dyDescent="0.25">
      <c r="A923" s="31">
        <v>43740</v>
      </c>
      <c r="B923" t="s">
        <v>4</v>
      </c>
      <c r="C923">
        <v>9308</v>
      </c>
      <c r="D923" t="s">
        <v>87</v>
      </c>
      <c r="E923" t="s">
        <v>109</v>
      </c>
      <c r="F923">
        <v>1</v>
      </c>
      <c r="G923" t="s">
        <v>43</v>
      </c>
      <c r="H923" t="s">
        <v>110</v>
      </c>
      <c r="I923">
        <v>15</v>
      </c>
      <c r="J923" s="19">
        <f>WEEKNUM(tblRidershipData[[#This Row],[MeasurementDate]])</f>
        <v>40</v>
      </c>
      <c r="K923" s="19">
        <f>MONTH(tblRidershipData[[#This Row],[MeasurementDate]])</f>
        <v>10</v>
      </c>
    </row>
    <row r="924" spans="1:11" x14ac:dyDescent="0.25">
      <c r="A924" s="31">
        <v>43740</v>
      </c>
      <c r="B924" t="s">
        <v>4</v>
      </c>
      <c r="C924">
        <v>9308</v>
      </c>
      <c r="D924" t="s">
        <v>87</v>
      </c>
      <c r="E924" t="s">
        <v>109</v>
      </c>
      <c r="F924">
        <v>1</v>
      </c>
      <c r="G924" t="s">
        <v>51</v>
      </c>
      <c r="H924" t="s">
        <v>110</v>
      </c>
      <c r="I924">
        <v>10</v>
      </c>
      <c r="J924" s="19">
        <f>WEEKNUM(tblRidershipData[[#This Row],[MeasurementDate]])</f>
        <v>40</v>
      </c>
      <c r="K924" s="19">
        <f>MONTH(tblRidershipData[[#This Row],[MeasurementDate]])</f>
        <v>10</v>
      </c>
    </row>
    <row r="925" spans="1:11" x14ac:dyDescent="0.25">
      <c r="A925" s="31">
        <v>43740</v>
      </c>
      <c r="B925" t="s">
        <v>4</v>
      </c>
      <c r="C925">
        <v>9308</v>
      </c>
      <c r="D925" t="s">
        <v>87</v>
      </c>
      <c r="E925" t="s">
        <v>109</v>
      </c>
      <c r="F925">
        <v>1</v>
      </c>
      <c r="G925" t="s">
        <v>60</v>
      </c>
      <c r="H925" t="s">
        <v>110</v>
      </c>
      <c r="I925">
        <v>5</v>
      </c>
      <c r="J925" s="19">
        <f>WEEKNUM(tblRidershipData[[#This Row],[MeasurementDate]])</f>
        <v>40</v>
      </c>
      <c r="K925" s="19">
        <f>MONTH(tblRidershipData[[#This Row],[MeasurementDate]])</f>
        <v>10</v>
      </c>
    </row>
    <row r="926" spans="1:11" x14ac:dyDescent="0.25">
      <c r="A926" s="31">
        <v>43740</v>
      </c>
      <c r="B926" t="s">
        <v>4</v>
      </c>
      <c r="C926">
        <v>9308</v>
      </c>
      <c r="D926" t="s">
        <v>87</v>
      </c>
      <c r="E926" t="s">
        <v>109</v>
      </c>
      <c r="F926">
        <v>1</v>
      </c>
      <c r="G926" t="s">
        <v>65</v>
      </c>
      <c r="H926" t="s">
        <v>110</v>
      </c>
      <c r="I926">
        <v>6</v>
      </c>
      <c r="J926" s="19">
        <f>WEEKNUM(tblRidershipData[[#This Row],[MeasurementDate]])</f>
        <v>40</v>
      </c>
      <c r="K926" s="19">
        <f>MONTH(tblRidershipData[[#This Row],[MeasurementDate]])</f>
        <v>10</v>
      </c>
    </row>
    <row r="927" spans="1:11" x14ac:dyDescent="0.25">
      <c r="A927" s="31">
        <v>43740</v>
      </c>
      <c r="B927" t="s">
        <v>4</v>
      </c>
      <c r="C927">
        <v>9308</v>
      </c>
      <c r="D927" t="s">
        <v>87</v>
      </c>
      <c r="E927" t="s">
        <v>109</v>
      </c>
      <c r="F927">
        <v>1</v>
      </c>
      <c r="G927" t="s">
        <v>66</v>
      </c>
      <c r="H927" t="s">
        <v>110</v>
      </c>
      <c r="I927">
        <v>10</v>
      </c>
      <c r="J927" s="19">
        <f>WEEKNUM(tblRidershipData[[#This Row],[MeasurementDate]])</f>
        <v>40</v>
      </c>
      <c r="K927" s="19">
        <f>MONTH(tblRidershipData[[#This Row],[MeasurementDate]])</f>
        <v>10</v>
      </c>
    </row>
    <row r="928" spans="1:11" x14ac:dyDescent="0.25">
      <c r="A928" s="31">
        <v>43740</v>
      </c>
      <c r="B928" t="s">
        <v>4</v>
      </c>
      <c r="C928">
        <v>9308</v>
      </c>
      <c r="D928" t="s">
        <v>87</v>
      </c>
      <c r="E928" t="s">
        <v>109</v>
      </c>
      <c r="F928">
        <v>1</v>
      </c>
      <c r="G928" t="s">
        <v>69</v>
      </c>
      <c r="H928" t="s">
        <v>110</v>
      </c>
      <c r="I928">
        <v>5</v>
      </c>
      <c r="J928" s="19">
        <f>WEEKNUM(tblRidershipData[[#This Row],[MeasurementDate]])</f>
        <v>40</v>
      </c>
      <c r="K928" s="19">
        <f>MONTH(tblRidershipData[[#This Row],[MeasurementDate]])</f>
        <v>10</v>
      </c>
    </row>
    <row r="929" spans="1:11" x14ac:dyDescent="0.25">
      <c r="A929" s="31">
        <v>43740</v>
      </c>
      <c r="B929" t="s">
        <v>4</v>
      </c>
      <c r="C929">
        <v>9308</v>
      </c>
      <c r="D929" t="s">
        <v>87</v>
      </c>
      <c r="E929" t="s">
        <v>109</v>
      </c>
      <c r="F929">
        <v>1</v>
      </c>
      <c r="G929" t="s">
        <v>70</v>
      </c>
      <c r="H929" t="s">
        <v>110</v>
      </c>
      <c r="I929">
        <v>4</v>
      </c>
      <c r="J929" s="19">
        <f>WEEKNUM(tblRidershipData[[#This Row],[MeasurementDate]])</f>
        <v>40</v>
      </c>
      <c r="K929" s="19">
        <f>MONTH(tblRidershipData[[#This Row],[MeasurementDate]])</f>
        <v>10</v>
      </c>
    </row>
    <row r="930" spans="1:11" x14ac:dyDescent="0.25">
      <c r="A930" s="31">
        <v>43740</v>
      </c>
      <c r="B930" t="s">
        <v>4</v>
      </c>
      <c r="C930">
        <v>9308</v>
      </c>
      <c r="D930" t="s">
        <v>87</v>
      </c>
      <c r="E930" t="s">
        <v>109</v>
      </c>
      <c r="F930">
        <v>1</v>
      </c>
      <c r="G930" t="s">
        <v>71</v>
      </c>
      <c r="H930" t="s">
        <v>110</v>
      </c>
      <c r="I930">
        <v>4</v>
      </c>
      <c r="J930" s="19">
        <f>WEEKNUM(tblRidershipData[[#This Row],[MeasurementDate]])</f>
        <v>40</v>
      </c>
      <c r="K930" s="19">
        <f>MONTH(tblRidershipData[[#This Row],[MeasurementDate]])</f>
        <v>10</v>
      </c>
    </row>
    <row r="931" spans="1:11" x14ac:dyDescent="0.25">
      <c r="A931" s="31">
        <v>43740</v>
      </c>
      <c r="B931" t="s">
        <v>4</v>
      </c>
      <c r="C931">
        <v>9308</v>
      </c>
      <c r="D931" t="s">
        <v>87</v>
      </c>
      <c r="E931" t="s">
        <v>109</v>
      </c>
      <c r="F931">
        <v>1</v>
      </c>
      <c r="G931" t="s">
        <v>76</v>
      </c>
      <c r="H931" t="s">
        <v>110</v>
      </c>
      <c r="I931">
        <v>3</v>
      </c>
      <c r="J931" s="19">
        <f>WEEKNUM(tblRidershipData[[#This Row],[MeasurementDate]])</f>
        <v>40</v>
      </c>
      <c r="K931" s="19">
        <f>MONTH(tblRidershipData[[#This Row],[MeasurementDate]])</f>
        <v>10</v>
      </c>
    </row>
    <row r="932" spans="1:11" x14ac:dyDescent="0.25">
      <c r="A932" s="31">
        <v>43740</v>
      </c>
      <c r="B932" t="s">
        <v>4</v>
      </c>
      <c r="C932">
        <v>9308</v>
      </c>
      <c r="D932" t="s">
        <v>87</v>
      </c>
      <c r="E932" t="s">
        <v>109</v>
      </c>
      <c r="F932">
        <v>2</v>
      </c>
      <c r="G932" t="s">
        <v>43</v>
      </c>
      <c r="H932" t="s">
        <v>110</v>
      </c>
      <c r="I932">
        <v>5</v>
      </c>
      <c r="J932" s="19">
        <f>WEEKNUM(tblRidershipData[[#This Row],[MeasurementDate]])</f>
        <v>40</v>
      </c>
      <c r="K932" s="19">
        <f>MONTH(tblRidershipData[[#This Row],[MeasurementDate]])</f>
        <v>10</v>
      </c>
    </row>
    <row r="933" spans="1:11" x14ac:dyDescent="0.25">
      <c r="A933" s="31">
        <v>43740</v>
      </c>
      <c r="B933" t="s">
        <v>4</v>
      </c>
      <c r="C933">
        <v>9308</v>
      </c>
      <c r="D933" t="s">
        <v>87</v>
      </c>
      <c r="E933" t="s">
        <v>109</v>
      </c>
      <c r="F933">
        <v>2</v>
      </c>
      <c r="G933" t="s">
        <v>44</v>
      </c>
      <c r="H933" t="s">
        <v>110</v>
      </c>
      <c r="I933">
        <v>3</v>
      </c>
      <c r="J933" s="19">
        <f>WEEKNUM(tblRidershipData[[#This Row],[MeasurementDate]])</f>
        <v>40</v>
      </c>
      <c r="K933" s="19">
        <f>MONTH(tblRidershipData[[#This Row],[MeasurementDate]])</f>
        <v>10</v>
      </c>
    </row>
    <row r="934" spans="1:11" x14ac:dyDescent="0.25">
      <c r="A934" s="31">
        <v>43740</v>
      </c>
      <c r="B934" t="s">
        <v>4</v>
      </c>
      <c r="C934">
        <v>9308</v>
      </c>
      <c r="D934" t="s">
        <v>87</v>
      </c>
      <c r="E934" t="s">
        <v>109</v>
      </c>
      <c r="F934">
        <v>2</v>
      </c>
      <c r="G934" t="s">
        <v>46</v>
      </c>
      <c r="H934" t="s">
        <v>110</v>
      </c>
      <c r="I934">
        <v>17</v>
      </c>
      <c r="J934" s="19">
        <f>WEEKNUM(tblRidershipData[[#This Row],[MeasurementDate]])</f>
        <v>40</v>
      </c>
      <c r="K934" s="19">
        <f>MONTH(tblRidershipData[[#This Row],[MeasurementDate]])</f>
        <v>10</v>
      </c>
    </row>
    <row r="935" spans="1:11" x14ac:dyDescent="0.25">
      <c r="A935" s="31">
        <v>43740</v>
      </c>
      <c r="B935" t="s">
        <v>4</v>
      </c>
      <c r="C935">
        <v>9308</v>
      </c>
      <c r="D935" t="s">
        <v>87</v>
      </c>
      <c r="E935" t="s">
        <v>109</v>
      </c>
      <c r="F935">
        <v>2</v>
      </c>
      <c r="G935" t="s">
        <v>55</v>
      </c>
      <c r="H935" t="s">
        <v>110</v>
      </c>
      <c r="I935">
        <v>10</v>
      </c>
      <c r="J935" s="19">
        <f>WEEKNUM(tblRidershipData[[#This Row],[MeasurementDate]])</f>
        <v>40</v>
      </c>
      <c r="K935" s="19">
        <f>MONTH(tblRidershipData[[#This Row],[MeasurementDate]])</f>
        <v>10</v>
      </c>
    </row>
    <row r="936" spans="1:11" x14ac:dyDescent="0.25">
      <c r="A936" s="31">
        <v>43740</v>
      </c>
      <c r="B936" t="s">
        <v>4</v>
      </c>
      <c r="C936">
        <v>9308</v>
      </c>
      <c r="D936" t="s">
        <v>87</v>
      </c>
      <c r="E936" t="s">
        <v>109</v>
      </c>
      <c r="F936">
        <v>2</v>
      </c>
      <c r="G936" t="s">
        <v>66</v>
      </c>
      <c r="H936" t="s">
        <v>110</v>
      </c>
      <c r="I936">
        <v>3</v>
      </c>
      <c r="J936" s="19">
        <f>WEEKNUM(tblRidershipData[[#This Row],[MeasurementDate]])</f>
        <v>40</v>
      </c>
      <c r="K936" s="19">
        <f>MONTH(tblRidershipData[[#This Row],[MeasurementDate]])</f>
        <v>10</v>
      </c>
    </row>
    <row r="937" spans="1:11" x14ac:dyDescent="0.25">
      <c r="A937" s="31">
        <v>43740</v>
      </c>
      <c r="B937" t="s">
        <v>4</v>
      </c>
      <c r="C937">
        <v>9308</v>
      </c>
      <c r="D937" t="s">
        <v>87</v>
      </c>
      <c r="E937" t="s">
        <v>109</v>
      </c>
      <c r="F937">
        <v>2</v>
      </c>
      <c r="G937" t="s">
        <v>70</v>
      </c>
      <c r="H937" t="s">
        <v>110</v>
      </c>
      <c r="I937">
        <v>3</v>
      </c>
      <c r="J937" s="19">
        <f>WEEKNUM(tblRidershipData[[#This Row],[MeasurementDate]])</f>
        <v>40</v>
      </c>
      <c r="K937" s="19">
        <f>MONTH(tblRidershipData[[#This Row],[MeasurementDate]])</f>
        <v>10</v>
      </c>
    </row>
    <row r="938" spans="1:11" x14ac:dyDescent="0.25">
      <c r="A938" s="31">
        <v>43740</v>
      </c>
      <c r="B938" t="s">
        <v>4</v>
      </c>
      <c r="C938">
        <v>9308</v>
      </c>
      <c r="D938" t="s">
        <v>87</v>
      </c>
      <c r="E938" t="s">
        <v>109</v>
      </c>
      <c r="F938">
        <v>2</v>
      </c>
      <c r="G938" t="s">
        <v>71</v>
      </c>
      <c r="H938" t="s">
        <v>110</v>
      </c>
      <c r="I938">
        <v>2</v>
      </c>
      <c r="J938" s="19">
        <f>WEEKNUM(tblRidershipData[[#This Row],[MeasurementDate]])</f>
        <v>40</v>
      </c>
      <c r="K938" s="19">
        <f>MONTH(tblRidershipData[[#This Row],[MeasurementDate]])</f>
        <v>10</v>
      </c>
    </row>
    <row r="939" spans="1:11" x14ac:dyDescent="0.25">
      <c r="A939" s="31">
        <v>43740</v>
      </c>
      <c r="B939" t="s">
        <v>4</v>
      </c>
      <c r="C939">
        <v>9311</v>
      </c>
      <c r="D939" t="s">
        <v>90</v>
      </c>
      <c r="E939" t="s">
        <v>111</v>
      </c>
      <c r="F939">
        <v>1</v>
      </c>
      <c r="G939" t="s">
        <v>46</v>
      </c>
      <c r="H939" t="s">
        <v>110</v>
      </c>
      <c r="I939">
        <v>6</v>
      </c>
      <c r="J939" s="19">
        <f>WEEKNUM(tblRidershipData[[#This Row],[MeasurementDate]])</f>
        <v>40</v>
      </c>
      <c r="K939" s="19">
        <f>MONTH(tblRidershipData[[#This Row],[MeasurementDate]])</f>
        <v>10</v>
      </c>
    </row>
    <row r="940" spans="1:11" x14ac:dyDescent="0.25">
      <c r="A940" s="31">
        <v>43740</v>
      </c>
      <c r="B940" t="s">
        <v>4</v>
      </c>
      <c r="C940">
        <v>9311</v>
      </c>
      <c r="D940" t="s">
        <v>90</v>
      </c>
      <c r="E940" t="s">
        <v>111</v>
      </c>
      <c r="F940">
        <v>1</v>
      </c>
      <c r="G940" t="s">
        <v>55</v>
      </c>
      <c r="H940" t="s">
        <v>110</v>
      </c>
      <c r="I940">
        <v>3</v>
      </c>
      <c r="J940" s="19">
        <f>WEEKNUM(tblRidershipData[[#This Row],[MeasurementDate]])</f>
        <v>40</v>
      </c>
      <c r="K940" s="19">
        <f>MONTH(tblRidershipData[[#This Row],[MeasurementDate]])</f>
        <v>10</v>
      </c>
    </row>
    <row r="941" spans="1:11" x14ac:dyDescent="0.25">
      <c r="A941" s="31">
        <v>43740</v>
      </c>
      <c r="B941" t="s">
        <v>4</v>
      </c>
      <c r="C941">
        <v>9311</v>
      </c>
      <c r="D941" t="s">
        <v>90</v>
      </c>
      <c r="E941" t="s">
        <v>111</v>
      </c>
      <c r="F941">
        <v>1</v>
      </c>
      <c r="G941" t="s">
        <v>69</v>
      </c>
      <c r="H941" t="s">
        <v>110</v>
      </c>
      <c r="I941">
        <v>4</v>
      </c>
      <c r="J941" s="19">
        <f>WEEKNUM(tblRidershipData[[#This Row],[MeasurementDate]])</f>
        <v>40</v>
      </c>
      <c r="K941" s="19">
        <f>MONTH(tblRidershipData[[#This Row],[MeasurementDate]])</f>
        <v>10</v>
      </c>
    </row>
    <row r="942" spans="1:11" x14ac:dyDescent="0.25">
      <c r="A942" s="31">
        <v>43740</v>
      </c>
      <c r="B942" t="s">
        <v>4</v>
      </c>
      <c r="C942">
        <v>9311</v>
      </c>
      <c r="D942" t="s">
        <v>90</v>
      </c>
      <c r="E942" t="s">
        <v>111</v>
      </c>
      <c r="F942">
        <v>1</v>
      </c>
      <c r="G942" t="s">
        <v>70</v>
      </c>
      <c r="H942" t="s">
        <v>110</v>
      </c>
      <c r="I942">
        <v>8</v>
      </c>
      <c r="J942" s="19">
        <f>WEEKNUM(tblRidershipData[[#This Row],[MeasurementDate]])</f>
        <v>40</v>
      </c>
      <c r="K942" s="19">
        <f>MONTH(tblRidershipData[[#This Row],[MeasurementDate]])</f>
        <v>10</v>
      </c>
    </row>
    <row r="943" spans="1:11" x14ac:dyDescent="0.25">
      <c r="A943" s="31">
        <v>43740</v>
      </c>
      <c r="B943" t="s">
        <v>4</v>
      </c>
      <c r="C943">
        <v>9311</v>
      </c>
      <c r="D943" t="s">
        <v>90</v>
      </c>
      <c r="E943" t="s">
        <v>111</v>
      </c>
      <c r="F943">
        <v>1</v>
      </c>
      <c r="G943" t="s">
        <v>71</v>
      </c>
      <c r="H943" t="s">
        <v>110</v>
      </c>
      <c r="I943">
        <v>9</v>
      </c>
      <c r="J943" s="19">
        <f>WEEKNUM(tblRidershipData[[#This Row],[MeasurementDate]])</f>
        <v>40</v>
      </c>
      <c r="K943" s="19">
        <f>MONTH(tblRidershipData[[#This Row],[MeasurementDate]])</f>
        <v>10</v>
      </c>
    </row>
    <row r="944" spans="1:11" x14ac:dyDescent="0.25">
      <c r="A944" s="31">
        <v>43740</v>
      </c>
      <c r="B944" t="s">
        <v>4</v>
      </c>
      <c r="C944">
        <v>9311</v>
      </c>
      <c r="D944" t="s">
        <v>90</v>
      </c>
      <c r="E944" t="s">
        <v>109</v>
      </c>
      <c r="F944">
        <v>1</v>
      </c>
      <c r="G944" t="s">
        <v>55</v>
      </c>
      <c r="H944" t="s">
        <v>110</v>
      </c>
      <c r="I944">
        <v>3</v>
      </c>
      <c r="J944" s="19">
        <f>WEEKNUM(tblRidershipData[[#This Row],[MeasurementDate]])</f>
        <v>40</v>
      </c>
      <c r="K944" s="19">
        <f>MONTH(tblRidershipData[[#This Row],[MeasurementDate]])</f>
        <v>10</v>
      </c>
    </row>
    <row r="945" spans="1:11" x14ac:dyDescent="0.25">
      <c r="A945" s="31">
        <v>43740</v>
      </c>
      <c r="B945" t="s">
        <v>4</v>
      </c>
      <c r="C945">
        <v>9311</v>
      </c>
      <c r="D945" t="s">
        <v>90</v>
      </c>
      <c r="E945" t="s">
        <v>109</v>
      </c>
      <c r="F945">
        <v>1</v>
      </c>
      <c r="G945" t="s">
        <v>69</v>
      </c>
      <c r="H945" t="s">
        <v>110</v>
      </c>
      <c r="I945">
        <v>29</v>
      </c>
      <c r="J945" s="19">
        <f>WEEKNUM(tblRidershipData[[#This Row],[MeasurementDate]])</f>
        <v>40</v>
      </c>
      <c r="K945" s="19">
        <f>MONTH(tblRidershipData[[#This Row],[MeasurementDate]])</f>
        <v>10</v>
      </c>
    </row>
    <row r="946" spans="1:11" x14ac:dyDescent="0.25">
      <c r="A946" s="31">
        <v>43740</v>
      </c>
      <c r="B946" t="s">
        <v>4</v>
      </c>
      <c r="C946">
        <v>9311</v>
      </c>
      <c r="D946" t="s">
        <v>90</v>
      </c>
      <c r="E946" t="s">
        <v>109</v>
      </c>
      <c r="F946">
        <v>2</v>
      </c>
      <c r="G946" t="s">
        <v>42</v>
      </c>
      <c r="H946" t="s">
        <v>110</v>
      </c>
      <c r="I946">
        <v>14</v>
      </c>
      <c r="J946" s="19">
        <f>WEEKNUM(tblRidershipData[[#This Row],[MeasurementDate]])</f>
        <v>40</v>
      </c>
      <c r="K946" s="19">
        <f>MONTH(tblRidershipData[[#This Row],[MeasurementDate]])</f>
        <v>10</v>
      </c>
    </row>
    <row r="947" spans="1:11" x14ac:dyDescent="0.25">
      <c r="A947" s="31">
        <v>43740</v>
      </c>
      <c r="B947" t="s">
        <v>4</v>
      </c>
      <c r="C947">
        <v>9311</v>
      </c>
      <c r="D947" t="s">
        <v>90</v>
      </c>
      <c r="E947" t="s">
        <v>111</v>
      </c>
      <c r="F947">
        <v>1</v>
      </c>
      <c r="G947" t="s">
        <v>52</v>
      </c>
      <c r="H947" t="s">
        <v>110</v>
      </c>
      <c r="I947">
        <v>19</v>
      </c>
      <c r="J947" s="19">
        <f>WEEKNUM(tblRidershipData[[#This Row],[MeasurementDate]])</f>
        <v>40</v>
      </c>
      <c r="K947" s="19">
        <f>MONTH(tblRidershipData[[#This Row],[MeasurementDate]])</f>
        <v>10</v>
      </c>
    </row>
    <row r="948" spans="1:11" x14ac:dyDescent="0.25">
      <c r="A948" s="31">
        <v>43740</v>
      </c>
      <c r="B948" t="s">
        <v>4</v>
      </c>
      <c r="C948">
        <v>9311</v>
      </c>
      <c r="D948" t="s">
        <v>90</v>
      </c>
      <c r="E948" t="s">
        <v>111</v>
      </c>
      <c r="F948">
        <v>1</v>
      </c>
      <c r="G948" t="s">
        <v>57</v>
      </c>
      <c r="H948" t="s">
        <v>110</v>
      </c>
      <c r="I948">
        <v>5</v>
      </c>
      <c r="J948" s="19">
        <f>WEEKNUM(tblRidershipData[[#This Row],[MeasurementDate]])</f>
        <v>40</v>
      </c>
      <c r="K948" s="19">
        <f>MONTH(tblRidershipData[[#This Row],[MeasurementDate]])</f>
        <v>10</v>
      </c>
    </row>
    <row r="949" spans="1:11" x14ac:dyDescent="0.25">
      <c r="A949" s="31">
        <v>43740</v>
      </c>
      <c r="B949" t="s">
        <v>4</v>
      </c>
      <c r="C949">
        <v>9311</v>
      </c>
      <c r="D949" t="s">
        <v>90</v>
      </c>
      <c r="E949" t="s">
        <v>111</v>
      </c>
      <c r="F949">
        <v>1</v>
      </c>
      <c r="G949" t="s">
        <v>59</v>
      </c>
      <c r="H949" t="s">
        <v>110</v>
      </c>
      <c r="I949">
        <v>1</v>
      </c>
      <c r="J949" s="19">
        <f>WEEKNUM(tblRidershipData[[#This Row],[MeasurementDate]])</f>
        <v>40</v>
      </c>
      <c r="K949" s="19">
        <f>MONTH(tblRidershipData[[#This Row],[MeasurementDate]])</f>
        <v>10</v>
      </c>
    </row>
    <row r="950" spans="1:11" x14ac:dyDescent="0.25">
      <c r="A950" s="31">
        <v>43740</v>
      </c>
      <c r="B950" t="s">
        <v>4</v>
      </c>
      <c r="C950">
        <v>9311</v>
      </c>
      <c r="D950" t="s">
        <v>90</v>
      </c>
      <c r="E950" t="s">
        <v>111</v>
      </c>
      <c r="F950">
        <v>1</v>
      </c>
      <c r="G950" t="s">
        <v>66</v>
      </c>
      <c r="H950" t="s">
        <v>110</v>
      </c>
      <c r="I950">
        <v>4</v>
      </c>
      <c r="J950" s="19">
        <f>WEEKNUM(tblRidershipData[[#This Row],[MeasurementDate]])</f>
        <v>40</v>
      </c>
      <c r="K950" s="19">
        <f>MONTH(tblRidershipData[[#This Row],[MeasurementDate]])</f>
        <v>10</v>
      </c>
    </row>
    <row r="951" spans="1:11" x14ac:dyDescent="0.25">
      <c r="A951" s="31">
        <v>43740</v>
      </c>
      <c r="B951" t="s">
        <v>4</v>
      </c>
      <c r="C951">
        <v>9311</v>
      </c>
      <c r="D951" t="s">
        <v>90</v>
      </c>
      <c r="E951" t="s">
        <v>111</v>
      </c>
      <c r="F951">
        <v>1</v>
      </c>
      <c r="G951" t="s">
        <v>71</v>
      </c>
      <c r="H951" t="s">
        <v>110</v>
      </c>
      <c r="I951">
        <v>1</v>
      </c>
      <c r="J951" s="19">
        <f>WEEKNUM(tblRidershipData[[#This Row],[MeasurementDate]])</f>
        <v>40</v>
      </c>
      <c r="K951" s="19">
        <f>MONTH(tblRidershipData[[#This Row],[MeasurementDate]])</f>
        <v>10</v>
      </c>
    </row>
    <row r="952" spans="1:11" x14ac:dyDescent="0.25">
      <c r="A952" s="31">
        <v>43740</v>
      </c>
      <c r="B952" t="s">
        <v>4</v>
      </c>
      <c r="C952">
        <v>9311</v>
      </c>
      <c r="D952" t="s">
        <v>90</v>
      </c>
      <c r="E952" t="s">
        <v>109</v>
      </c>
      <c r="F952">
        <v>1</v>
      </c>
      <c r="G952" t="s">
        <v>44</v>
      </c>
      <c r="H952" t="s">
        <v>110</v>
      </c>
      <c r="I952">
        <v>5</v>
      </c>
      <c r="J952" s="19">
        <f>WEEKNUM(tblRidershipData[[#This Row],[MeasurementDate]])</f>
        <v>40</v>
      </c>
      <c r="K952" s="19">
        <f>MONTH(tblRidershipData[[#This Row],[MeasurementDate]])</f>
        <v>10</v>
      </c>
    </row>
    <row r="953" spans="1:11" x14ac:dyDescent="0.25">
      <c r="A953" s="31">
        <v>43740</v>
      </c>
      <c r="B953" t="s">
        <v>4</v>
      </c>
      <c r="C953">
        <v>9311</v>
      </c>
      <c r="D953" t="s">
        <v>90</v>
      </c>
      <c r="E953" t="s">
        <v>109</v>
      </c>
      <c r="F953">
        <v>1</v>
      </c>
      <c r="G953" t="s">
        <v>46</v>
      </c>
      <c r="H953" t="s">
        <v>110</v>
      </c>
      <c r="I953">
        <v>4</v>
      </c>
      <c r="J953" s="19">
        <f>WEEKNUM(tblRidershipData[[#This Row],[MeasurementDate]])</f>
        <v>40</v>
      </c>
      <c r="K953" s="19">
        <f>MONTH(tblRidershipData[[#This Row],[MeasurementDate]])</f>
        <v>10</v>
      </c>
    </row>
    <row r="954" spans="1:11" x14ac:dyDescent="0.25">
      <c r="A954" s="31">
        <v>43740</v>
      </c>
      <c r="B954" t="s">
        <v>4</v>
      </c>
      <c r="C954">
        <v>9311</v>
      </c>
      <c r="D954" t="s">
        <v>90</v>
      </c>
      <c r="E954" t="s">
        <v>109</v>
      </c>
      <c r="F954">
        <v>1</v>
      </c>
      <c r="G954" t="s">
        <v>55</v>
      </c>
      <c r="H954" t="s">
        <v>110</v>
      </c>
      <c r="I954">
        <v>18</v>
      </c>
      <c r="J954" s="19">
        <f>WEEKNUM(tblRidershipData[[#This Row],[MeasurementDate]])</f>
        <v>40</v>
      </c>
      <c r="K954" s="19">
        <f>MONTH(tblRidershipData[[#This Row],[MeasurementDate]])</f>
        <v>10</v>
      </c>
    </row>
    <row r="955" spans="1:11" x14ac:dyDescent="0.25">
      <c r="A955" s="31">
        <v>43740</v>
      </c>
      <c r="B955" t="s">
        <v>4</v>
      </c>
      <c r="C955">
        <v>9311</v>
      </c>
      <c r="D955" t="s">
        <v>90</v>
      </c>
      <c r="E955" t="s">
        <v>109</v>
      </c>
      <c r="F955">
        <v>1</v>
      </c>
      <c r="G955" t="s">
        <v>56</v>
      </c>
      <c r="H955" t="s">
        <v>110</v>
      </c>
      <c r="I955">
        <v>3</v>
      </c>
      <c r="J955" s="19">
        <f>WEEKNUM(tblRidershipData[[#This Row],[MeasurementDate]])</f>
        <v>40</v>
      </c>
      <c r="K955" s="19">
        <f>MONTH(tblRidershipData[[#This Row],[MeasurementDate]])</f>
        <v>10</v>
      </c>
    </row>
    <row r="956" spans="1:11" x14ac:dyDescent="0.25">
      <c r="A956" s="31">
        <v>43740</v>
      </c>
      <c r="B956" t="s">
        <v>4</v>
      </c>
      <c r="C956">
        <v>9311</v>
      </c>
      <c r="D956" t="s">
        <v>90</v>
      </c>
      <c r="E956" t="s">
        <v>109</v>
      </c>
      <c r="F956">
        <v>1</v>
      </c>
      <c r="G956" t="s">
        <v>70</v>
      </c>
      <c r="H956" t="s">
        <v>110</v>
      </c>
      <c r="I956">
        <v>2</v>
      </c>
      <c r="J956" s="19">
        <f>WEEKNUM(tblRidershipData[[#This Row],[MeasurementDate]])</f>
        <v>40</v>
      </c>
      <c r="K956" s="19">
        <f>MONTH(tblRidershipData[[#This Row],[MeasurementDate]])</f>
        <v>10</v>
      </c>
    </row>
    <row r="957" spans="1:11" x14ac:dyDescent="0.25">
      <c r="A957" s="31">
        <v>43740</v>
      </c>
      <c r="B957" t="s">
        <v>4</v>
      </c>
      <c r="C957">
        <v>9311</v>
      </c>
      <c r="D957" t="s">
        <v>90</v>
      </c>
      <c r="E957" t="s">
        <v>109</v>
      </c>
      <c r="F957">
        <v>2</v>
      </c>
      <c r="G957" t="s">
        <v>43</v>
      </c>
      <c r="H957" t="s">
        <v>110</v>
      </c>
      <c r="I957">
        <v>4</v>
      </c>
      <c r="J957" s="19">
        <f>WEEKNUM(tblRidershipData[[#This Row],[MeasurementDate]])</f>
        <v>40</v>
      </c>
      <c r="K957" s="19">
        <f>MONTH(tblRidershipData[[#This Row],[MeasurementDate]])</f>
        <v>10</v>
      </c>
    </row>
    <row r="958" spans="1:11" x14ac:dyDescent="0.25">
      <c r="A958" s="31">
        <v>43740</v>
      </c>
      <c r="B958" t="s">
        <v>4</v>
      </c>
      <c r="C958">
        <v>9311</v>
      </c>
      <c r="D958" t="s">
        <v>90</v>
      </c>
      <c r="E958" t="s">
        <v>109</v>
      </c>
      <c r="F958">
        <v>2</v>
      </c>
      <c r="G958" t="s">
        <v>44</v>
      </c>
      <c r="H958" t="s">
        <v>110</v>
      </c>
      <c r="I958">
        <v>1</v>
      </c>
      <c r="J958" s="19">
        <f>WEEKNUM(tblRidershipData[[#This Row],[MeasurementDate]])</f>
        <v>40</v>
      </c>
      <c r="K958" s="19">
        <f>MONTH(tblRidershipData[[#This Row],[MeasurementDate]])</f>
        <v>10</v>
      </c>
    </row>
    <row r="959" spans="1:11" x14ac:dyDescent="0.25">
      <c r="A959" s="31">
        <v>43740</v>
      </c>
      <c r="B959" t="s">
        <v>4</v>
      </c>
      <c r="C959">
        <v>9311</v>
      </c>
      <c r="D959" t="s">
        <v>90</v>
      </c>
      <c r="E959" t="s">
        <v>109</v>
      </c>
      <c r="F959">
        <v>2</v>
      </c>
      <c r="G959" t="s">
        <v>55</v>
      </c>
      <c r="H959" t="s">
        <v>110</v>
      </c>
      <c r="I959">
        <v>2</v>
      </c>
      <c r="J959" s="19">
        <f>WEEKNUM(tblRidershipData[[#This Row],[MeasurementDate]])</f>
        <v>40</v>
      </c>
      <c r="K959" s="19">
        <f>MONTH(tblRidershipData[[#This Row],[MeasurementDate]])</f>
        <v>10</v>
      </c>
    </row>
    <row r="960" spans="1:11" x14ac:dyDescent="0.25">
      <c r="A960" s="31">
        <v>43740</v>
      </c>
      <c r="B960" t="s">
        <v>4</v>
      </c>
      <c r="C960">
        <v>9311</v>
      </c>
      <c r="D960" t="s">
        <v>90</v>
      </c>
      <c r="E960" t="s">
        <v>109</v>
      </c>
      <c r="F960">
        <v>2</v>
      </c>
      <c r="G960" t="s">
        <v>66</v>
      </c>
      <c r="H960" t="s">
        <v>110</v>
      </c>
      <c r="I960">
        <v>2</v>
      </c>
      <c r="J960" s="19">
        <f>WEEKNUM(tblRidershipData[[#This Row],[MeasurementDate]])</f>
        <v>40</v>
      </c>
      <c r="K960" s="19">
        <f>MONTH(tblRidershipData[[#This Row],[MeasurementDate]])</f>
        <v>10</v>
      </c>
    </row>
    <row r="961" spans="1:11" x14ac:dyDescent="0.25">
      <c r="A961" s="31">
        <v>43740</v>
      </c>
      <c r="B961" t="s">
        <v>4</v>
      </c>
      <c r="C961">
        <v>9311</v>
      </c>
      <c r="D961" t="s">
        <v>90</v>
      </c>
      <c r="E961" t="s">
        <v>109</v>
      </c>
      <c r="F961">
        <v>2</v>
      </c>
      <c r="G961" t="s">
        <v>70</v>
      </c>
      <c r="H961" t="s">
        <v>110</v>
      </c>
      <c r="I961">
        <v>1</v>
      </c>
      <c r="J961" s="19">
        <f>WEEKNUM(tblRidershipData[[#This Row],[MeasurementDate]])</f>
        <v>40</v>
      </c>
      <c r="K961" s="19">
        <f>MONTH(tblRidershipData[[#This Row],[MeasurementDate]])</f>
        <v>10</v>
      </c>
    </row>
    <row r="962" spans="1:11" x14ac:dyDescent="0.25">
      <c r="A962" s="31">
        <v>43740</v>
      </c>
      <c r="B962" t="s">
        <v>4</v>
      </c>
      <c r="C962">
        <v>9311</v>
      </c>
      <c r="D962" t="s">
        <v>90</v>
      </c>
      <c r="E962" t="s">
        <v>109</v>
      </c>
      <c r="F962">
        <v>2</v>
      </c>
      <c r="G962" t="s">
        <v>71</v>
      </c>
      <c r="H962" t="s">
        <v>110</v>
      </c>
      <c r="I962">
        <v>3</v>
      </c>
      <c r="J962" s="19">
        <f>WEEKNUM(tblRidershipData[[#This Row],[MeasurementDate]])</f>
        <v>40</v>
      </c>
      <c r="K962" s="19">
        <f>MONTH(tblRidershipData[[#This Row],[MeasurementDate]])</f>
        <v>10</v>
      </c>
    </row>
    <row r="963" spans="1:11" x14ac:dyDescent="0.25">
      <c r="A963" s="31">
        <v>43740</v>
      </c>
      <c r="B963" t="s">
        <v>4</v>
      </c>
      <c r="C963">
        <v>9313</v>
      </c>
      <c r="D963" t="s">
        <v>89</v>
      </c>
      <c r="E963" t="s">
        <v>111</v>
      </c>
      <c r="F963">
        <v>1</v>
      </c>
      <c r="G963" t="s">
        <v>45</v>
      </c>
      <c r="H963" t="s">
        <v>110</v>
      </c>
      <c r="I963">
        <v>2</v>
      </c>
      <c r="J963" s="19">
        <f>WEEKNUM(tblRidershipData[[#This Row],[MeasurementDate]])</f>
        <v>40</v>
      </c>
      <c r="K963" s="19">
        <f>MONTH(tblRidershipData[[#This Row],[MeasurementDate]])</f>
        <v>10</v>
      </c>
    </row>
    <row r="964" spans="1:11" x14ac:dyDescent="0.25">
      <c r="A964" s="31">
        <v>43740</v>
      </c>
      <c r="B964" t="s">
        <v>4</v>
      </c>
      <c r="C964">
        <v>9313</v>
      </c>
      <c r="D964" t="s">
        <v>89</v>
      </c>
      <c r="E964" t="s">
        <v>111</v>
      </c>
      <c r="F964">
        <v>1</v>
      </c>
      <c r="G964" t="s">
        <v>47</v>
      </c>
      <c r="H964" t="s">
        <v>110</v>
      </c>
      <c r="I964">
        <v>5</v>
      </c>
      <c r="J964" s="19">
        <f>WEEKNUM(tblRidershipData[[#This Row],[MeasurementDate]])</f>
        <v>40</v>
      </c>
      <c r="K964" s="19">
        <f>MONTH(tblRidershipData[[#This Row],[MeasurementDate]])</f>
        <v>10</v>
      </c>
    </row>
    <row r="965" spans="1:11" x14ac:dyDescent="0.25">
      <c r="A965" s="31">
        <v>43740</v>
      </c>
      <c r="B965" t="s">
        <v>4</v>
      </c>
      <c r="C965">
        <v>9313</v>
      </c>
      <c r="D965" t="s">
        <v>89</v>
      </c>
      <c r="E965" t="s">
        <v>111</v>
      </c>
      <c r="F965">
        <v>1</v>
      </c>
      <c r="G965" t="s">
        <v>48</v>
      </c>
      <c r="H965" t="s">
        <v>110</v>
      </c>
      <c r="I965">
        <v>2</v>
      </c>
      <c r="J965" s="19">
        <f>WEEKNUM(tblRidershipData[[#This Row],[MeasurementDate]])</f>
        <v>40</v>
      </c>
      <c r="K965" s="19">
        <f>MONTH(tblRidershipData[[#This Row],[MeasurementDate]])</f>
        <v>10</v>
      </c>
    </row>
    <row r="966" spans="1:11" x14ac:dyDescent="0.25">
      <c r="A966" s="31">
        <v>43740</v>
      </c>
      <c r="B966" t="s">
        <v>4</v>
      </c>
      <c r="C966">
        <v>9313</v>
      </c>
      <c r="D966" t="s">
        <v>89</v>
      </c>
      <c r="E966" t="s">
        <v>111</v>
      </c>
      <c r="F966">
        <v>1</v>
      </c>
      <c r="G966" t="s">
        <v>50</v>
      </c>
      <c r="H966" t="s">
        <v>110</v>
      </c>
      <c r="I966">
        <v>8</v>
      </c>
      <c r="J966" s="19">
        <f>WEEKNUM(tblRidershipData[[#This Row],[MeasurementDate]])</f>
        <v>40</v>
      </c>
      <c r="K966" s="19">
        <f>MONTH(tblRidershipData[[#This Row],[MeasurementDate]])</f>
        <v>10</v>
      </c>
    </row>
    <row r="967" spans="1:11" x14ac:dyDescent="0.25">
      <c r="A967" s="31">
        <v>43740</v>
      </c>
      <c r="B967" t="s">
        <v>4</v>
      </c>
      <c r="C967">
        <v>9313</v>
      </c>
      <c r="D967" t="s">
        <v>89</v>
      </c>
      <c r="E967" t="s">
        <v>111</v>
      </c>
      <c r="F967">
        <v>1</v>
      </c>
      <c r="G967" t="s">
        <v>55</v>
      </c>
      <c r="H967" t="s">
        <v>110</v>
      </c>
      <c r="I967">
        <v>1</v>
      </c>
      <c r="J967" s="19">
        <f>WEEKNUM(tblRidershipData[[#This Row],[MeasurementDate]])</f>
        <v>40</v>
      </c>
      <c r="K967" s="19">
        <f>MONTH(tblRidershipData[[#This Row],[MeasurementDate]])</f>
        <v>10</v>
      </c>
    </row>
    <row r="968" spans="1:11" x14ac:dyDescent="0.25">
      <c r="A968" s="31">
        <v>43740</v>
      </c>
      <c r="B968" t="s">
        <v>4</v>
      </c>
      <c r="C968">
        <v>9313</v>
      </c>
      <c r="D968" t="s">
        <v>89</v>
      </c>
      <c r="E968" t="s">
        <v>111</v>
      </c>
      <c r="F968">
        <v>1</v>
      </c>
      <c r="G968" t="s">
        <v>58</v>
      </c>
      <c r="H968" t="s">
        <v>110</v>
      </c>
      <c r="I968">
        <v>2</v>
      </c>
      <c r="J968" s="19">
        <f>WEEKNUM(tblRidershipData[[#This Row],[MeasurementDate]])</f>
        <v>40</v>
      </c>
      <c r="K968" s="19">
        <f>MONTH(tblRidershipData[[#This Row],[MeasurementDate]])</f>
        <v>10</v>
      </c>
    </row>
    <row r="969" spans="1:11" x14ac:dyDescent="0.25">
      <c r="A969" s="31">
        <v>43740</v>
      </c>
      <c r="B969" t="s">
        <v>4</v>
      </c>
      <c r="C969">
        <v>9313</v>
      </c>
      <c r="D969" t="s">
        <v>89</v>
      </c>
      <c r="E969" t="s">
        <v>111</v>
      </c>
      <c r="F969">
        <v>1</v>
      </c>
      <c r="G969" t="s">
        <v>69</v>
      </c>
      <c r="H969" t="s">
        <v>110</v>
      </c>
      <c r="I969">
        <v>1</v>
      </c>
      <c r="J969" s="19">
        <f>WEEKNUM(tblRidershipData[[#This Row],[MeasurementDate]])</f>
        <v>40</v>
      </c>
      <c r="K969" s="19">
        <f>MONTH(tblRidershipData[[#This Row],[MeasurementDate]])</f>
        <v>10</v>
      </c>
    </row>
    <row r="970" spans="1:11" x14ac:dyDescent="0.25">
      <c r="A970" s="31">
        <v>43740</v>
      </c>
      <c r="B970" t="s">
        <v>4</v>
      </c>
      <c r="C970">
        <v>9313</v>
      </c>
      <c r="D970" t="s">
        <v>89</v>
      </c>
      <c r="E970" t="s">
        <v>111</v>
      </c>
      <c r="F970">
        <v>1</v>
      </c>
      <c r="G970" t="s">
        <v>70</v>
      </c>
      <c r="H970" t="s">
        <v>110</v>
      </c>
      <c r="I970">
        <v>1</v>
      </c>
      <c r="J970" s="19">
        <f>WEEKNUM(tblRidershipData[[#This Row],[MeasurementDate]])</f>
        <v>40</v>
      </c>
      <c r="K970" s="19">
        <f>MONTH(tblRidershipData[[#This Row],[MeasurementDate]])</f>
        <v>10</v>
      </c>
    </row>
    <row r="971" spans="1:11" x14ac:dyDescent="0.25">
      <c r="A971" s="31">
        <v>43740</v>
      </c>
      <c r="B971" t="s">
        <v>4</v>
      </c>
      <c r="C971">
        <v>9313</v>
      </c>
      <c r="D971" t="s">
        <v>89</v>
      </c>
      <c r="E971" t="s">
        <v>111</v>
      </c>
      <c r="F971">
        <v>1</v>
      </c>
      <c r="G971" t="s">
        <v>72</v>
      </c>
      <c r="H971" t="s">
        <v>110</v>
      </c>
      <c r="I971">
        <v>3</v>
      </c>
      <c r="J971" s="19">
        <f>WEEKNUM(tblRidershipData[[#This Row],[MeasurementDate]])</f>
        <v>40</v>
      </c>
      <c r="K971" s="19">
        <f>MONTH(tblRidershipData[[#This Row],[MeasurementDate]])</f>
        <v>10</v>
      </c>
    </row>
    <row r="972" spans="1:11" x14ac:dyDescent="0.25">
      <c r="A972" s="31">
        <v>43740</v>
      </c>
      <c r="B972" t="s">
        <v>4</v>
      </c>
      <c r="C972">
        <v>9313</v>
      </c>
      <c r="D972" t="s">
        <v>89</v>
      </c>
      <c r="E972" t="s">
        <v>111</v>
      </c>
      <c r="F972">
        <v>1</v>
      </c>
      <c r="G972" t="s">
        <v>73</v>
      </c>
      <c r="H972" t="s">
        <v>110</v>
      </c>
      <c r="I972">
        <v>1</v>
      </c>
      <c r="J972" s="19">
        <f>WEEKNUM(tblRidershipData[[#This Row],[MeasurementDate]])</f>
        <v>40</v>
      </c>
      <c r="K972" s="19">
        <f>MONTH(tblRidershipData[[#This Row],[MeasurementDate]])</f>
        <v>10</v>
      </c>
    </row>
    <row r="973" spans="1:11" x14ac:dyDescent="0.25">
      <c r="A973" s="31">
        <v>43740</v>
      </c>
      <c r="B973" t="s">
        <v>4</v>
      </c>
      <c r="C973">
        <v>9313</v>
      </c>
      <c r="D973" t="s">
        <v>89</v>
      </c>
      <c r="E973" t="s">
        <v>111</v>
      </c>
      <c r="F973">
        <v>1</v>
      </c>
      <c r="G973" t="s">
        <v>77</v>
      </c>
      <c r="H973" t="s">
        <v>110</v>
      </c>
      <c r="I973">
        <v>2</v>
      </c>
      <c r="J973" s="19">
        <f>WEEKNUM(tblRidershipData[[#This Row],[MeasurementDate]])</f>
        <v>40</v>
      </c>
      <c r="K973" s="19">
        <f>MONTH(tblRidershipData[[#This Row],[MeasurementDate]])</f>
        <v>10</v>
      </c>
    </row>
    <row r="974" spans="1:11" x14ac:dyDescent="0.25">
      <c r="A974" s="31">
        <v>43740</v>
      </c>
      <c r="B974" t="s">
        <v>4</v>
      </c>
      <c r="C974">
        <v>9313</v>
      </c>
      <c r="D974" t="s">
        <v>89</v>
      </c>
      <c r="E974" t="s">
        <v>109</v>
      </c>
      <c r="F974">
        <v>1</v>
      </c>
      <c r="G974" t="s">
        <v>52</v>
      </c>
      <c r="H974" t="s">
        <v>110</v>
      </c>
      <c r="I974">
        <v>65</v>
      </c>
      <c r="J974" s="19">
        <f>WEEKNUM(tblRidershipData[[#This Row],[MeasurementDate]])</f>
        <v>40</v>
      </c>
      <c r="K974" s="19">
        <f>MONTH(tblRidershipData[[#This Row],[MeasurementDate]])</f>
        <v>10</v>
      </c>
    </row>
    <row r="975" spans="1:11" x14ac:dyDescent="0.25">
      <c r="A975" s="31">
        <v>43740</v>
      </c>
      <c r="B975" t="s">
        <v>4</v>
      </c>
      <c r="C975">
        <v>9318</v>
      </c>
      <c r="D975" t="s">
        <v>86</v>
      </c>
      <c r="E975" t="s">
        <v>111</v>
      </c>
      <c r="F975">
        <v>1</v>
      </c>
      <c r="G975" t="s">
        <v>43</v>
      </c>
      <c r="H975" t="s">
        <v>110</v>
      </c>
      <c r="I975">
        <v>6</v>
      </c>
      <c r="J975" s="19">
        <f>WEEKNUM(tblRidershipData[[#This Row],[MeasurementDate]])</f>
        <v>40</v>
      </c>
      <c r="K975" s="19">
        <f>MONTH(tblRidershipData[[#This Row],[MeasurementDate]])</f>
        <v>10</v>
      </c>
    </row>
    <row r="976" spans="1:11" x14ac:dyDescent="0.25">
      <c r="A976" s="31">
        <v>43740</v>
      </c>
      <c r="B976" t="s">
        <v>4</v>
      </c>
      <c r="C976">
        <v>9318</v>
      </c>
      <c r="D976" t="s">
        <v>86</v>
      </c>
      <c r="E976" t="s">
        <v>111</v>
      </c>
      <c r="F976">
        <v>1</v>
      </c>
      <c r="G976" t="s">
        <v>54</v>
      </c>
      <c r="H976" t="s">
        <v>110</v>
      </c>
      <c r="I976">
        <v>1</v>
      </c>
      <c r="J976" s="19">
        <f>WEEKNUM(tblRidershipData[[#This Row],[MeasurementDate]])</f>
        <v>40</v>
      </c>
      <c r="K976" s="19">
        <f>MONTH(tblRidershipData[[#This Row],[MeasurementDate]])</f>
        <v>10</v>
      </c>
    </row>
    <row r="977" spans="1:11" x14ac:dyDescent="0.25">
      <c r="A977" s="31">
        <v>43740</v>
      </c>
      <c r="B977" t="s">
        <v>4</v>
      </c>
      <c r="C977">
        <v>9318</v>
      </c>
      <c r="D977" t="s">
        <v>86</v>
      </c>
      <c r="E977" t="s">
        <v>111</v>
      </c>
      <c r="F977">
        <v>1</v>
      </c>
      <c r="G977" t="s">
        <v>66</v>
      </c>
      <c r="H977" t="s">
        <v>110</v>
      </c>
      <c r="I977">
        <v>3</v>
      </c>
      <c r="J977" s="19">
        <f>WEEKNUM(tblRidershipData[[#This Row],[MeasurementDate]])</f>
        <v>40</v>
      </c>
      <c r="K977" s="19">
        <f>MONTH(tblRidershipData[[#This Row],[MeasurementDate]])</f>
        <v>10</v>
      </c>
    </row>
    <row r="978" spans="1:11" x14ac:dyDescent="0.25">
      <c r="A978" s="31">
        <v>43740</v>
      </c>
      <c r="B978" t="s">
        <v>4</v>
      </c>
      <c r="C978">
        <v>9318</v>
      </c>
      <c r="D978" t="s">
        <v>86</v>
      </c>
      <c r="E978" t="s">
        <v>111</v>
      </c>
      <c r="F978">
        <v>1</v>
      </c>
      <c r="G978" t="s">
        <v>69</v>
      </c>
      <c r="H978" t="s">
        <v>110</v>
      </c>
      <c r="I978">
        <v>8</v>
      </c>
      <c r="J978" s="19">
        <f>WEEKNUM(tblRidershipData[[#This Row],[MeasurementDate]])</f>
        <v>40</v>
      </c>
      <c r="K978" s="19">
        <f>MONTH(tblRidershipData[[#This Row],[MeasurementDate]])</f>
        <v>10</v>
      </c>
    </row>
    <row r="979" spans="1:11" x14ac:dyDescent="0.25">
      <c r="A979" s="31">
        <v>43740</v>
      </c>
      <c r="B979" t="s">
        <v>4</v>
      </c>
      <c r="C979">
        <v>9318</v>
      </c>
      <c r="D979" t="s">
        <v>86</v>
      </c>
      <c r="E979" t="s">
        <v>111</v>
      </c>
      <c r="F979">
        <v>1</v>
      </c>
      <c r="G979" t="s">
        <v>70</v>
      </c>
      <c r="H979" t="s">
        <v>110</v>
      </c>
      <c r="I979">
        <v>2</v>
      </c>
      <c r="J979" s="19">
        <f>WEEKNUM(tblRidershipData[[#This Row],[MeasurementDate]])</f>
        <v>40</v>
      </c>
      <c r="K979" s="19">
        <f>MONTH(tblRidershipData[[#This Row],[MeasurementDate]])</f>
        <v>10</v>
      </c>
    </row>
    <row r="980" spans="1:11" x14ac:dyDescent="0.25">
      <c r="A980" s="31">
        <v>43740</v>
      </c>
      <c r="B980" t="s">
        <v>4</v>
      </c>
      <c r="C980">
        <v>9318</v>
      </c>
      <c r="D980" t="s">
        <v>86</v>
      </c>
      <c r="E980" t="s">
        <v>111</v>
      </c>
      <c r="F980">
        <v>1</v>
      </c>
      <c r="G980" t="s">
        <v>71</v>
      </c>
      <c r="H980" t="s">
        <v>110</v>
      </c>
      <c r="I980">
        <v>4</v>
      </c>
      <c r="J980" s="19">
        <f>WEEKNUM(tblRidershipData[[#This Row],[MeasurementDate]])</f>
        <v>40</v>
      </c>
      <c r="K980" s="19">
        <f>MONTH(tblRidershipData[[#This Row],[MeasurementDate]])</f>
        <v>10</v>
      </c>
    </row>
    <row r="981" spans="1:11" x14ac:dyDescent="0.25">
      <c r="A981" s="31">
        <v>43740</v>
      </c>
      <c r="B981" t="s">
        <v>4</v>
      </c>
      <c r="C981">
        <v>9318</v>
      </c>
      <c r="D981" t="s">
        <v>86</v>
      </c>
      <c r="E981" t="s">
        <v>109</v>
      </c>
      <c r="F981">
        <v>1</v>
      </c>
      <c r="G981" t="s">
        <v>61</v>
      </c>
      <c r="H981" t="s">
        <v>110</v>
      </c>
      <c r="I981">
        <v>21</v>
      </c>
      <c r="J981" s="19">
        <f>WEEKNUM(tblRidershipData[[#This Row],[MeasurementDate]])</f>
        <v>40</v>
      </c>
      <c r="K981" s="19">
        <f>MONTH(tblRidershipData[[#This Row],[MeasurementDate]])</f>
        <v>10</v>
      </c>
    </row>
    <row r="982" spans="1:11" x14ac:dyDescent="0.25">
      <c r="A982" s="31">
        <v>43740</v>
      </c>
      <c r="B982" t="s">
        <v>4</v>
      </c>
      <c r="C982">
        <v>9318</v>
      </c>
      <c r="D982" t="s">
        <v>86</v>
      </c>
      <c r="E982" t="s">
        <v>109</v>
      </c>
      <c r="F982">
        <v>1</v>
      </c>
      <c r="G982" t="s">
        <v>68</v>
      </c>
      <c r="H982" t="s">
        <v>110</v>
      </c>
      <c r="I982">
        <v>5</v>
      </c>
      <c r="J982" s="19">
        <f>WEEKNUM(tblRidershipData[[#This Row],[MeasurementDate]])</f>
        <v>40</v>
      </c>
      <c r="K982" s="19">
        <f>MONTH(tblRidershipData[[#This Row],[MeasurementDate]])</f>
        <v>10</v>
      </c>
    </row>
    <row r="983" spans="1:11" x14ac:dyDescent="0.25">
      <c r="A983" s="31">
        <v>43740</v>
      </c>
      <c r="B983" t="s">
        <v>4</v>
      </c>
      <c r="C983">
        <v>9318</v>
      </c>
      <c r="D983" t="s">
        <v>86</v>
      </c>
      <c r="E983" t="s">
        <v>109</v>
      </c>
      <c r="F983">
        <v>1</v>
      </c>
      <c r="G983" t="s">
        <v>73</v>
      </c>
      <c r="H983" t="s">
        <v>110</v>
      </c>
      <c r="I983">
        <v>16</v>
      </c>
      <c r="J983" s="19">
        <f>WEEKNUM(tblRidershipData[[#This Row],[MeasurementDate]])</f>
        <v>40</v>
      </c>
      <c r="K983" s="19">
        <f>MONTH(tblRidershipData[[#This Row],[MeasurementDate]])</f>
        <v>10</v>
      </c>
    </row>
    <row r="984" spans="1:11" x14ac:dyDescent="0.25">
      <c r="A984" s="31">
        <v>43740</v>
      </c>
      <c r="B984" t="s">
        <v>4</v>
      </c>
      <c r="C984">
        <v>9318</v>
      </c>
      <c r="D984" t="s">
        <v>86</v>
      </c>
      <c r="E984" t="s">
        <v>111</v>
      </c>
      <c r="F984">
        <v>1</v>
      </c>
      <c r="G984" t="s">
        <v>54</v>
      </c>
      <c r="H984" t="s">
        <v>110</v>
      </c>
      <c r="I984">
        <v>8</v>
      </c>
      <c r="J984" s="19">
        <f>WEEKNUM(tblRidershipData[[#This Row],[MeasurementDate]])</f>
        <v>40</v>
      </c>
      <c r="K984" s="19">
        <f>MONTH(tblRidershipData[[#This Row],[MeasurementDate]])</f>
        <v>10</v>
      </c>
    </row>
    <row r="985" spans="1:11" x14ac:dyDescent="0.25">
      <c r="A985" s="31">
        <v>43740</v>
      </c>
      <c r="B985" t="s">
        <v>4</v>
      </c>
      <c r="C985">
        <v>9318</v>
      </c>
      <c r="D985" t="s">
        <v>86</v>
      </c>
      <c r="E985" t="s">
        <v>111</v>
      </c>
      <c r="F985">
        <v>1</v>
      </c>
      <c r="G985" t="s">
        <v>61</v>
      </c>
      <c r="H985" t="s">
        <v>110</v>
      </c>
      <c r="I985">
        <v>11</v>
      </c>
      <c r="J985" s="19">
        <f>WEEKNUM(tblRidershipData[[#This Row],[MeasurementDate]])</f>
        <v>40</v>
      </c>
      <c r="K985" s="19">
        <f>MONTH(tblRidershipData[[#This Row],[MeasurementDate]])</f>
        <v>10</v>
      </c>
    </row>
    <row r="986" spans="1:11" x14ac:dyDescent="0.25">
      <c r="A986" s="31">
        <v>43740</v>
      </c>
      <c r="B986" t="s">
        <v>4</v>
      </c>
      <c r="C986">
        <v>9318</v>
      </c>
      <c r="D986" t="s">
        <v>86</v>
      </c>
      <c r="E986" t="s">
        <v>111</v>
      </c>
      <c r="F986">
        <v>1</v>
      </c>
      <c r="G986" t="s">
        <v>64</v>
      </c>
      <c r="H986" t="s">
        <v>110</v>
      </c>
      <c r="I986">
        <v>1</v>
      </c>
      <c r="J986" s="19">
        <f>WEEKNUM(tblRidershipData[[#This Row],[MeasurementDate]])</f>
        <v>40</v>
      </c>
      <c r="K986" s="19">
        <f>MONTH(tblRidershipData[[#This Row],[MeasurementDate]])</f>
        <v>10</v>
      </c>
    </row>
    <row r="987" spans="1:11" x14ac:dyDescent="0.25">
      <c r="A987" s="31">
        <v>43740</v>
      </c>
      <c r="B987" t="s">
        <v>4</v>
      </c>
      <c r="C987">
        <v>9318</v>
      </c>
      <c r="D987" t="s">
        <v>86</v>
      </c>
      <c r="E987" t="s">
        <v>111</v>
      </c>
      <c r="F987">
        <v>1</v>
      </c>
      <c r="G987" t="s">
        <v>70</v>
      </c>
      <c r="H987" t="s">
        <v>110</v>
      </c>
      <c r="I987">
        <v>4</v>
      </c>
      <c r="J987" s="19">
        <f>WEEKNUM(tblRidershipData[[#This Row],[MeasurementDate]])</f>
        <v>40</v>
      </c>
      <c r="K987" s="19">
        <f>MONTH(tblRidershipData[[#This Row],[MeasurementDate]])</f>
        <v>10</v>
      </c>
    </row>
    <row r="988" spans="1:11" x14ac:dyDescent="0.25">
      <c r="A988" s="31">
        <v>43740</v>
      </c>
      <c r="B988" t="s">
        <v>4</v>
      </c>
      <c r="C988" s="31">
        <v>43740</v>
      </c>
      <c r="D988" t="s">
        <v>86</v>
      </c>
      <c r="E988" t="s">
        <v>109</v>
      </c>
      <c r="F988">
        <v>2</v>
      </c>
      <c r="G988" t="s">
        <v>43</v>
      </c>
      <c r="H988" t="s">
        <v>112</v>
      </c>
      <c r="I988">
        <v>5</v>
      </c>
      <c r="J988" s="19">
        <f>WEEKNUM(tblRidershipData[[#This Row],[MeasurementDate]])</f>
        <v>40</v>
      </c>
      <c r="K988" s="19">
        <f>MONTH(tblRidershipData[[#This Row],[MeasurementDate]])</f>
        <v>10</v>
      </c>
    </row>
    <row r="989" spans="1:11" x14ac:dyDescent="0.25">
      <c r="A989" s="31">
        <v>43740</v>
      </c>
      <c r="B989" t="s">
        <v>4</v>
      </c>
      <c r="C989" s="31">
        <v>43740</v>
      </c>
      <c r="D989" t="s">
        <v>86</v>
      </c>
      <c r="E989" t="s">
        <v>109</v>
      </c>
      <c r="F989">
        <v>2</v>
      </c>
      <c r="G989" t="s">
        <v>45</v>
      </c>
      <c r="H989" t="s">
        <v>112</v>
      </c>
      <c r="I989">
        <v>1</v>
      </c>
      <c r="J989" s="19">
        <f>WEEKNUM(tblRidershipData[[#This Row],[MeasurementDate]])</f>
        <v>40</v>
      </c>
      <c r="K989" s="19">
        <f>MONTH(tblRidershipData[[#This Row],[MeasurementDate]])</f>
        <v>10</v>
      </c>
    </row>
    <row r="990" spans="1:11" x14ac:dyDescent="0.25">
      <c r="A990" s="31">
        <v>43740</v>
      </c>
      <c r="B990" t="s">
        <v>4</v>
      </c>
      <c r="C990" s="31">
        <v>43740</v>
      </c>
      <c r="D990" t="s">
        <v>86</v>
      </c>
      <c r="E990" t="s">
        <v>109</v>
      </c>
      <c r="F990">
        <v>2</v>
      </c>
      <c r="G990" t="s">
        <v>54</v>
      </c>
      <c r="H990" t="s">
        <v>112</v>
      </c>
      <c r="I990">
        <v>6</v>
      </c>
      <c r="J990" s="19">
        <f>WEEKNUM(tblRidershipData[[#This Row],[MeasurementDate]])</f>
        <v>40</v>
      </c>
      <c r="K990" s="19">
        <f>MONTH(tblRidershipData[[#This Row],[MeasurementDate]])</f>
        <v>10</v>
      </c>
    </row>
    <row r="991" spans="1:11" x14ac:dyDescent="0.25">
      <c r="A991" s="31">
        <v>43740</v>
      </c>
      <c r="B991" t="s">
        <v>4</v>
      </c>
      <c r="C991" s="31">
        <v>43740</v>
      </c>
      <c r="D991" t="s">
        <v>86</v>
      </c>
      <c r="E991" t="s">
        <v>109</v>
      </c>
      <c r="F991">
        <v>2</v>
      </c>
      <c r="G991" t="s">
        <v>57</v>
      </c>
      <c r="H991" t="s">
        <v>112</v>
      </c>
      <c r="I991">
        <v>2</v>
      </c>
      <c r="J991" s="19">
        <f>WEEKNUM(tblRidershipData[[#This Row],[MeasurementDate]])</f>
        <v>40</v>
      </c>
      <c r="K991" s="19">
        <f>MONTH(tblRidershipData[[#This Row],[MeasurementDate]])</f>
        <v>10</v>
      </c>
    </row>
    <row r="992" spans="1:11" x14ac:dyDescent="0.25">
      <c r="A992" s="31">
        <v>43740</v>
      </c>
      <c r="B992" t="s">
        <v>4</v>
      </c>
      <c r="C992" s="31">
        <v>43740</v>
      </c>
      <c r="D992" t="s">
        <v>86</v>
      </c>
      <c r="E992" t="s">
        <v>109</v>
      </c>
      <c r="F992">
        <v>2</v>
      </c>
      <c r="G992" t="s">
        <v>59</v>
      </c>
      <c r="H992" t="s">
        <v>112</v>
      </c>
      <c r="I992">
        <v>10</v>
      </c>
      <c r="J992" s="19">
        <f>WEEKNUM(tblRidershipData[[#This Row],[MeasurementDate]])</f>
        <v>40</v>
      </c>
      <c r="K992" s="19">
        <f>MONTH(tblRidershipData[[#This Row],[MeasurementDate]])</f>
        <v>10</v>
      </c>
    </row>
    <row r="993" spans="1:11" x14ac:dyDescent="0.25">
      <c r="A993" s="31">
        <v>43740</v>
      </c>
      <c r="B993" t="s">
        <v>4</v>
      </c>
      <c r="C993" s="31">
        <v>43740</v>
      </c>
      <c r="D993" t="s">
        <v>86</v>
      </c>
      <c r="E993" t="s">
        <v>109</v>
      </c>
      <c r="F993">
        <v>2</v>
      </c>
      <c r="G993" t="s">
        <v>60</v>
      </c>
      <c r="H993" t="s">
        <v>112</v>
      </c>
      <c r="I993">
        <v>1</v>
      </c>
      <c r="J993" s="19">
        <f>WEEKNUM(tblRidershipData[[#This Row],[MeasurementDate]])</f>
        <v>40</v>
      </c>
      <c r="K993" s="19">
        <f>MONTH(tblRidershipData[[#This Row],[MeasurementDate]])</f>
        <v>10</v>
      </c>
    </row>
    <row r="994" spans="1:11" x14ac:dyDescent="0.25">
      <c r="A994" s="31">
        <v>43740</v>
      </c>
      <c r="B994" t="s">
        <v>4</v>
      </c>
      <c r="C994" s="31">
        <v>43740</v>
      </c>
      <c r="D994" t="s">
        <v>86</v>
      </c>
      <c r="E994" t="s">
        <v>109</v>
      </c>
      <c r="F994">
        <v>2</v>
      </c>
      <c r="G994" t="s">
        <v>66</v>
      </c>
      <c r="H994" t="s">
        <v>112</v>
      </c>
      <c r="I994">
        <v>2</v>
      </c>
      <c r="J994" s="19">
        <f>WEEKNUM(tblRidershipData[[#This Row],[MeasurementDate]])</f>
        <v>40</v>
      </c>
      <c r="K994" s="19">
        <f>MONTH(tblRidershipData[[#This Row],[MeasurementDate]])</f>
        <v>10</v>
      </c>
    </row>
    <row r="995" spans="1:11" x14ac:dyDescent="0.25">
      <c r="A995" s="31">
        <v>43740</v>
      </c>
      <c r="B995" t="s">
        <v>4</v>
      </c>
      <c r="C995" s="31">
        <v>43740</v>
      </c>
      <c r="D995" t="s">
        <v>86</v>
      </c>
      <c r="E995" t="s">
        <v>109</v>
      </c>
      <c r="F995">
        <v>2</v>
      </c>
      <c r="G995" t="s">
        <v>69</v>
      </c>
      <c r="H995" t="s">
        <v>112</v>
      </c>
      <c r="I995">
        <v>1</v>
      </c>
      <c r="J995" s="19">
        <f>WEEKNUM(tblRidershipData[[#This Row],[MeasurementDate]])</f>
        <v>40</v>
      </c>
      <c r="K995" s="19">
        <f>MONTH(tblRidershipData[[#This Row],[MeasurementDate]])</f>
        <v>10</v>
      </c>
    </row>
    <row r="996" spans="1:11" x14ac:dyDescent="0.25">
      <c r="A996" s="31">
        <v>43740</v>
      </c>
      <c r="B996" t="s">
        <v>4</v>
      </c>
      <c r="C996" s="31">
        <v>43740</v>
      </c>
      <c r="D996" t="s">
        <v>86</v>
      </c>
      <c r="E996" t="s">
        <v>109</v>
      </c>
      <c r="F996">
        <v>2</v>
      </c>
      <c r="G996" t="s">
        <v>71</v>
      </c>
      <c r="H996" t="s">
        <v>112</v>
      </c>
      <c r="I996">
        <v>5</v>
      </c>
      <c r="J996" s="19">
        <f>WEEKNUM(tblRidershipData[[#This Row],[MeasurementDate]])</f>
        <v>40</v>
      </c>
      <c r="K996" s="19">
        <f>MONTH(tblRidershipData[[#This Row],[MeasurementDate]])</f>
        <v>10</v>
      </c>
    </row>
    <row r="997" spans="1:11" x14ac:dyDescent="0.25">
      <c r="A997" s="31">
        <v>43740</v>
      </c>
      <c r="B997" t="s">
        <v>4</v>
      </c>
      <c r="C997" s="31">
        <v>43740</v>
      </c>
      <c r="D997" t="s">
        <v>86</v>
      </c>
      <c r="E997" t="s">
        <v>109</v>
      </c>
      <c r="F997">
        <v>2</v>
      </c>
      <c r="G997" t="s">
        <v>73</v>
      </c>
      <c r="H997" t="s">
        <v>112</v>
      </c>
      <c r="I997">
        <v>6</v>
      </c>
      <c r="J997" s="19">
        <f>WEEKNUM(tblRidershipData[[#This Row],[MeasurementDate]])</f>
        <v>40</v>
      </c>
      <c r="K997" s="19">
        <f>MONTH(tblRidershipData[[#This Row],[MeasurementDate]])</f>
        <v>10</v>
      </c>
    </row>
    <row r="998" spans="1:11" x14ac:dyDescent="0.25">
      <c r="A998" s="31">
        <v>43740</v>
      </c>
      <c r="B998" t="s">
        <v>4</v>
      </c>
      <c r="C998" s="31">
        <v>43740</v>
      </c>
      <c r="D998" t="s">
        <v>86</v>
      </c>
      <c r="E998" t="s">
        <v>109</v>
      </c>
      <c r="F998">
        <v>2</v>
      </c>
      <c r="G998" t="s">
        <v>76</v>
      </c>
      <c r="H998" t="s">
        <v>112</v>
      </c>
      <c r="I998">
        <v>3</v>
      </c>
      <c r="J998" s="19">
        <f>WEEKNUM(tblRidershipData[[#This Row],[MeasurementDate]])</f>
        <v>40</v>
      </c>
      <c r="K998" s="19">
        <f>MONTH(tblRidershipData[[#This Row],[MeasurementDate]])</f>
        <v>10</v>
      </c>
    </row>
    <row r="999" spans="1:11" x14ac:dyDescent="0.25">
      <c r="A999" s="31">
        <v>43740</v>
      </c>
      <c r="B999" t="s">
        <v>4</v>
      </c>
      <c r="C999" s="31">
        <v>1027</v>
      </c>
      <c r="D999" t="s">
        <v>91</v>
      </c>
      <c r="E999" t="s">
        <v>111</v>
      </c>
      <c r="F999">
        <v>1</v>
      </c>
      <c r="G999" t="s">
        <v>52</v>
      </c>
      <c r="H999" t="s">
        <v>110</v>
      </c>
      <c r="I999">
        <v>12</v>
      </c>
      <c r="J999" s="19">
        <f>WEEKNUM(tblRidershipData[[#This Row],[MeasurementDate]])</f>
        <v>40</v>
      </c>
      <c r="K999" s="19">
        <f>MONTH(tblRidershipData[[#This Row],[MeasurementDate]])</f>
        <v>10</v>
      </c>
    </row>
    <row r="1000" spans="1:11" x14ac:dyDescent="0.25">
      <c r="A1000" s="31">
        <v>43740</v>
      </c>
      <c r="B1000" t="s">
        <v>4</v>
      </c>
      <c r="C1000" s="31">
        <v>1027</v>
      </c>
      <c r="D1000" t="s">
        <v>91</v>
      </c>
      <c r="E1000" t="s">
        <v>111</v>
      </c>
      <c r="F1000">
        <v>1</v>
      </c>
      <c r="G1000" t="s">
        <v>54</v>
      </c>
      <c r="H1000" t="s">
        <v>110</v>
      </c>
      <c r="I1000">
        <v>5</v>
      </c>
      <c r="J1000" s="19">
        <f>WEEKNUM(tblRidershipData[[#This Row],[MeasurementDate]])</f>
        <v>40</v>
      </c>
      <c r="K1000" s="19">
        <f>MONTH(tblRidershipData[[#This Row],[MeasurementDate]])</f>
        <v>10</v>
      </c>
    </row>
    <row r="1001" spans="1:11" x14ac:dyDescent="0.25">
      <c r="A1001" s="31">
        <v>43740</v>
      </c>
      <c r="B1001" t="s">
        <v>4</v>
      </c>
      <c r="C1001" s="31">
        <v>1027</v>
      </c>
      <c r="D1001" t="s">
        <v>91</v>
      </c>
      <c r="E1001" t="s">
        <v>111</v>
      </c>
      <c r="F1001">
        <v>1</v>
      </c>
      <c r="G1001" t="s">
        <v>57</v>
      </c>
      <c r="H1001" t="s">
        <v>110</v>
      </c>
      <c r="I1001">
        <v>3</v>
      </c>
      <c r="J1001" s="19">
        <f>WEEKNUM(tblRidershipData[[#This Row],[MeasurementDate]])</f>
        <v>40</v>
      </c>
      <c r="K1001" s="19">
        <f>MONTH(tblRidershipData[[#This Row],[MeasurementDate]])</f>
        <v>10</v>
      </c>
    </row>
    <row r="1002" spans="1:11" x14ac:dyDescent="0.25">
      <c r="A1002" s="31">
        <v>43740</v>
      </c>
      <c r="B1002" t="s">
        <v>4</v>
      </c>
      <c r="C1002" s="31">
        <v>1027</v>
      </c>
      <c r="D1002" t="s">
        <v>91</v>
      </c>
      <c r="E1002" t="s">
        <v>111</v>
      </c>
      <c r="F1002">
        <v>1</v>
      </c>
      <c r="G1002" t="s">
        <v>67</v>
      </c>
      <c r="H1002" t="s">
        <v>110</v>
      </c>
      <c r="I1002">
        <v>3</v>
      </c>
      <c r="J1002" s="19">
        <f>WEEKNUM(tblRidershipData[[#This Row],[MeasurementDate]])</f>
        <v>40</v>
      </c>
      <c r="K1002" s="19">
        <f>MONTH(tblRidershipData[[#This Row],[MeasurementDate]])</f>
        <v>10</v>
      </c>
    </row>
    <row r="1003" spans="1:11" x14ac:dyDescent="0.25">
      <c r="A1003" s="31">
        <v>43740</v>
      </c>
      <c r="B1003" t="s">
        <v>4</v>
      </c>
      <c r="C1003" s="31">
        <v>1027</v>
      </c>
      <c r="D1003" t="s">
        <v>91</v>
      </c>
      <c r="E1003" t="s">
        <v>111</v>
      </c>
      <c r="F1003">
        <v>1</v>
      </c>
      <c r="G1003" t="s">
        <v>45</v>
      </c>
      <c r="H1003" t="s">
        <v>110</v>
      </c>
      <c r="I1003">
        <v>3</v>
      </c>
      <c r="J1003" s="19">
        <f>WEEKNUM(tblRidershipData[[#This Row],[MeasurementDate]])</f>
        <v>40</v>
      </c>
      <c r="K1003" s="19">
        <f>MONTH(tblRidershipData[[#This Row],[MeasurementDate]])</f>
        <v>10</v>
      </c>
    </row>
    <row r="1004" spans="1:11" x14ac:dyDescent="0.25">
      <c r="A1004" s="31">
        <v>43740</v>
      </c>
      <c r="B1004" t="s">
        <v>4</v>
      </c>
      <c r="C1004" s="31">
        <v>1027</v>
      </c>
      <c r="D1004" t="s">
        <v>91</v>
      </c>
      <c r="E1004" t="s">
        <v>111</v>
      </c>
      <c r="F1004">
        <v>1</v>
      </c>
      <c r="G1004" t="s">
        <v>48</v>
      </c>
      <c r="H1004" t="s">
        <v>110</v>
      </c>
      <c r="I1004">
        <v>3</v>
      </c>
      <c r="J1004" s="19">
        <f>WEEKNUM(tblRidershipData[[#This Row],[MeasurementDate]])</f>
        <v>40</v>
      </c>
      <c r="K1004" s="19">
        <f>MONTH(tblRidershipData[[#This Row],[MeasurementDate]])</f>
        <v>10</v>
      </c>
    </row>
    <row r="1005" spans="1:11" x14ac:dyDescent="0.25">
      <c r="A1005" s="31">
        <v>43740</v>
      </c>
      <c r="B1005" t="s">
        <v>4</v>
      </c>
      <c r="C1005" s="31">
        <v>1027</v>
      </c>
      <c r="D1005" t="s">
        <v>91</v>
      </c>
      <c r="E1005" t="s">
        <v>111</v>
      </c>
      <c r="F1005">
        <v>1</v>
      </c>
      <c r="G1005" t="s">
        <v>49</v>
      </c>
      <c r="H1005" t="s">
        <v>110</v>
      </c>
      <c r="I1005">
        <v>2</v>
      </c>
      <c r="J1005" s="19">
        <f>WEEKNUM(tblRidershipData[[#This Row],[MeasurementDate]])</f>
        <v>40</v>
      </c>
      <c r="K1005" s="19">
        <f>MONTH(tblRidershipData[[#This Row],[MeasurementDate]])</f>
        <v>10</v>
      </c>
    </row>
    <row r="1006" spans="1:11" x14ac:dyDescent="0.25">
      <c r="A1006" s="31">
        <v>43740</v>
      </c>
      <c r="B1006" t="s">
        <v>4</v>
      </c>
      <c r="C1006" s="31">
        <v>1027</v>
      </c>
      <c r="D1006" t="s">
        <v>91</v>
      </c>
      <c r="E1006" t="s">
        <v>111</v>
      </c>
      <c r="F1006">
        <v>1</v>
      </c>
      <c r="G1006" t="s">
        <v>50</v>
      </c>
      <c r="H1006" t="s">
        <v>110</v>
      </c>
      <c r="I1006">
        <v>1</v>
      </c>
      <c r="J1006" s="19">
        <f>WEEKNUM(tblRidershipData[[#This Row],[MeasurementDate]])</f>
        <v>40</v>
      </c>
      <c r="K1006" s="19">
        <f>MONTH(tblRidershipData[[#This Row],[MeasurementDate]])</f>
        <v>10</v>
      </c>
    </row>
    <row r="1007" spans="1:11" x14ac:dyDescent="0.25">
      <c r="A1007" s="31">
        <v>43740</v>
      </c>
      <c r="B1007" t="s">
        <v>4</v>
      </c>
      <c r="C1007" s="31">
        <v>1027</v>
      </c>
      <c r="D1007" t="s">
        <v>91</v>
      </c>
      <c r="E1007" t="s">
        <v>111</v>
      </c>
      <c r="F1007">
        <v>1</v>
      </c>
      <c r="G1007" t="s">
        <v>56</v>
      </c>
      <c r="H1007" t="s">
        <v>110</v>
      </c>
      <c r="I1007">
        <v>3</v>
      </c>
      <c r="J1007" s="19">
        <f>WEEKNUM(tblRidershipData[[#This Row],[MeasurementDate]])</f>
        <v>40</v>
      </c>
      <c r="K1007" s="19">
        <f>MONTH(tblRidershipData[[#This Row],[MeasurementDate]])</f>
        <v>10</v>
      </c>
    </row>
    <row r="1008" spans="1:11" x14ac:dyDescent="0.25">
      <c r="A1008" s="31">
        <v>43740</v>
      </c>
      <c r="B1008" t="s">
        <v>4</v>
      </c>
      <c r="C1008" s="31">
        <v>1027</v>
      </c>
      <c r="D1008" t="s">
        <v>91</v>
      </c>
      <c r="E1008" t="s">
        <v>111</v>
      </c>
      <c r="F1008">
        <v>1</v>
      </c>
      <c r="G1008" t="s">
        <v>57</v>
      </c>
      <c r="H1008" t="s">
        <v>110</v>
      </c>
      <c r="I1008">
        <v>3</v>
      </c>
      <c r="J1008" s="19">
        <f>WEEKNUM(tblRidershipData[[#This Row],[MeasurementDate]])</f>
        <v>40</v>
      </c>
      <c r="K1008" s="19">
        <f>MONTH(tblRidershipData[[#This Row],[MeasurementDate]])</f>
        <v>10</v>
      </c>
    </row>
    <row r="1009" spans="1:11" x14ac:dyDescent="0.25">
      <c r="A1009" s="31">
        <v>43740</v>
      </c>
      <c r="B1009" t="s">
        <v>4</v>
      </c>
      <c r="C1009" s="31">
        <v>1027</v>
      </c>
      <c r="D1009" t="s">
        <v>91</v>
      </c>
      <c r="E1009" t="s">
        <v>111</v>
      </c>
      <c r="F1009">
        <v>1</v>
      </c>
      <c r="G1009" t="s">
        <v>64</v>
      </c>
      <c r="H1009" t="s">
        <v>110</v>
      </c>
      <c r="I1009">
        <v>3</v>
      </c>
      <c r="J1009" s="19">
        <f>WEEKNUM(tblRidershipData[[#This Row],[MeasurementDate]])</f>
        <v>40</v>
      </c>
      <c r="K1009" s="19">
        <f>MONTH(tblRidershipData[[#This Row],[MeasurementDate]])</f>
        <v>10</v>
      </c>
    </row>
    <row r="1010" spans="1:11" x14ac:dyDescent="0.25">
      <c r="A1010" s="31">
        <v>43740</v>
      </c>
      <c r="B1010" t="s">
        <v>4</v>
      </c>
      <c r="C1010" s="31">
        <v>1027</v>
      </c>
      <c r="D1010" t="s">
        <v>91</v>
      </c>
      <c r="E1010" t="s">
        <v>111</v>
      </c>
      <c r="F1010">
        <v>1</v>
      </c>
      <c r="G1010" t="s">
        <v>67</v>
      </c>
      <c r="H1010" t="s">
        <v>110</v>
      </c>
      <c r="I1010">
        <v>1</v>
      </c>
      <c r="J1010" s="19">
        <f>WEEKNUM(tblRidershipData[[#This Row],[MeasurementDate]])</f>
        <v>40</v>
      </c>
      <c r="K1010" s="19">
        <f>MONTH(tblRidershipData[[#This Row],[MeasurementDate]])</f>
        <v>10</v>
      </c>
    </row>
    <row r="1011" spans="1:11" x14ac:dyDescent="0.25">
      <c r="A1011" s="31">
        <v>43740</v>
      </c>
      <c r="B1011" t="s">
        <v>4</v>
      </c>
      <c r="C1011" s="31">
        <v>1027</v>
      </c>
      <c r="D1011" t="s">
        <v>91</v>
      </c>
      <c r="E1011" t="s">
        <v>111</v>
      </c>
      <c r="F1011">
        <v>1</v>
      </c>
      <c r="G1011" t="s">
        <v>72</v>
      </c>
      <c r="H1011" t="s">
        <v>110</v>
      </c>
      <c r="I1011">
        <v>5</v>
      </c>
      <c r="J1011" s="19">
        <f>WEEKNUM(tblRidershipData[[#This Row],[MeasurementDate]])</f>
        <v>40</v>
      </c>
      <c r="K1011" s="19">
        <f>MONTH(tblRidershipData[[#This Row],[MeasurementDate]])</f>
        <v>10</v>
      </c>
    </row>
    <row r="1012" spans="1:11" x14ac:dyDescent="0.25">
      <c r="A1012" s="31">
        <v>43740</v>
      </c>
      <c r="B1012" t="s">
        <v>4</v>
      </c>
      <c r="C1012" s="31">
        <v>1027</v>
      </c>
      <c r="D1012" t="s">
        <v>91</v>
      </c>
      <c r="E1012" t="s">
        <v>111</v>
      </c>
      <c r="F1012">
        <v>1</v>
      </c>
      <c r="G1012" t="s">
        <v>45</v>
      </c>
      <c r="H1012" t="s">
        <v>110</v>
      </c>
      <c r="I1012">
        <v>5</v>
      </c>
      <c r="J1012" s="19">
        <f>WEEKNUM(tblRidershipData[[#This Row],[MeasurementDate]])</f>
        <v>40</v>
      </c>
      <c r="K1012" s="19">
        <f>MONTH(tblRidershipData[[#This Row],[MeasurementDate]])</f>
        <v>10</v>
      </c>
    </row>
    <row r="1013" spans="1:11" x14ac:dyDescent="0.25">
      <c r="A1013" s="31">
        <v>43740</v>
      </c>
      <c r="B1013" t="s">
        <v>4</v>
      </c>
      <c r="C1013" s="31">
        <v>1027</v>
      </c>
      <c r="D1013" t="s">
        <v>91</v>
      </c>
      <c r="E1013" t="s">
        <v>111</v>
      </c>
      <c r="F1013">
        <v>1</v>
      </c>
      <c r="G1013" t="s">
        <v>64</v>
      </c>
      <c r="H1013" t="s">
        <v>110</v>
      </c>
      <c r="I1013">
        <v>17</v>
      </c>
      <c r="J1013" s="19">
        <f>WEEKNUM(tblRidershipData[[#This Row],[MeasurementDate]])</f>
        <v>40</v>
      </c>
      <c r="K1013" s="19">
        <f>MONTH(tblRidershipData[[#This Row],[MeasurementDate]])</f>
        <v>10</v>
      </c>
    </row>
    <row r="1014" spans="1:11" x14ac:dyDescent="0.25">
      <c r="A1014" s="31">
        <v>43740</v>
      </c>
      <c r="B1014" t="s">
        <v>4</v>
      </c>
      <c r="C1014" s="31">
        <v>1027</v>
      </c>
      <c r="D1014" t="s">
        <v>91</v>
      </c>
      <c r="E1014" t="s">
        <v>111</v>
      </c>
      <c r="F1014">
        <v>1</v>
      </c>
      <c r="G1014" t="s">
        <v>73</v>
      </c>
      <c r="H1014" t="s">
        <v>110</v>
      </c>
      <c r="I1014">
        <v>24</v>
      </c>
      <c r="J1014" s="19">
        <f>WEEKNUM(tblRidershipData[[#This Row],[MeasurementDate]])</f>
        <v>40</v>
      </c>
      <c r="K1014" s="19">
        <f>MONTH(tblRidershipData[[#This Row],[MeasurementDate]])</f>
        <v>10</v>
      </c>
    </row>
    <row r="1015" spans="1:11" x14ac:dyDescent="0.25">
      <c r="A1015" s="31">
        <v>43740</v>
      </c>
      <c r="B1015" t="s">
        <v>4</v>
      </c>
      <c r="C1015" s="31">
        <v>1027</v>
      </c>
      <c r="D1015" t="s">
        <v>91</v>
      </c>
      <c r="E1015" t="s">
        <v>111</v>
      </c>
      <c r="F1015">
        <v>1</v>
      </c>
      <c r="G1015" t="s">
        <v>74</v>
      </c>
      <c r="H1015" t="s">
        <v>110</v>
      </c>
      <c r="I1015">
        <v>10</v>
      </c>
      <c r="J1015" s="19">
        <f>WEEKNUM(tblRidershipData[[#This Row],[MeasurementDate]])</f>
        <v>40</v>
      </c>
      <c r="K1015" s="19">
        <f>MONTH(tblRidershipData[[#This Row],[MeasurementDate]])</f>
        <v>10</v>
      </c>
    </row>
    <row r="1016" spans="1:11" x14ac:dyDescent="0.25">
      <c r="A1016" s="31">
        <v>43740</v>
      </c>
      <c r="B1016" t="s">
        <v>4</v>
      </c>
      <c r="C1016" s="31">
        <v>1027</v>
      </c>
      <c r="D1016" t="s">
        <v>91</v>
      </c>
      <c r="E1016" t="s">
        <v>111</v>
      </c>
      <c r="F1016">
        <v>1</v>
      </c>
      <c r="G1016" t="s">
        <v>44</v>
      </c>
      <c r="H1016" t="s">
        <v>112</v>
      </c>
      <c r="I1016">
        <v>4</v>
      </c>
      <c r="J1016" s="19">
        <f>WEEKNUM(tblRidershipData[[#This Row],[MeasurementDate]])</f>
        <v>40</v>
      </c>
      <c r="K1016" s="19">
        <f>MONTH(tblRidershipData[[#This Row],[MeasurementDate]])</f>
        <v>10</v>
      </c>
    </row>
    <row r="1017" spans="1:11" x14ac:dyDescent="0.25">
      <c r="A1017" s="31">
        <v>43740</v>
      </c>
      <c r="B1017" t="s">
        <v>4</v>
      </c>
      <c r="C1017" s="31">
        <v>1027</v>
      </c>
      <c r="D1017" t="s">
        <v>91</v>
      </c>
      <c r="E1017" t="s">
        <v>111</v>
      </c>
      <c r="F1017">
        <v>1</v>
      </c>
      <c r="G1017" t="s">
        <v>45</v>
      </c>
      <c r="H1017" t="s">
        <v>112</v>
      </c>
      <c r="I1017">
        <v>4</v>
      </c>
      <c r="J1017" s="19">
        <f>WEEKNUM(tblRidershipData[[#This Row],[MeasurementDate]])</f>
        <v>40</v>
      </c>
      <c r="K1017" s="19">
        <f>MONTH(tblRidershipData[[#This Row],[MeasurementDate]])</f>
        <v>10</v>
      </c>
    </row>
    <row r="1018" spans="1:11" x14ac:dyDescent="0.25">
      <c r="A1018" s="31">
        <v>43740</v>
      </c>
      <c r="B1018" t="s">
        <v>4</v>
      </c>
      <c r="C1018" s="31">
        <v>1027</v>
      </c>
      <c r="D1018" t="s">
        <v>91</v>
      </c>
      <c r="E1018" t="s">
        <v>111</v>
      </c>
      <c r="F1018">
        <v>1</v>
      </c>
      <c r="G1018" t="s">
        <v>47</v>
      </c>
      <c r="H1018" t="s">
        <v>112</v>
      </c>
      <c r="I1018">
        <v>3</v>
      </c>
      <c r="J1018" s="19">
        <f>WEEKNUM(tblRidershipData[[#This Row],[MeasurementDate]])</f>
        <v>40</v>
      </c>
      <c r="K1018" s="19">
        <f>MONTH(tblRidershipData[[#This Row],[MeasurementDate]])</f>
        <v>10</v>
      </c>
    </row>
    <row r="1019" spans="1:11" x14ac:dyDescent="0.25">
      <c r="A1019" s="31">
        <v>43740</v>
      </c>
      <c r="B1019" t="s">
        <v>4</v>
      </c>
      <c r="C1019" s="31">
        <v>1027</v>
      </c>
      <c r="D1019" t="s">
        <v>91</v>
      </c>
      <c r="E1019" t="s">
        <v>111</v>
      </c>
      <c r="F1019">
        <v>1</v>
      </c>
      <c r="G1019" t="s">
        <v>67</v>
      </c>
      <c r="H1019" t="s">
        <v>112</v>
      </c>
      <c r="I1019">
        <v>14</v>
      </c>
      <c r="J1019" s="19">
        <f>WEEKNUM(tblRidershipData[[#This Row],[MeasurementDate]])</f>
        <v>40</v>
      </c>
      <c r="K1019" s="19">
        <f>MONTH(tblRidershipData[[#This Row],[MeasurementDate]])</f>
        <v>10</v>
      </c>
    </row>
    <row r="1020" spans="1:11" x14ac:dyDescent="0.25">
      <c r="A1020" s="31">
        <v>43740</v>
      </c>
      <c r="B1020" t="s">
        <v>4</v>
      </c>
      <c r="C1020" s="31">
        <v>1027</v>
      </c>
      <c r="D1020" t="s">
        <v>91</v>
      </c>
      <c r="E1020" t="s">
        <v>111</v>
      </c>
      <c r="F1020">
        <v>1</v>
      </c>
      <c r="G1020" t="s">
        <v>70</v>
      </c>
      <c r="H1020" t="s">
        <v>112</v>
      </c>
      <c r="I1020">
        <v>1</v>
      </c>
      <c r="J1020" s="19">
        <f>WEEKNUM(tblRidershipData[[#This Row],[MeasurementDate]])</f>
        <v>40</v>
      </c>
      <c r="K1020" s="19">
        <f>MONTH(tblRidershipData[[#This Row],[MeasurementDate]])</f>
        <v>10</v>
      </c>
    </row>
    <row r="1021" spans="1:11" x14ac:dyDescent="0.25">
      <c r="A1021" s="31">
        <v>43740</v>
      </c>
      <c r="B1021" t="s">
        <v>4</v>
      </c>
      <c r="C1021" s="31">
        <v>1027</v>
      </c>
      <c r="D1021" t="s">
        <v>91</v>
      </c>
      <c r="E1021" t="s">
        <v>111</v>
      </c>
      <c r="F1021">
        <v>2</v>
      </c>
      <c r="G1021" t="s">
        <v>45</v>
      </c>
      <c r="H1021" t="s">
        <v>112</v>
      </c>
      <c r="I1021">
        <v>11</v>
      </c>
      <c r="J1021" s="19">
        <f>WEEKNUM(tblRidershipData[[#This Row],[MeasurementDate]])</f>
        <v>40</v>
      </c>
      <c r="K1021" s="19">
        <f>MONTH(tblRidershipData[[#This Row],[MeasurementDate]])</f>
        <v>10</v>
      </c>
    </row>
    <row r="1022" spans="1:11" x14ac:dyDescent="0.25">
      <c r="A1022" s="31">
        <v>43740</v>
      </c>
      <c r="B1022" t="s">
        <v>4</v>
      </c>
      <c r="C1022" s="31">
        <v>1027</v>
      </c>
      <c r="D1022" t="s">
        <v>91</v>
      </c>
      <c r="E1022" t="s">
        <v>111</v>
      </c>
      <c r="F1022">
        <v>2</v>
      </c>
      <c r="G1022" t="s">
        <v>47</v>
      </c>
      <c r="H1022" t="s">
        <v>112</v>
      </c>
      <c r="I1022">
        <v>2</v>
      </c>
      <c r="J1022" s="19">
        <f>WEEKNUM(tblRidershipData[[#This Row],[MeasurementDate]])</f>
        <v>40</v>
      </c>
      <c r="K1022" s="19">
        <f>MONTH(tblRidershipData[[#This Row],[MeasurementDate]])</f>
        <v>10</v>
      </c>
    </row>
    <row r="1023" spans="1:11" x14ac:dyDescent="0.25">
      <c r="A1023" s="31">
        <v>43740</v>
      </c>
      <c r="B1023" t="s">
        <v>4</v>
      </c>
      <c r="C1023" s="31">
        <v>1027</v>
      </c>
      <c r="D1023" t="s">
        <v>91</v>
      </c>
      <c r="E1023" t="s">
        <v>111</v>
      </c>
      <c r="F1023">
        <v>2</v>
      </c>
      <c r="G1023" t="s">
        <v>56</v>
      </c>
      <c r="H1023" t="s">
        <v>112</v>
      </c>
      <c r="I1023">
        <v>6</v>
      </c>
      <c r="J1023" s="19">
        <f>WEEKNUM(tblRidershipData[[#This Row],[MeasurementDate]])</f>
        <v>40</v>
      </c>
      <c r="K1023" s="19">
        <f>MONTH(tblRidershipData[[#This Row],[MeasurementDate]])</f>
        <v>10</v>
      </c>
    </row>
    <row r="1024" spans="1:11" x14ac:dyDescent="0.25">
      <c r="A1024" s="31">
        <v>43740</v>
      </c>
      <c r="B1024" t="s">
        <v>4</v>
      </c>
      <c r="C1024" s="31">
        <v>1027</v>
      </c>
      <c r="D1024" t="s">
        <v>91</v>
      </c>
      <c r="E1024" t="s">
        <v>111</v>
      </c>
      <c r="F1024">
        <v>2</v>
      </c>
      <c r="G1024" t="s">
        <v>63</v>
      </c>
      <c r="H1024" t="s">
        <v>112</v>
      </c>
      <c r="I1024">
        <v>3</v>
      </c>
      <c r="J1024" s="19">
        <f>WEEKNUM(tblRidershipData[[#This Row],[MeasurementDate]])</f>
        <v>40</v>
      </c>
      <c r="K1024" s="19">
        <f>MONTH(tblRidershipData[[#This Row],[MeasurementDate]])</f>
        <v>10</v>
      </c>
    </row>
    <row r="1025" spans="1:11" x14ac:dyDescent="0.25">
      <c r="A1025" s="31">
        <v>43740</v>
      </c>
      <c r="B1025" t="s">
        <v>4</v>
      </c>
      <c r="C1025" s="31">
        <v>1027</v>
      </c>
      <c r="D1025" t="s">
        <v>91</v>
      </c>
      <c r="E1025" t="s">
        <v>111</v>
      </c>
      <c r="F1025">
        <v>2</v>
      </c>
      <c r="G1025" t="s">
        <v>72</v>
      </c>
      <c r="H1025" t="s">
        <v>112</v>
      </c>
      <c r="I1025">
        <v>3</v>
      </c>
      <c r="J1025" s="19">
        <f>WEEKNUM(tblRidershipData[[#This Row],[MeasurementDate]])</f>
        <v>40</v>
      </c>
      <c r="K1025" s="19">
        <f>MONTH(tblRidershipData[[#This Row],[MeasurementDate]])</f>
        <v>10</v>
      </c>
    </row>
    <row r="1026" spans="1:11" x14ac:dyDescent="0.25">
      <c r="A1026" s="31">
        <v>43740</v>
      </c>
      <c r="B1026" t="s">
        <v>4</v>
      </c>
      <c r="C1026" s="31">
        <v>1027</v>
      </c>
      <c r="D1026" t="s">
        <v>91</v>
      </c>
      <c r="E1026" t="s">
        <v>111</v>
      </c>
      <c r="F1026">
        <v>2</v>
      </c>
      <c r="G1026" t="s">
        <v>73</v>
      </c>
      <c r="H1026" t="s">
        <v>112</v>
      </c>
      <c r="I1026">
        <v>4</v>
      </c>
      <c r="J1026" s="19">
        <f>WEEKNUM(tblRidershipData[[#This Row],[MeasurementDate]])</f>
        <v>40</v>
      </c>
      <c r="K1026" s="19">
        <f>MONTH(tblRidershipData[[#This Row],[MeasurementDate]])</f>
        <v>10</v>
      </c>
    </row>
    <row r="1027" spans="1:11" x14ac:dyDescent="0.25">
      <c r="A1027" s="31">
        <v>43740</v>
      </c>
      <c r="B1027" t="s">
        <v>4</v>
      </c>
      <c r="C1027" s="31">
        <v>1077</v>
      </c>
      <c r="D1027" t="s">
        <v>100</v>
      </c>
      <c r="E1027" t="s">
        <v>109</v>
      </c>
      <c r="F1027">
        <v>1</v>
      </c>
      <c r="G1027" t="s">
        <v>51</v>
      </c>
      <c r="H1027" t="s">
        <v>110</v>
      </c>
      <c r="I1027">
        <v>11</v>
      </c>
      <c r="J1027" s="19">
        <f>WEEKNUM(tblRidershipData[[#This Row],[MeasurementDate]])</f>
        <v>40</v>
      </c>
      <c r="K1027" s="19">
        <f>MONTH(tblRidershipData[[#This Row],[MeasurementDate]])</f>
        <v>10</v>
      </c>
    </row>
    <row r="1028" spans="1:11" x14ac:dyDescent="0.25">
      <c r="A1028" s="31">
        <v>43740</v>
      </c>
      <c r="B1028" t="s">
        <v>4</v>
      </c>
      <c r="C1028" s="31">
        <v>1077</v>
      </c>
      <c r="D1028" t="s">
        <v>100</v>
      </c>
      <c r="E1028" t="s">
        <v>109</v>
      </c>
      <c r="F1028">
        <v>1</v>
      </c>
      <c r="G1028" t="s">
        <v>70</v>
      </c>
      <c r="H1028" t="s">
        <v>110</v>
      </c>
      <c r="I1028">
        <v>2</v>
      </c>
      <c r="J1028" s="19">
        <f>WEEKNUM(tblRidershipData[[#This Row],[MeasurementDate]])</f>
        <v>40</v>
      </c>
      <c r="K1028" s="19">
        <f>MONTH(tblRidershipData[[#This Row],[MeasurementDate]])</f>
        <v>10</v>
      </c>
    </row>
    <row r="1029" spans="1:11" x14ac:dyDescent="0.25">
      <c r="A1029" s="31">
        <v>43740</v>
      </c>
      <c r="B1029" t="s">
        <v>4</v>
      </c>
      <c r="C1029" s="31">
        <v>1077</v>
      </c>
      <c r="D1029" t="s">
        <v>100</v>
      </c>
      <c r="E1029" t="s">
        <v>109</v>
      </c>
      <c r="F1029">
        <v>1</v>
      </c>
      <c r="G1029" t="s">
        <v>72</v>
      </c>
      <c r="H1029" t="s">
        <v>110</v>
      </c>
      <c r="I1029">
        <v>1</v>
      </c>
      <c r="J1029" s="19">
        <f>WEEKNUM(tblRidershipData[[#This Row],[MeasurementDate]])</f>
        <v>40</v>
      </c>
      <c r="K1029" s="19">
        <f>MONTH(tblRidershipData[[#This Row],[MeasurementDate]])</f>
        <v>10</v>
      </c>
    </row>
    <row r="1030" spans="1:11" x14ac:dyDescent="0.25">
      <c r="A1030" s="31">
        <v>43740</v>
      </c>
      <c r="B1030" t="s">
        <v>4</v>
      </c>
      <c r="C1030" s="31">
        <v>1077</v>
      </c>
      <c r="D1030" t="s">
        <v>100</v>
      </c>
      <c r="E1030" t="s">
        <v>109</v>
      </c>
      <c r="F1030">
        <v>1</v>
      </c>
      <c r="G1030" t="s">
        <v>73</v>
      </c>
      <c r="H1030" t="s">
        <v>110</v>
      </c>
      <c r="I1030">
        <v>19</v>
      </c>
      <c r="J1030" s="19">
        <f>WEEKNUM(tblRidershipData[[#This Row],[MeasurementDate]])</f>
        <v>40</v>
      </c>
      <c r="K1030" s="19">
        <f>MONTH(tblRidershipData[[#This Row],[MeasurementDate]])</f>
        <v>10</v>
      </c>
    </row>
    <row r="1031" spans="1:11" x14ac:dyDescent="0.25">
      <c r="A1031" s="31">
        <v>43740</v>
      </c>
      <c r="B1031" t="s">
        <v>4</v>
      </c>
      <c r="C1031" s="31">
        <v>1077</v>
      </c>
      <c r="D1031" t="s">
        <v>100</v>
      </c>
      <c r="E1031" t="s">
        <v>111</v>
      </c>
      <c r="F1031">
        <v>1</v>
      </c>
      <c r="G1031" t="s">
        <v>45</v>
      </c>
      <c r="H1031" t="s">
        <v>112</v>
      </c>
      <c r="I1031">
        <v>2</v>
      </c>
      <c r="J1031" s="19">
        <f>WEEKNUM(tblRidershipData[[#This Row],[MeasurementDate]])</f>
        <v>40</v>
      </c>
      <c r="K1031" s="19">
        <f>MONTH(tblRidershipData[[#This Row],[MeasurementDate]])</f>
        <v>10</v>
      </c>
    </row>
    <row r="1032" spans="1:11" x14ac:dyDescent="0.25">
      <c r="A1032" s="31">
        <v>43740</v>
      </c>
      <c r="B1032" t="s">
        <v>4</v>
      </c>
      <c r="C1032" s="31">
        <v>1077</v>
      </c>
      <c r="D1032" t="s">
        <v>100</v>
      </c>
      <c r="E1032" t="s">
        <v>111</v>
      </c>
      <c r="F1032">
        <v>1</v>
      </c>
      <c r="G1032" t="s">
        <v>47</v>
      </c>
      <c r="H1032" t="s">
        <v>112</v>
      </c>
      <c r="I1032">
        <v>1</v>
      </c>
      <c r="J1032" s="19">
        <f>WEEKNUM(tblRidershipData[[#This Row],[MeasurementDate]])</f>
        <v>40</v>
      </c>
      <c r="K1032" s="19">
        <f>MONTH(tblRidershipData[[#This Row],[MeasurementDate]])</f>
        <v>10</v>
      </c>
    </row>
    <row r="1033" spans="1:11" x14ac:dyDescent="0.25">
      <c r="A1033" s="31">
        <v>43740</v>
      </c>
      <c r="B1033" t="s">
        <v>4</v>
      </c>
      <c r="C1033" s="31">
        <v>1077</v>
      </c>
      <c r="D1033" t="s">
        <v>100</v>
      </c>
      <c r="E1033" t="s">
        <v>111</v>
      </c>
      <c r="F1033">
        <v>1</v>
      </c>
      <c r="G1033" t="s">
        <v>50</v>
      </c>
      <c r="H1033" t="s">
        <v>112</v>
      </c>
      <c r="I1033">
        <v>2</v>
      </c>
      <c r="J1033" s="19">
        <f>WEEKNUM(tblRidershipData[[#This Row],[MeasurementDate]])</f>
        <v>40</v>
      </c>
      <c r="K1033" s="19">
        <f>MONTH(tblRidershipData[[#This Row],[MeasurementDate]])</f>
        <v>10</v>
      </c>
    </row>
    <row r="1034" spans="1:11" x14ac:dyDescent="0.25">
      <c r="A1034" s="31">
        <v>43740</v>
      </c>
      <c r="B1034" t="s">
        <v>4</v>
      </c>
      <c r="C1034" s="31">
        <v>1077</v>
      </c>
      <c r="D1034" t="s">
        <v>100</v>
      </c>
      <c r="E1034" t="s">
        <v>111</v>
      </c>
      <c r="F1034">
        <v>1</v>
      </c>
      <c r="G1034" t="s">
        <v>54</v>
      </c>
      <c r="H1034" t="s">
        <v>112</v>
      </c>
      <c r="I1034">
        <v>19</v>
      </c>
      <c r="J1034" s="19">
        <f>WEEKNUM(tblRidershipData[[#This Row],[MeasurementDate]])</f>
        <v>40</v>
      </c>
      <c r="K1034" s="19">
        <f>MONTH(tblRidershipData[[#This Row],[MeasurementDate]])</f>
        <v>10</v>
      </c>
    </row>
    <row r="1035" spans="1:11" x14ac:dyDescent="0.25">
      <c r="A1035" s="31">
        <v>43740</v>
      </c>
      <c r="B1035" t="s">
        <v>4</v>
      </c>
      <c r="C1035" s="31">
        <v>1077</v>
      </c>
      <c r="D1035" t="s">
        <v>100</v>
      </c>
      <c r="E1035" t="s">
        <v>111</v>
      </c>
      <c r="F1035">
        <v>1</v>
      </c>
      <c r="G1035" t="s">
        <v>70</v>
      </c>
      <c r="H1035" t="s">
        <v>112</v>
      </c>
      <c r="I1035">
        <v>4</v>
      </c>
      <c r="J1035" s="19">
        <f>WEEKNUM(tblRidershipData[[#This Row],[MeasurementDate]])</f>
        <v>40</v>
      </c>
      <c r="K1035" s="19">
        <f>MONTH(tblRidershipData[[#This Row],[MeasurementDate]])</f>
        <v>10</v>
      </c>
    </row>
    <row r="1036" spans="1:11" x14ac:dyDescent="0.25">
      <c r="A1036" s="31">
        <v>43740</v>
      </c>
      <c r="B1036" t="s">
        <v>4</v>
      </c>
      <c r="C1036" s="31">
        <v>1077</v>
      </c>
      <c r="D1036" t="s">
        <v>100</v>
      </c>
      <c r="E1036" t="s">
        <v>111</v>
      </c>
      <c r="F1036">
        <v>1</v>
      </c>
      <c r="G1036" t="s">
        <v>73</v>
      </c>
      <c r="H1036" t="s">
        <v>112</v>
      </c>
      <c r="I1036">
        <v>4</v>
      </c>
      <c r="J1036" s="19">
        <f>WEEKNUM(tblRidershipData[[#This Row],[MeasurementDate]])</f>
        <v>40</v>
      </c>
      <c r="K1036" s="19">
        <f>MONTH(tblRidershipData[[#This Row],[MeasurementDate]])</f>
        <v>10</v>
      </c>
    </row>
    <row r="1037" spans="1:11" x14ac:dyDescent="0.25">
      <c r="A1037" s="31">
        <v>43740</v>
      </c>
      <c r="B1037" t="s">
        <v>4</v>
      </c>
      <c r="C1037" s="31">
        <v>1077</v>
      </c>
      <c r="D1037" t="s">
        <v>100</v>
      </c>
      <c r="E1037" t="s">
        <v>111</v>
      </c>
      <c r="F1037">
        <v>1</v>
      </c>
      <c r="G1037" t="s">
        <v>77</v>
      </c>
      <c r="H1037" t="s">
        <v>112</v>
      </c>
      <c r="I1037">
        <v>1</v>
      </c>
      <c r="J1037" s="19">
        <f>WEEKNUM(tblRidershipData[[#This Row],[MeasurementDate]])</f>
        <v>40</v>
      </c>
      <c r="K1037" s="19">
        <f>MONTH(tblRidershipData[[#This Row],[MeasurementDate]])</f>
        <v>10</v>
      </c>
    </row>
    <row r="1038" spans="1:11" x14ac:dyDescent="0.25">
      <c r="A1038" s="31">
        <v>43740</v>
      </c>
      <c r="B1038" t="s">
        <v>4</v>
      </c>
      <c r="C1038" s="31">
        <v>1734</v>
      </c>
      <c r="D1038" t="s">
        <v>101</v>
      </c>
      <c r="E1038" t="s">
        <v>111</v>
      </c>
      <c r="F1038">
        <v>1</v>
      </c>
      <c r="G1038" t="s">
        <v>45</v>
      </c>
      <c r="H1038" t="s">
        <v>110</v>
      </c>
      <c r="I1038">
        <v>5</v>
      </c>
      <c r="J1038" s="19">
        <f>WEEKNUM(tblRidershipData[[#This Row],[MeasurementDate]])</f>
        <v>40</v>
      </c>
      <c r="K1038" s="19">
        <f>MONTH(tblRidershipData[[#This Row],[MeasurementDate]])</f>
        <v>10</v>
      </c>
    </row>
    <row r="1039" spans="1:11" x14ac:dyDescent="0.25">
      <c r="A1039" s="31">
        <v>43740</v>
      </c>
      <c r="B1039" t="s">
        <v>4</v>
      </c>
      <c r="C1039" s="31">
        <v>1734</v>
      </c>
      <c r="D1039" t="s">
        <v>101</v>
      </c>
      <c r="E1039" t="s">
        <v>111</v>
      </c>
      <c r="F1039">
        <v>1</v>
      </c>
      <c r="G1039" t="s">
        <v>47</v>
      </c>
      <c r="H1039" t="s">
        <v>110</v>
      </c>
      <c r="I1039">
        <v>6</v>
      </c>
      <c r="J1039" s="19">
        <f>WEEKNUM(tblRidershipData[[#This Row],[MeasurementDate]])</f>
        <v>40</v>
      </c>
      <c r="K1039" s="19">
        <f>MONTH(tblRidershipData[[#This Row],[MeasurementDate]])</f>
        <v>10</v>
      </c>
    </row>
    <row r="1040" spans="1:11" x14ac:dyDescent="0.25">
      <c r="A1040" s="31">
        <v>43740</v>
      </c>
      <c r="B1040" t="s">
        <v>4</v>
      </c>
      <c r="C1040" s="31">
        <v>1734</v>
      </c>
      <c r="D1040" t="s">
        <v>101</v>
      </c>
      <c r="E1040" t="s">
        <v>111</v>
      </c>
      <c r="F1040">
        <v>1</v>
      </c>
      <c r="G1040" t="s">
        <v>48</v>
      </c>
      <c r="H1040" t="s">
        <v>110</v>
      </c>
      <c r="I1040">
        <v>4</v>
      </c>
      <c r="J1040" s="19">
        <f>WEEKNUM(tblRidershipData[[#This Row],[MeasurementDate]])</f>
        <v>40</v>
      </c>
      <c r="K1040" s="19">
        <f>MONTH(tblRidershipData[[#This Row],[MeasurementDate]])</f>
        <v>10</v>
      </c>
    </row>
    <row r="1041" spans="1:11" x14ac:dyDescent="0.25">
      <c r="A1041" s="31">
        <v>43740</v>
      </c>
      <c r="B1041" t="s">
        <v>4</v>
      </c>
      <c r="C1041" s="31">
        <v>1734</v>
      </c>
      <c r="D1041" t="s">
        <v>101</v>
      </c>
      <c r="E1041" t="s">
        <v>111</v>
      </c>
      <c r="F1041">
        <v>1</v>
      </c>
      <c r="G1041" t="s">
        <v>54</v>
      </c>
      <c r="H1041" t="s">
        <v>110</v>
      </c>
      <c r="I1041">
        <v>10</v>
      </c>
      <c r="J1041" s="19">
        <f>WEEKNUM(tblRidershipData[[#This Row],[MeasurementDate]])</f>
        <v>40</v>
      </c>
      <c r="K1041" s="19">
        <f>MONTH(tblRidershipData[[#This Row],[MeasurementDate]])</f>
        <v>10</v>
      </c>
    </row>
    <row r="1042" spans="1:11" x14ac:dyDescent="0.25">
      <c r="A1042" s="31">
        <v>43740</v>
      </c>
      <c r="B1042" t="s">
        <v>4</v>
      </c>
      <c r="C1042" s="31">
        <v>1734</v>
      </c>
      <c r="D1042" t="s">
        <v>101</v>
      </c>
      <c r="E1042" t="s">
        <v>111</v>
      </c>
      <c r="F1042">
        <v>1</v>
      </c>
      <c r="G1042" t="s">
        <v>56</v>
      </c>
      <c r="H1042" t="s">
        <v>110</v>
      </c>
      <c r="I1042">
        <v>2</v>
      </c>
      <c r="J1042" s="19">
        <f>WEEKNUM(tblRidershipData[[#This Row],[MeasurementDate]])</f>
        <v>40</v>
      </c>
      <c r="K1042" s="19">
        <f>MONTH(tblRidershipData[[#This Row],[MeasurementDate]])</f>
        <v>10</v>
      </c>
    </row>
    <row r="1043" spans="1:11" x14ac:dyDescent="0.25">
      <c r="A1043" s="31">
        <v>43740</v>
      </c>
      <c r="B1043" t="s">
        <v>4</v>
      </c>
      <c r="C1043" s="31">
        <v>1734</v>
      </c>
      <c r="D1043" t="s">
        <v>101</v>
      </c>
      <c r="E1043" t="s">
        <v>111</v>
      </c>
      <c r="F1043">
        <v>1</v>
      </c>
      <c r="G1043" t="s">
        <v>63</v>
      </c>
      <c r="H1043" t="s">
        <v>110</v>
      </c>
      <c r="I1043">
        <v>6</v>
      </c>
      <c r="J1043" s="19">
        <f>WEEKNUM(tblRidershipData[[#This Row],[MeasurementDate]])</f>
        <v>40</v>
      </c>
      <c r="K1043" s="19">
        <f>MONTH(tblRidershipData[[#This Row],[MeasurementDate]])</f>
        <v>10</v>
      </c>
    </row>
    <row r="1044" spans="1:11" x14ac:dyDescent="0.25">
      <c r="A1044" s="31">
        <v>43740</v>
      </c>
      <c r="B1044" t="s">
        <v>4</v>
      </c>
      <c r="C1044" s="31">
        <v>1734</v>
      </c>
      <c r="D1044" t="s">
        <v>101</v>
      </c>
      <c r="E1044" t="s">
        <v>111</v>
      </c>
      <c r="F1044">
        <v>1</v>
      </c>
      <c r="G1044" t="s">
        <v>64</v>
      </c>
      <c r="H1044" t="s">
        <v>110</v>
      </c>
      <c r="I1044">
        <v>4</v>
      </c>
      <c r="J1044" s="19">
        <f>WEEKNUM(tblRidershipData[[#This Row],[MeasurementDate]])</f>
        <v>40</v>
      </c>
      <c r="K1044" s="19">
        <f>MONTH(tblRidershipData[[#This Row],[MeasurementDate]])</f>
        <v>10</v>
      </c>
    </row>
    <row r="1045" spans="1:11" x14ac:dyDescent="0.25">
      <c r="A1045" s="31">
        <v>43740</v>
      </c>
      <c r="B1045" t="s">
        <v>4</v>
      </c>
      <c r="C1045" s="31">
        <v>1734</v>
      </c>
      <c r="D1045" t="s">
        <v>101</v>
      </c>
      <c r="E1045" t="s">
        <v>111</v>
      </c>
      <c r="F1045">
        <v>1</v>
      </c>
      <c r="G1045" t="s">
        <v>72</v>
      </c>
      <c r="H1045" t="s">
        <v>110</v>
      </c>
      <c r="I1045">
        <v>1</v>
      </c>
      <c r="J1045" s="19">
        <f>WEEKNUM(tblRidershipData[[#This Row],[MeasurementDate]])</f>
        <v>40</v>
      </c>
      <c r="K1045" s="19">
        <f>MONTH(tblRidershipData[[#This Row],[MeasurementDate]])</f>
        <v>10</v>
      </c>
    </row>
    <row r="1046" spans="1:11" x14ac:dyDescent="0.25">
      <c r="A1046" s="31">
        <v>43740</v>
      </c>
      <c r="B1046" t="s">
        <v>4</v>
      </c>
      <c r="C1046" s="31">
        <v>1734</v>
      </c>
      <c r="D1046" t="s">
        <v>101</v>
      </c>
      <c r="E1046" t="s">
        <v>111</v>
      </c>
      <c r="F1046">
        <v>1</v>
      </c>
      <c r="G1046" t="s">
        <v>73</v>
      </c>
      <c r="H1046" t="s">
        <v>110</v>
      </c>
      <c r="I1046">
        <v>3</v>
      </c>
      <c r="J1046" s="19">
        <f>WEEKNUM(tblRidershipData[[#This Row],[MeasurementDate]])</f>
        <v>40</v>
      </c>
      <c r="K1046" s="19">
        <f>MONTH(tblRidershipData[[#This Row],[MeasurementDate]])</f>
        <v>10</v>
      </c>
    </row>
    <row r="1047" spans="1:11" x14ac:dyDescent="0.25">
      <c r="A1047" s="31">
        <v>43740</v>
      </c>
      <c r="B1047" t="s">
        <v>4</v>
      </c>
      <c r="C1047" s="31">
        <v>1734</v>
      </c>
      <c r="D1047" t="s">
        <v>101</v>
      </c>
      <c r="E1047" t="s">
        <v>111</v>
      </c>
      <c r="F1047">
        <v>2</v>
      </c>
      <c r="G1047" t="s">
        <v>52</v>
      </c>
      <c r="H1047" t="s">
        <v>110</v>
      </c>
      <c r="I1047">
        <v>18</v>
      </c>
      <c r="J1047" s="19">
        <f>WEEKNUM(tblRidershipData[[#This Row],[MeasurementDate]])</f>
        <v>40</v>
      </c>
      <c r="K1047" s="19">
        <f>MONTH(tblRidershipData[[#This Row],[MeasurementDate]])</f>
        <v>10</v>
      </c>
    </row>
    <row r="1048" spans="1:11" x14ac:dyDescent="0.25">
      <c r="A1048" s="31">
        <v>43740</v>
      </c>
      <c r="B1048" t="s">
        <v>4</v>
      </c>
      <c r="C1048" s="31">
        <v>1734</v>
      </c>
      <c r="D1048" t="s">
        <v>101</v>
      </c>
      <c r="E1048" t="s">
        <v>111</v>
      </c>
      <c r="F1048">
        <v>2</v>
      </c>
      <c r="G1048" t="s">
        <v>54</v>
      </c>
      <c r="H1048" t="s">
        <v>110</v>
      </c>
      <c r="I1048">
        <v>2</v>
      </c>
      <c r="J1048" s="19">
        <f>WEEKNUM(tblRidershipData[[#This Row],[MeasurementDate]])</f>
        <v>40</v>
      </c>
      <c r="K1048" s="19">
        <f>MONTH(tblRidershipData[[#This Row],[MeasurementDate]])</f>
        <v>10</v>
      </c>
    </row>
    <row r="1049" spans="1:11" x14ac:dyDescent="0.25">
      <c r="A1049" s="31">
        <v>43740</v>
      </c>
      <c r="B1049" t="s">
        <v>4</v>
      </c>
      <c r="C1049" s="31">
        <v>1734</v>
      </c>
      <c r="D1049" t="s">
        <v>101</v>
      </c>
      <c r="E1049" t="s">
        <v>111</v>
      </c>
      <c r="F1049">
        <v>2</v>
      </c>
      <c r="G1049" t="s">
        <v>59</v>
      </c>
      <c r="H1049" t="s">
        <v>110</v>
      </c>
      <c r="I1049">
        <v>9</v>
      </c>
      <c r="J1049" s="19">
        <f>WEEKNUM(tblRidershipData[[#This Row],[MeasurementDate]])</f>
        <v>40</v>
      </c>
      <c r="K1049" s="19">
        <f>MONTH(tblRidershipData[[#This Row],[MeasurementDate]])</f>
        <v>10</v>
      </c>
    </row>
    <row r="1050" spans="1:11" x14ac:dyDescent="0.25">
      <c r="A1050" s="31">
        <v>43740</v>
      </c>
      <c r="B1050" t="s">
        <v>4</v>
      </c>
      <c r="C1050" s="31">
        <v>1734</v>
      </c>
      <c r="D1050" t="s">
        <v>101</v>
      </c>
      <c r="E1050" t="s">
        <v>111</v>
      </c>
      <c r="F1050">
        <v>2</v>
      </c>
      <c r="G1050" t="s">
        <v>67</v>
      </c>
      <c r="H1050" t="s">
        <v>110</v>
      </c>
      <c r="I1050">
        <v>12</v>
      </c>
      <c r="J1050" s="19">
        <f>WEEKNUM(tblRidershipData[[#This Row],[MeasurementDate]])</f>
        <v>40</v>
      </c>
      <c r="K1050" s="19">
        <f>MONTH(tblRidershipData[[#This Row],[MeasurementDate]])</f>
        <v>10</v>
      </c>
    </row>
    <row r="1051" spans="1:11" x14ac:dyDescent="0.25">
      <c r="A1051" s="31">
        <v>43740</v>
      </c>
      <c r="B1051" t="s">
        <v>4</v>
      </c>
      <c r="C1051" s="31">
        <v>1734</v>
      </c>
      <c r="D1051" t="s">
        <v>101</v>
      </c>
      <c r="E1051" t="s">
        <v>109</v>
      </c>
      <c r="F1051">
        <v>1</v>
      </c>
      <c r="G1051" t="s">
        <v>51</v>
      </c>
      <c r="H1051" t="s">
        <v>110</v>
      </c>
      <c r="I1051">
        <v>4</v>
      </c>
      <c r="J1051" s="19">
        <f>WEEKNUM(tblRidershipData[[#This Row],[MeasurementDate]])</f>
        <v>40</v>
      </c>
      <c r="K1051" s="19">
        <f>MONTH(tblRidershipData[[#This Row],[MeasurementDate]])</f>
        <v>10</v>
      </c>
    </row>
    <row r="1052" spans="1:11" x14ac:dyDescent="0.25">
      <c r="A1052" s="31">
        <v>43740</v>
      </c>
      <c r="B1052" t="s">
        <v>4</v>
      </c>
      <c r="C1052" s="31">
        <v>1734</v>
      </c>
      <c r="D1052" t="s">
        <v>101</v>
      </c>
      <c r="E1052" t="s">
        <v>109</v>
      </c>
      <c r="F1052">
        <v>1</v>
      </c>
      <c r="G1052" t="s">
        <v>69</v>
      </c>
      <c r="H1052" t="s">
        <v>110</v>
      </c>
      <c r="I1052">
        <v>4</v>
      </c>
      <c r="J1052" s="19">
        <f>WEEKNUM(tblRidershipData[[#This Row],[MeasurementDate]])</f>
        <v>40</v>
      </c>
      <c r="K1052" s="19">
        <f>MONTH(tblRidershipData[[#This Row],[MeasurementDate]])</f>
        <v>10</v>
      </c>
    </row>
    <row r="1053" spans="1:11" x14ac:dyDescent="0.25">
      <c r="A1053" s="31">
        <v>43740</v>
      </c>
      <c r="B1053" t="s">
        <v>4</v>
      </c>
      <c r="C1053" s="31">
        <v>1734</v>
      </c>
      <c r="D1053" t="s">
        <v>101</v>
      </c>
      <c r="E1053" t="s">
        <v>109</v>
      </c>
      <c r="F1053">
        <v>1</v>
      </c>
      <c r="G1053" t="s">
        <v>72</v>
      </c>
      <c r="H1053" t="s">
        <v>110</v>
      </c>
      <c r="I1053">
        <v>19</v>
      </c>
      <c r="J1053" s="19">
        <f>WEEKNUM(tblRidershipData[[#This Row],[MeasurementDate]])</f>
        <v>40</v>
      </c>
      <c r="K1053" s="19">
        <f>MONTH(tblRidershipData[[#This Row],[MeasurementDate]])</f>
        <v>10</v>
      </c>
    </row>
    <row r="1054" spans="1:11" x14ac:dyDescent="0.25">
      <c r="A1054" s="31">
        <v>43740</v>
      </c>
      <c r="B1054" t="s">
        <v>4</v>
      </c>
      <c r="C1054" s="31">
        <v>1734</v>
      </c>
      <c r="D1054" t="s">
        <v>101</v>
      </c>
      <c r="E1054" t="s">
        <v>109</v>
      </c>
      <c r="F1054">
        <v>2</v>
      </c>
      <c r="G1054" t="s">
        <v>45</v>
      </c>
      <c r="H1054" t="s">
        <v>110</v>
      </c>
      <c r="I1054">
        <v>6</v>
      </c>
      <c r="J1054" s="19">
        <f>WEEKNUM(tblRidershipData[[#This Row],[MeasurementDate]])</f>
        <v>40</v>
      </c>
      <c r="K1054" s="19">
        <f>MONTH(tblRidershipData[[#This Row],[MeasurementDate]])</f>
        <v>10</v>
      </c>
    </row>
    <row r="1055" spans="1:11" x14ac:dyDescent="0.25">
      <c r="A1055" s="31">
        <v>43740</v>
      </c>
      <c r="B1055" t="s">
        <v>4</v>
      </c>
      <c r="C1055" s="31">
        <v>1734</v>
      </c>
      <c r="D1055" t="s">
        <v>101</v>
      </c>
      <c r="E1055" t="s">
        <v>109</v>
      </c>
      <c r="F1055">
        <v>2</v>
      </c>
      <c r="G1055" t="s">
        <v>54</v>
      </c>
      <c r="H1055" t="s">
        <v>110</v>
      </c>
      <c r="I1055">
        <v>8</v>
      </c>
      <c r="J1055" s="19">
        <f>WEEKNUM(tblRidershipData[[#This Row],[MeasurementDate]])</f>
        <v>40</v>
      </c>
      <c r="K1055" s="19">
        <f>MONTH(tblRidershipData[[#This Row],[MeasurementDate]])</f>
        <v>10</v>
      </c>
    </row>
    <row r="1056" spans="1:11" x14ac:dyDescent="0.25">
      <c r="A1056" s="31">
        <v>43740</v>
      </c>
      <c r="B1056" t="s">
        <v>4</v>
      </c>
      <c r="C1056" s="31">
        <v>1734</v>
      </c>
      <c r="D1056" t="s">
        <v>101</v>
      </c>
      <c r="E1056" t="s">
        <v>109</v>
      </c>
      <c r="F1056">
        <v>2</v>
      </c>
      <c r="G1056" t="s">
        <v>56</v>
      </c>
      <c r="H1056" t="s">
        <v>110</v>
      </c>
      <c r="I1056">
        <v>1</v>
      </c>
      <c r="J1056" s="19">
        <f>WEEKNUM(tblRidershipData[[#This Row],[MeasurementDate]])</f>
        <v>40</v>
      </c>
      <c r="K1056" s="19">
        <f>MONTH(tblRidershipData[[#This Row],[MeasurementDate]])</f>
        <v>10</v>
      </c>
    </row>
    <row r="1057" spans="1:11" x14ac:dyDescent="0.25">
      <c r="A1057" s="31">
        <v>43740</v>
      </c>
      <c r="B1057" t="s">
        <v>4</v>
      </c>
      <c r="C1057" s="31">
        <v>1734</v>
      </c>
      <c r="D1057" t="s">
        <v>101</v>
      </c>
      <c r="E1057" t="s">
        <v>109</v>
      </c>
      <c r="F1057">
        <v>2</v>
      </c>
      <c r="G1057" t="s">
        <v>58</v>
      </c>
      <c r="H1057" t="s">
        <v>110</v>
      </c>
      <c r="I1057">
        <v>1</v>
      </c>
      <c r="J1057" s="19">
        <f>WEEKNUM(tblRidershipData[[#This Row],[MeasurementDate]])</f>
        <v>40</v>
      </c>
      <c r="K1057" s="19">
        <f>MONTH(tblRidershipData[[#This Row],[MeasurementDate]])</f>
        <v>10</v>
      </c>
    </row>
    <row r="1058" spans="1:11" x14ac:dyDescent="0.25">
      <c r="A1058" s="31">
        <v>43740</v>
      </c>
      <c r="B1058" t="s">
        <v>4</v>
      </c>
      <c r="C1058" s="31">
        <v>1734</v>
      </c>
      <c r="D1058" t="s">
        <v>101</v>
      </c>
      <c r="E1058" t="s">
        <v>109</v>
      </c>
      <c r="F1058">
        <v>2</v>
      </c>
      <c r="G1058" t="s">
        <v>62</v>
      </c>
      <c r="H1058" t="s">
        <v>110</v>
      </c>
      <c r="I1058">
        <v>1</v>
      </c>
      <c r="J1058" s="19">
        <f>WEEKNUM(tblRidershipData[[#This Row],[MeasurementDate]])</f>
        <v>40</v>
      </c>
      <c r="K1058" s="19">
        <f>MONTH(tblRidershipData[[#This Row],[MeasurementDate]])</f>
        <v>10</v>
      </c>
    </row>
    <row r="1059" spans="1:11" x14ac:dyDescent="0.25">
      <c r="A1059" s="31">
        <v>43740</v>
      </c>
      <c r="B1059" t="s">
        <v>4</v>
      </c>
      <c r="C1059" s="31">
        <v>1734</v>
      </c>
      <c r="D1059" t="s">
        <v>101</v>
      </c>
      <c r="E1059" t="s">
        <v>109</v>
      </c>
      <c r="F1059">
        <v>2</v>
      </c>
      <c r="G1059" t="s">
        <v>63</v>
      </c>
      <c r="H1059" t="s">
        <v>110</v>
      </c>
      <c r="I1059">
        <v>4</v>
      </c>
      <c r="J1059" s="19">
        <f>WEEKNUM(tblRidershipData[[#This Row],[MeasurementDate]])</f>
        <v>40</v>
      </c>
      <c r="K1059" s="19">
        <f>MONTH(tblRidershipData[[#This Row],[MeasurementDate]])</f>
        <v>10</v>
      </c>
    </row>
    <row r="1060" spans="1:11" x14ac:dyDescent="0.25">
      <c r="A1060" s="31">
        <v>43740</v>
      </c>
      <c r="B1060" t="s">
        <v>4</v>
      </c>
      <c r="C1060" s="31">
        <v>1734</v>
      </c>
      <c r="D1060" t="s">
        <v>101</v>
      </c>
      <c r="E1060" t="s">
        <v>109</v>
      </c>
      <c r="F1060">
        <v>2</v>
      </c>
      <c r="G1060" t="s">
        <v>64</v>
      </c>
      <c r="H1060" t="s">
        <v>110</v>
      </c>
      <c r="I1060">
        <v>4</v>
      </c>
      <c r="J1060" s="19">
        <f>WEEKNUM(tblRidershipData[[#This Row],[MeasurementDate]])</f>
        <v>40</v>
      </c>
      <c r="K1060" s="19">
        <f>MONTH(tblRidershipData[[#This Row],[MeasurementDate]])</f>
        <v>10</v>
      </c>
    </row>
    <row r="1061" spans="1:11" x14ac:dyDescent="0.25">
      <c r="A1061" s="31">
        <v>43740</v>
      </c>
      <c r="B1061" t="s">
        <v>4</v>
      </c>
      <c r="C1061" s="31">
        <v>1734</v>
      </c>
      <c r="D1061" t="s">
        <v>101</v>
      </c>
      <c r="E1061" t="s">
        <v>109</v>
      </c>
      <c r="F1061">
        <v>2</v>
      </c>
      <c r="G1061" t="s">
        <v>73</v>
      </c>
      <c r="H1061" t="s">
        <v>110</v>
      </c>
      <c r="I1061">
        <v>2</v>
      </c>
      <c r="J1061" s="19">
        <f>WEEKNUM(tblRidershipData[[#This Row],[MeasurementDate]])</f>
        <v>40</v>
      </c>
      <c r="K1061" s="19">
        <f>MONTH(tblRidershipData[[#This Row],[MeasurementDate]])</f>
        <v>10</v>
      </c>
    </row>
    <row r="1062" spans="1:11" x14ac:dyDescent="0.25">
      <c r="A1062" s="31">
        <v>43740</v>
      </c>
      <c r="B1062" t="s">
        <v>4</v>
      </c>
      <c r="C1062" s="31">
        <v>1041</v>
      </c>
      <c r="D1062" t="s">
        <v>93</v>
      </c>
      <c r="E1062" t="s">
        <v>111</v>
      </c>
      <c r="F1062">
        <v>1</v>
      </c>
      <c r="G1062" t="s">
        <v>47</v>
      </c>
      <c r="H1062" t="s">
        <v>110</v>
      </c>
      <c r="I1062">
        <v>4</v>
      </c>
      <c r="J1062" s="19">
        <f>WEEKNUM(tblRidershipData[[#This Row],[MeasurementDate]])</f>
        <v>40</v>
      </c>
      <c r="K1062" s="19">
        <f>MONTH(tblRidershipData[[#This Row],[MeasurementDate]])</f>
        <v>10</v>
      </c>
    </row>
    <row r="1063" spans="1:11" x14ac:dyDescent="0.25">
      <c r="A1063" s="31">
        <v>43740</v>
      </c>
      <c r="B1063" t="s">
        <v>4</v>
      </c>
      <c r="C1063" s="31">
        <v>1041</v>
      </c>
      <c r="D1063" t="s">
        <v>93</v>
      </c>
      <c r="E1063" t="s">
        <v>111</v>
      </c>
      <c r="F1063">
        <v>1</v>
      </c>
      <c r="G1063" t="s">
        <v>54</v>
      </c>
      <c r="H1063" t="s">
        <v>110</v>
      </c>
      <c r="I1063">
        <v>13</v>
      </c>
      <c r="J1063" s="19">
        <f>WEEKNUM(tblRidershipData[[#This Row],[MeasurementDate]])</f>
        <v>40</v>
      </c>
      <c r="K1063" s="19">
        <f>MONTH(tblRidershipData[[#This Row],[MeasurementDate]])</f>
        <v>10</v>
      </c>
    </row>
    <row r="1064" spans="1:11" x14ac:dyDescent="0.25">
      <c r="A1064" s="31">
        <v>43740</v>
      </c>
      <c r="B1064" t="s">
        <v>4</v>
      </c>
      <c r="C1064" s="31">
        <v>1041</v>
      </c>
      <c r="D1064" t="s">
        <v>93</v>
      </c>
      <c r="E1064" t="s">
        <v>111</v>
      </c>
      <c r="F1064">
        <v>1</v>
      </c>
      <c r="G1064" t="s">
        <v>69</v>
      </c>
      <c r="H1064" t="s">
        <v>110</v>
      </c>
      <c r="I1064">
        <v>3</v>
      </c>
      <c r="J1064" s="19">
        <f>WEEKNUM(tblRidershipData[[#This Row],[MeasurementDate]])</f>
        <v>40</v>
      </c>
      <c r="K1064" s="19">
        <f>MONTH(tblRidershipData[[#This Row],[MeasurementDate]])</f>
        <v>10</v>
      </c>
    </row>
    <row r="1065" spans="1:11" x14ac:dyDescent="0.25">
      <c r="A1065" s="31">
        <v>43740</v>
      </c>
      <c r="B1065" t="s">
        <v>4</v>
      </c>
      <c r="C1065" s="31">
        <v>1041</v>
      </c>
      <c r="D1065" t="s">
        <v>93</v>
      </c>
      <c r="E1065" t="s">
        <v>111</v>
      </c>
      <c r="F1065">
        <v>1</v>
      </c>
      <c r="G1065" t="s">
        <v>73</v>
      </c>
      <c r="H1065" t="s">
        <v>110</v>
      </c>
      <c r="I1065">
        <v>5</v>
      </c>
      <c r="J1065" s="19">
        <f>WEEKNUM(tblRidershipData[[#This Row],[MeasurementDate]])</f>
        <v>40</v>
      </c>
      <c r="K1065" s="19">
        <f>MONTH(tblRidershipData[[#This Row],[MeasurementDate]])</f>
        <v>10</v>
      </c>
    </row>
    <row r="1066" spans="1:11" x14ac:dyDescent="0.25">
      <c r="A1066" s="31">
        <v>43740</v>
      </c>
      <c r="B1066" t="s">
        <v>4</v>
      </c>
      <c r="C1066" s="31">
        <v>1041</v>
      </c>
      <c r="D1066" t="s">
        <v>93</v>
      </c>
      <c r="E1066" t="s">
        <v>109</v>
      </c>
      <c r="F1066">
        <v>1</v>
      </c>
      <c r="G1066" t="s">
        <v>52</v>
      </c>
      <c r="H1066" t="s">
        <v>110</v>
      </c>
      <c r="I1066">
        <v>15</v>
      </c>
      <c r="J1066" s="19">
        <f>WEEKNUM(tblRidershipData[[#This Row],[MeasurementDate]])</f>
        <v>40</v>
      </c>
      <c r="K1066" s="19">
        <f>MONTH(tblRidershipData[[#This Row],[MeasurementDate]])</f>
        <v>10</v>
      </c>
    </row>
    <row r="1067" spans="1:11" x14ac:dyDescent="0.25">
      <c r="A1067" s="31">
        <v>43740</v>
      </c>
      <c r="B1067" t="s">
        <v>4</v>
      </c>
      <c r="C1067" s="31">
        <v>1041</v>
      </c>
      <c r="D1067" t="s">
        <v>93</v>
      </c>
      <c r="E1067" t="s">
        <v>109</v>
      </c>
      <c r="F1067">
        <v>1</v>
      </c>
      <c r="G1067" t="s">
        <v>69</v>
      </c>
      <c r="H1067" t="s">
        <v>110</v>
      </c>
      <c r="I1067">
        <v>60</v>
      </c>
      <c r="J1067" s="19">
        <f>WEEKNUM(tblRidershipData[[#This Row],[MeasurementDate]])</f>
        <v>40</v>
      </c>
      <c r="K1067" s="19">
        <f>MONTH(tblRidershipData[[#This Row],[MeasurementDate]])</f>
        <v>10</v>
      </c>
    </row>
    <row r="1068" spans="1:11" x14ac:dyDescent="0.25">
      <c r="A1068" s="31">
        <v>43740</v>
      </c>
      <c r="B1068" t="s">
        <v>4</v>
      </c>
      <c r="C1068" s="31">
        <v>1041</v>
      </c>
      <c r="D1068" t="s">
        <v>93</v>
      </c>
      <c r="E1068" t="s">
        <v>109</v>
      </c>
      <c r="F1068">
        <v>1</v>
      </c>
      <c r="G1068" t="s">
        <v>70</v>
      </c>
      <c r="H1068" t="s">
        <v>110</v>
      </c>
      <c r="I1068">
        <v>20</v>
      </c>
      <c r="J1068" s="19">
        <f>WEEKNUM(tblRidershipData[[#This Row],[MeasurementDate]])</f>
        <v>40</v>
      </c>
      <c r="K1068" s="19">
        <f>MONTH(tblRidershipData[[#This Row],[MeasurementDate]])</f>
        <v>10</v>
      </c>
    </row>
    <row r="1069" spans="1:11" x14ac:dyDescent="0.25">
      <c r="A1069" s="31">
        <v>43740</v>
      </c>
      <c r="B1069" t="s">
        <v>4</v>
      </c>
      <c r="C1069" s="31">
        <v>1041</v>
      </c>
      <c r="D1069" t="s">
        <v>93</v>
      </c>
      <c r="E1069" t="s">
        <v>109</v>
      </c>
      <c r="F1069">
        <v>2</v>
      </c>
      <c r="G1069" t="s">
        <v>53</v>
      </c>
      <c r="H1069" t="s">
        <v>110</v>
      </c>
      <c r="I1069">
        <v>2</v>
      </c>
      <c r="J1069" s="19">
        <f>WEEKNUM(tblRidershipData[[#This Row],[MeasurementDate]])</f>
        <v>40</v>
      </c>
      <c r="K1069" s="19">
        <f>MONTH(tblRidershipData[[#This Row],[MeasurementDate]])</f>
        <v>10</v>
      </c>
    </row>
    <row r="1070" spans="1:11" x14ac:dyDescent="0.25">
      <c r="A1070" s="31">
        <v>43740</v>
      </c>
      <c r="B1070" t="s">
        <v>4</v>
      </c>
      <c r="C1070" s="31">
        <v>1751</v>
      </c>
      <c r="D1070" t="s">
        <v>102</v>
      </c>
      <c r="E1070" t="s">
        <v>109</v>
      </c>
      <c r="F1070">
        <v>1</v>
      </c>
      <c r="G1070" t="s">
        <v>44</v>
      </c>
      <c r="H1070" t="s">
        <v>110</v>
      </c>
      <c r="I1070">
        <v>3</v>
      </c>
      <c r="J1070" s="19">
        <f>WEEKNUM(tblRidershipData[[#This Row],[MeasurementDate]])</f>
        <v>40</v>
      </c>
      <c r="K1070" s="19">
        <f>MONTH(tblRidershipData[[#This Row],[MeasurementDate]])</f>
        <v>10</v>
      </c>
    </row>
    <row r="1071" spans="1:11" x14ac:dyDescent="0.25">
      <c r="A1071" s="31">
        <v>43740</v>
      </c>
      <c r="B1071" t="s">
        <v>4</v>
      </c>
      <c r="C1071" s="31">
        <v>1751</v>
      </c>
      <c r="D1071" t="s">
        <v>102</v>
      </c>
      <c r="E1071" t="s">
        <v>109</v>
      </c>
      <c r="F1071">
        <v>1</v>
      </c>
      <c r="G1071" t="s">
        <v>59</v>
      </c>
      <c r="H1071" t="s">
        <v>110</v>
      </c>
      <c r="I1071">
        <v>5</v>
      </c>
      <c r="J1071" s="19">
        <f>WEEKNUM(tblRidershipData[[#This Row],[MeasurementDate]])</f>
        <v>40</v>
      </c>
      <c r="K1071" s="19">
        <f>MONTH(tblRidershipData[[#This Row],[MeasurementDate]])</f>
        <v>10</v>
      </c>
    </row>
    <row r="1072" spans="1:11" x14ac:dyDescent="0.25">
      <c r="A1072" s="31">
        <v>43740</v>
      </c>
      <c r="B1072" t="s">
        <v>4</v>
      </c>
      <c r="C1072" s="31">
        <v>1751</v>
      </c>
      <c r="D1072" t="s">
        <v>102</v>
      </c>
      <c r="E1072" t="s">
        <v>109</v>
      </c>
      <c r="F1072">
        <v>1</v>
      </c>
      <c r="G1072" t="s">
        <v>67</v>
      </c>
      <c r="H1072" t="s">
        <v>110</v>
      </c>
      <c r="I1072">
        <v>25</v>
      </c>
      <c r="J1072" s="19">
        <f>WEEKNUM(tblRidershipData[[#This Row],[MeasurementDate]])</f>
        <v>40</v>
      </c>
      <c r="K1072" s="19">
        <f>MONTH(tblRidershipData[[#This Row],[MeasurementDate]])</f>
        <v>10</v>
      </c>
    </row>
    <row r="1073" spans="1:11" x14ac:dyDescent="0.25">
      <c r="A1073" s="31">
        <v>43740</v>
      </c>
      <c r="B1073" t="s">
        <v>4</v>
      </c>
      <c r="C1073" s="31">
        <v>1751</v>
      </c>
      <c r="D1073" t="s">
        <v>102</v>
      </c>
      <c r="E1073" t="s">
        <v>109</v>
      </c>
      <c r="F1073">
        <v>1</v>
      </c>
      <c r="G1073" t="s">
        <v>69</v>
      </c>
      <c r="H1073" t="s">
        <v>110</v>
      </c>
      <c r="I1073">
        <v>10</v>
      </c>
      <c r="J1073" s="19">
        <f>WEEKNUM(tblRidershipData[[#This Row],[MeasurementDate]])</f>
        <v>40</v>
      </c>
      <c r="K1073" s="19">
        <f>MONTH(tblRidershipData[[#This Row],[MeasurementDate]])</f>
        <v>10</v>
      </c>
    </row>
    <row r="1074" spans="1:11" x14ac:dyDescent="0.25">
      <c r="A1074" s="31">
        <v>43740</v>
      </c>
      <c r="B1074" t="s">
        <v>4</v>
      </c>
      <c r="C1074" s="31">
        <v>1751</v>
      </c>
      <c r="D1074" t="s">
        <v>102</v>
      </c>
      <c r="E1074" t="s">
        <v>109</v>
      </c>
      <c r="F1074">
        <v>2</v>
      </c>
      <c r="G1074" t="s">
        <v>69</v>
      </c>
      <c r="H1074" t="s">
        <v>110</v>
      </c>
      <c r="I1074">
        <v>1</v>
      </c>
      <c r="J1074" s="19">
        <f>WEEKNUM(tblRidershipData[[#This Row],[MeasurementDate]])</f>
        <v>40</v>
      </c>
      <c r="K1074" s="19">
        <f>MONTH(tblRidershipData[[#This Row],[MeasurementDate]])</f>
        <v>10</v>
      </c>
    </row>
    <row r="1075" spans="1:11" x14ac:dyDescent="0.25">
      <c r="A1075" s="31">
        <v>43740</v>
      </c>
      <c r="B1075" t="s">
        <v>4</v>
      </c>
      <c r="C1075" s="31">
        <v>1751</v>
      </c>
      <c r="D1075" t="s">
        <v>102</v>
      </c>
      <c r="E1075" t="s">
        <v>111</v>
      </c>
      <c r="F1075">
        <v>1</v>
      </c>
      <c r="G1075" t="s">
        <v>59</v>
      </c>
      <c r="H1075" t="s">
        <v>112</v>
      </c>
      <c r="I1075">
        <v>5</v>
      </c>
      <c r="J1075" s="19">
        <f>WEEKNUM(tblRidershipData[[#This Row],[MeasurementDate]])</f>
        <v>40</v>
      </c>
      <c r="K1075" s="19">
        <f>MONTH(tblRidershipData[[#This Row],[MeasurementDate]])</f>
        <v>10</v>
      </c>
    </row>
    <row r="1076" spans="1:11" x14ac:dyDescent="0.25">
      <c r="A1076" s="31">
        <v>43740</v>
      </c>
      <c r="B1076" t="s">
        <v>4</v>
      </c>
      <c r="C1076" s="31">
        <v>1751</v>
      </c>
      <c r="D1076" t="s">
        <v>102</v>
      </c>
      <c r="E1076" t="s">
        <v>111</v>
      </c>
      <c r="F1076">
        <v>1</v>
      </c>
      <c r="G1076" t="s">
        <v>67</v>
      </c>
      <c r="H1076" t="s">
        <v>112</v>
      </c>
      <c r="I1076">
        <v>1</v>
      </c>
      <c r="J1076" s="19">
        <f>WEEKNUM(tblRidershipData[[#This Row],[MeasurementDate]])</f>
        <v>40</v>
      </c>
      <c r="K1076" s="19">
        <f>MONTH(tblRidershipData[[#This Row],[MeasurementDate]])</f>
        <v>10</v>
      </c>
    </row>
    <row r="1077" spans="1:11" x14ac:dyDescent="0.25">
      <c r="A1077" s="31">
        <v>43740</v>
      </c>
      <c r="B1077" t="s">
        <v>4</v>
      </c>
      <c r="C1077" s="31">
        <v>1751</v>
      </c>
      <c r="D1077" t="s">
        <v>102</v>
      </c>
      <c r="E1077" t="s">
        <v>111</v>
      </c>
      <c r="F1077">
        <v>1</v>
      </c>
      <c r="G1077" t="s">
        <v>69</v>
      </c>
      <c r="H1077" t="s">
        <v>112</v>
      </c>
      <c r="I1077">
        <v>14</v>
      </c>
      <c r="J1077" s="19">
        <f>WEEKNUM(tblRidershipData[[#This Row],[MeasurementDate]])</f>
        <v>40</v>
      </c>
      <c r="K1077" s="19">
        <f>MONTH(tblRidershipData[[#This Row],[MeasurementDate]])</f>
        <v>10</v>
      </c>
    </row>
    <row r="1078" spans="1:11" x14ac:dyDescent="0.25">
      <c r="A1078" s="31">
        <v>43740</v>
      </c>
      <c r="B1078" t="s">
        <v>4</v>
      </c>
      <c r="C1078" s="31">
        <v>1751</v>
      </c>
      <c r="D1078" t="s">
        <v>102</v>
      </c>
      <c r="E1078" t="s">
        <v>111</v>
      </c>
      <c r="F1078">
        <v>1</v>
      </c>
      <c r="G1078" t="s">
        <v>70</v>
      </c>
      <c r="H1078" t="s">
        <v>112</v>
      </c>
      <c r="I1078">
        <v>26</v>
      </c>
      <c r="J1078" s="19">
        <f>WEEKNUM(tblRidershipData[[#This Row],[MeasurementDate]])</f>
        <v>40</v>
      </c>
      <c r="K1078" s="19">
        <f>MONTH(tblRidershipData[[#This Row],[MeasurementDate]])</f>
        <v>10</v>
      </c>
    </row>
    <row r="1079" spans="1:11" x14ac:dyDescent="0.25">
      <c r="A1079" s="31">
        <v>43740</v>
      </c>
      <c r="B1079" t="s">
        <v>4</v>
      </c>
      <c r="C1079" s="31">
        <v>1751</v>
      </c>
      <c r="D1079" t="s">
        <v>102</v>
      </c>
      <c r="E1079" t="s">
        <v>111</v>
      </c>
      <c r="F1079">
        <v>1</v>
      </c>
      <c r="G1079" t="s">
        <v>72</v>
      </c>
      <c r="H1079" t="s">
        <v>112</v>
      </c>
      <c r="I1079">
        <v>1</v>
      </c>
      <c r="J1079" s="19">
        <f>WEEKNUM(tblRidershipData[[#This Row],[MeasurementDate]])</f>
        <v>40</v>
      </c>
      <c r="K1079" s="19">
        <f>MONTH(tblRidershipData[[#This Row],[MeasurementDate]])</f>
        <v>10</v>
      </c>
    </row>
    <row r="1080" spans="1:11" x14ac:dyDescent="0.25">
      <c r="A1080" s="31">
        <v>43740</v>
      </c>
      <c r="B1080" t="s">
        <v>4</v>
      </c>
      <c r="C1080" s="31">
        <v>1751</v>
      </c>
      <c r="D1080" t="s">
        <v>102</v>
      </c>
      <c r="E1080" t="s">
        <v>109</v>
      </c>
      <c r="F1080">
        <v>1</v>
      </c>
      <c r="G1080" t="s">
        <v>44</v>
      </c>
      <c r="H1080" t="s">
        <v>112</v>
      </c>
      <c r="I1080">
        <v>1</v>
      </c>
      <c r="J1080" s="19">
        <f>WEEKNUM(tblRidershipData[[#This Row],[MeasurementDate]])</f>
        <v>40</v>
      </c>
      <c r="K1080" s="19">
        <f>MONTH(tblRidershipData[[#This Row],[MeasurementDate]])</f>
        <v>10</v>
      </c>
    </row>
    <row r="1081" spans="1:11" x14ac:dyDescent="0.25">
      <c r="A1081" s="31">
        <v>43740</v>
      </c>
      <c r="B1081" t="s">
        <v>4</v>
      </c>
      <c r="C1081" s="31">
        <v>1751</v>
      </c>
      <c r="D1081" t="s">
        <v>102</v>
      </c>
      <c r="E1081" t="s">
        <v>109</v>
      </c>
      <c r="F1081">
        <v>1</v>
      </c>
      <c r="G1081" t="s">
        <v>45</v>
      </c>
      <c r="H1081" t="s">
        <v>112</v>
      </c>
      <c r="I1081">
        <v>1</v>
      </c>
      <c r="J1081" s="19">
        <f>WEEKNUM(tblRidershipData[[#This Row],[MeasurementDate]])</f>
        <v>40</v>
      </c>
      <c r="K1081" s="19">
        <f>MONTH(tblRidershipData[[#This Row],[MeasurementDate]])</f>
        <v>10</v>
      </c>
    </row>
    <row r="1082" spans="1:11" x14ac:dyDescent="0.25">
      <c r="A1082" s="31">
        <v>43740</v>
      </c>
      <c r="B1082" t="s">
        <v>4</v>
      </c>
      <c r="C1082" s="31">
        <v>1751</v>
      </c>
      <c r="D1082" t="s">
        <v>102</v>
      </c>
      <c r="E1082" t="s">
        <v>109</v>
      </c>
      <c r="F1082">
        <v>1</v>
      </c>
      <c r="G1082" t="s">
        <v>47</v>
      </c>
      <c r="H1082" t="s">
        <v>112</v>
      </c>
      <c r="I1082">
        <v>3</v>
      </c>
      <c r="J1082" s="19">
        <f>WEEKNUM(tblRidershipData[[#This Row],[MeasurementDate]])</f>
        <v>40</v>
      </c>
      <c r="K1082" s="19">
        <f>MONTH(tblRidershipData[[#This Row],[MeasurementDate]])</f>
        <v>10</v>
      </c>
    </row>
    <row r="1083" spans="1:11" x14ac:dyDescent="0.25">
      <c r="A1083" s="31">
        <v>43740</v>
      </c>
      <c r="B1083" t="s">
        <v>4</v>
      </c>
      <c r="C1083" s="31">
        <v>1751</v>
      </c>
      <c r="D1083" t="s">
        <v>102</v>
      </c>
      <c r="E1083" t="s">
        <v>109</v>
      </c>
      <c r="F1083">
        <v>1</v>
      </c>
      <c r="G1083" t="s">
        <v>49</v>
      </c>
      <c r="H1083" t="s">
        <v>112</v>
      </c>
      <c r="I1083">
        <v>2</v>
      </c>
      <c r="J1083" s="19">
        <f>WEEKNUM(tblRidershipData[[#This Row],[MeasurementDate]])</f>
        <v>40</v>
      </c>
      <c r="K1083" s="19">
        <f>MONTH(tblRidershipData[[#This Row],[MeasurementDate]])</f>
        <v>10</v>
      </c>
    </row>
    <row r="1084" spans="1:11" x14ac:dyDescent="0.25">
      <c r="A1084" s="31">
        <v>43740</v>
      </c>
      <c r="B1084" t="s">
        <v>4</v>
      </c>
      <c r="C1084" s="31">
        <v>1751</v>
      </c>
      <c r="D1084" t="s">
        <v>102</v>
      </c>
      <c r="E1084" t="s">
        <v>109</v>
      </c>
      <c r="F1084">
        <v>1</v>
      </c>
      <c r="G1084" t="s">
        <v>54</v>
      </c>
      <c r="H1084" t="s">
        <v>112</v>
      </c>
      <c r="I1084">
        <v>4</v>
      </c>
      <c r="J1084" s="19">
        <f>WEEKNUM(tblRidershipData[[#This Row],[MeasurementDate]])</f>
        <v>40</v>
      </c>
      <c r="K1084" s="19">
        <f>MONTH(tblRidershipData[[#This Row],[MeasurementDate]])</f>
        <v>10</v>
      </c>
    </row>
    <row r="1085" spans="1:11" x14ac:dyDescent="0.25">
      <c r="A1085" s="31">
        <v>43740</v>
      </c>
      <c r="B1085" t="s">
        <v>4</v>
      </c>
      <c r="C1085" s="31">
        <v>1751</v>
      </c>
      <c r="D1085" t="s">
        <v>102</v>
      </c>
      <c r="E1085" t="s">
        <v>109</v>
      </c>
      <c r="F1085">
        <v>1</v>
      </c>
      <c r="G1085" t="s">
        <v>58</v>
      </c>
      <c r="H1085" t="s">
        <v>112</v>
      </c>
      <c r="I1085">
        <v>1</v>
      </c>
      <c r="J1085" s="19">
        <f>WEEKNUM(tblRidershipData[[#This Row],[MeasurementDate]])</f>
        <v>40</v>
      </c>
      <c r="K1085" s="19">
        <f>MONTH(tblRidershipData[[#This Row],[MeasurementDate]])</f>
        <v>10</v>
      </c>
    </row>
    <row r="1086" spans="1:11" x14ac:dyDescent="0.25">
      <c r="A1086" s="31">
        <v>43740</v>
      </c>
      <c r="B1086" t="s">
        <v>4</v>
      </c>
      <c r="C1086" s="31">
        <v>1751</v>
      </c>
      <c r="D1086" t="s">
        <v>102</v>
      </c>
      <c r="E1086" t="s">
        <v>109</v>
      </c>
      <c r="F1086">
        <v>1</v>
      </c>
      <c r="G1086" t="s">
        <v>59</v>
      </c>
      <c r="H1086" t="s">
        <v>112</v>
      </c>
      <c r="I1086">
        <v>8</v>
      </c>
      <c r="J1086" s="19">
        <f>WEEKNUM(tblRidershipData[[#This Row],[MeasurementDate]])</f>
        <v>40</v>
      </c>
      <c r="K1086" s="19">
        <f>MONTH(tblRidershipData[[#This Row],[MeasurementDate]])</f>
        <v>10</v>
      </c>
    </row>
    <row r="1087" spans="1:11" x14ac:dyDescent="0.25">
      <c r="A1087" s="31">
        <v>43740</v>
      </c>
      <c r="B1087" t="s">
        <v>4</v>
      </c>
      <c r="C1087" s="31">
        <v>1751</v>
      </c>
      <c r="D1087" t="s">
        <v>102</v>
      </c>
      <c r="E1087" t="s">
        <v>109</v>
      </c>
      <c r="F1087">
        <v>1</v>
      </c>
      <c r="G1087" t="s">
        <v>60</v>
      </c>
      <c r="H1087" t="s">
        <v>112</v>
      </c>
      <c r="I1087">
        <v>1</v>
      </c>
      <c r="J1087" s="19">
        <f>WEEKNUM(tblRidershipData[[#This Row],[MeasurementDate]])</f>
        <v>40</v>
      </c>
      <c r="K1087" s="19">
        <f>MONTH(tblRidershipData[[#This Row],[MeasurementDate]])</f>
        <v>10</v>
      </c>
    </row>
    <row r="1088" spans="1:11" x14ac:dyDescent="0.25">
      <c r="A1088" s="31">
        <v>43740</v>
      </c>
      <c r="B1088" t="s">
        <v>4</v>
      </c>
      <c r="C1088" s="31">
        <v>1751</v>
      </c>
      <c r="D1088" t="s">
        <v>102</v>
      </c>
      <c r="E1088" t="s">
        <v>109</v>
      </c>
      <c r="F1088">
        <v>1</v>
      </c>
      <c r="G1088" t="s">
        <v>69</v>
      </c>
      <c r="H1088" t="s">
        <v>112</v>
      </c>
      <c r="I1088">
        <v>17</v>
      </c>
      <c r="J1088" s="19">
        <f>WEEKNUM(tblRidershipData[[#This Row],[MeasurementDate]])</f>
        <v>40</v>
      </c>
      <c r="K1088" s="19">
        <f>MONTH(tblRidershipData[[#This Row],[MeasurementDate]])</f>
        <v>10</v>
      </c>
    </row>
    <row r="1089" spans="1:11" x14ac:dyDescent="0.25">
      <c r="A1089" s="31">
        <v>43740</v>
      </c>
      <c r="B1089" t="s">
        <v>4</v>
      </c>
      <c r="C1089" s="31">
        <v>1751</v>
      </c>
      <c r="D1089" t="s">
        <v>102</v>
      </c>
      <c r="E1089" t="s">
        <v>109</v>
      </c>
      <c r="F1089">
        <v>1</v>
      </c>
      <c r="G1089" t="s">
        <v>70</v>
      </c>
      <c r="H1089" t="s">
        <v>112</v>
      </c>
      <c r="I1089">
        <v>6</v>
      </c>
      <c r="J1089" s="19">
        <f>WEEKNUM(tblRidershipData[[#This Row],[MeasurementDate]])</f>
        <v>40</v>
      </c>
      <c r="K1089" s="19">
        <f>MONTH(tblRidershipData[[#This Row],[MeasurementDate]])</f>
        <v>10</v>
      </c>
    </row>
    <row r="1090" spans="1:11" x14ac:dyDescent="0.25">
      <c r="A1090" s="31">
        <v>43740</v>
      </c>
      <c r="B1090" t="s">
        <v>4</v>
      </c>
      <c r="C1090" s="31">
        <v>1751</v>
      </c>
      <c r="D1090" t="s">
        <v>102</v>
      </c>
      <c r="E1090" t="s">
        <v>109</v>
      </c>
      <c r="F1090">
        <v>1</v>
      </c>
      <c r="G1090" t="s">
        <v>72</v>
      </c>
      <c r="H1090" t="s">
        <v>112</v>
      </c>
      <c r="I1090">
        <v>3</v>
      </c>
      <c r="J1090" s="19">
        <f>WEEKNUM(tblRidershipData[[#This Row],[MeasurementDate]])</f>
        <v>40</v>
      </c>
      <c r="K1090" s="19">
        <f>MONTH(tblRidershipData[[#This Row],[MeasurementDate]])</f>
        <v>10</v>
      </c>
    </row>
    <row r="1091" spans="1:11" x14ac:dyDescent="0.25">
      <c r="A1091" s="31">
        <v>43740</v>
      </c>
      <c r="B1091" t="s">
        <v>4</v>
      </c>
      <c r="C1091" s="31">
        <v>1751</v>
      </c>
      <c r="D1091" t="s">
        <v>102</v>
      </c>
      <c r="E1091" t="s">
        <v>111</v>
      </c>
      <c r="F1091">
        <v>1</v>
      </c>
      <c r="G1091" t="s">
        <v>45</v>
      </c>
      <c r="H1091" t="s">
        <v>110</v>
      </c>
      <c r="I1091">
        <v>5</v>
      </c>
      <c r="J1091" s="19">
        <f>WEEKNUM(tblRidershipData[[#This Row],[MeasurementDate]])</f>
        <v>40</v>
      </c>
      <c r="K1091" s="19">
        <f>MONTH(tblRidershipData[[#This Row],[MeasurementDate]])</f>
        <v>10</v>
      </c>
    </row>
    <row r="1092" spans="1:11" x14ac:dyDescent="0.25">
      <c r="A1092" s="31">
        <v>43740</v>
      </c>
      <c r="B1092" t="s">
        <v>4</v>
      </c>
      <c r="C1092" s="31">
        <v>1751</v>
      </c>
      <c r="D1092" t="s">
        <v>102</v>
      </c>
      <c r="E1092" t="s">
        <v>111</v>
      </c>
      <c r="F1092">
        <v>1</v>
      </c>
      <c r="G1092" t="s">
        <v>47</v>
      </c>
      <c r="H1092" t="s">
        <v>110</v>
      </c>
      <c r="I1092">
        <v>4</v>
      </c>
      <c r="J1092" s="19">
        <f>WEEKNUM(tblRidershipData[[#This Row],[MeasurementDate]])</f>
        <v>40</v>
      </c>
      <c r="K1092" s="19">
        <f>MONTH(tblRidershipData[[#This Row],[MeasurementDate]])</f>
        <v>10</v>
      </c>
    </row>
    <row r="1093" spans="1:11" x14ac:dyDescent="0.25">
      <c r="A1093" s="31">
        <v>43740</v>
      </c>
      <c r="B1093" t="s">
        <v>4</v>
      </c>
      <c r="C1093" s="31">
        <v>1751</v>
      </c>
      <c r="D1093" t="s">
        <v>102</v>
      </c>
      <c r="E1093" t="s">
        <v>111</v>
      </c>
      <c r="F1093">
        <v>1</v>
      </c>
      <c r="G1093" t="s">
        <v>54</v>
      </c>
      <c r="H1093" t="s">
        <v>110</v>
      </c>
      <c r="I1093">
        <v>16</v>
      </c>
      <c r="J1093" s="19">
        <f>WEEKNUM(tblRidershipData[[#This Row],[MeasurementDate]])</f>
        <v>40</v>
      </c>
      <c r="K1093" s="19">
        <f>MONTH(tblRidershipData[[#This Row],[MeasurementDate]])</f>
        <v>10</v>
      </c>
    </row>
    <row r="1094" spans="1:11" x14ac:dyDescent="0.25">
      <c r="A1094" s="31">
        <v>43740</v>
      </c>
      <c r="B1094" t="s">
        <v>4</v>
      </c>
      <c r="C1094" s="31">
        <v>1751</v>
      </c>
      <c r="D1094" t="s">
        <v>102</v>
      </c>
      <c r="E1094" t="s">
        <v>111</v>
      </c>
      <c r="F1094">
        <v>1</v>
      </c>
      <c r="G1094" t="s">
        <v>59</v>
      </c>
      <c r="H1094" t="s">
        <v>110</v>
      </c>
      <c r="I1094">
        <v>2</v>
      </c>
      <c r="J1094" s="19">
        <f>WEEKNUM(tblRidershipData[[#This Row],[MeasurementDate]])</f>
        <v>40</v>
      </c>
      <c r="K1094" s="19">
        <f>MONTH(tblRidershipData[[#This Row],[MeasurementDate]])</f>
        <v>10</v>
      </c>
    </row>
    <row r="1095" spans="1:11" x14ac:dyDescent="0.25">
      <c r="A1095" s="31">
        <v>43740</v>
      </c>
      <c r="B1095" t="s">
        <v>4</v>
      </c>
      <c r="C1095" s="31">
        <v>1751</v>
      </c>
      <c r="D1095" t="s">
        <v>102</v>
      </c>
      <c r="E1095" t="s">
        <v>111</v>
      </c>
      <c r="F1095">
        <v>1</v>
      </c>
      <c r="G1095" t="s">
        <v>62</v>
      </c>
      <c r="H1095" t="s">
        <v>110</v>
      </c>
      <c r="I1095">
        <v>2</v>
      </c>
      <c r="J1095" s="19">
        <f>WEEKNUM(tblRidershipData[[#This Row],[MeasurementDate]])</f>
        <v>40</v>
      </c>
      <c r="K1095" s="19">
        <f>MONTH(tblRidershipData[[#This Row],[MeasurementDate]])</f>
        <v>10</v>
      </c>
    </row>
    <row r="1096" spans="1:11" x14ac:dyDescent="0.25">
      <c r="A1096" s="31">
        <v>43740</v>
      </c>
      <c r="B1096" t="s">
        <v>4</v>
      </c>
      <c r="C1096" s="31">
        <v>1751</v>
      </c>
      <c r="D1096" t="s">
        <v>102</v>
      </c>
      <c r="E1096" t="s">
        <v>111</v>
      </c>
      <c r="F1096">
        <v>1</v>
      </c>
      <c r="G1096" t="s">
        <v>64</v>
      </c>
      <c r="H1096" t="s">
        <v>110</v>
      </c>
      <c r="I1096">
        <v>9</v>
      </c>
      <c r="J1096" s="19">
        <f>WEEKNUM(tblRidershipData[[#This Row],[MeasurementDate]])</f>
        <v>40</v>
      </c>
      <c r="K1096" s="19">
        <f>MONTH(tblRidershipData[[#This Row],[MeasurementDate]])</f>
        <v>10</v>
      </c>
    </row>
    <row r="1097" spans="1:11" x14ac:dyDescent="0.25">
      <c r="A1097" s="31">
        <v>43740</v>
      </c>
      <c r="B1097" t="s">
        <v>4</v>
      </c>
      <c r="C1097" s="31">
        <v>1751</v>
      </c>
      <c r="D1097" t="s">
        <v>102</v>
      </c>
      <c r="E1097" t="s">
        <v>111</v>
      </c>
      <c r="F1097">
        <v>1</v>
      </c>
      <c r="G1097" t="s">
        <v>67</v>
      </c>
      <c r="H1097" t="s">
        <v>110</v>
      </c>
      <c r="I1097">
        <v>3</v>
      </c>
      <c r="J1097" s="19">
        <f>WEEKNUM(tblRidershipData[[#This Row],[MeasurementDate]])</f>
        <v>40</v>
      </c>
      <c r="K1097" s="19">
        <f>MONTH(tblRidershipData[[#This Row],[MeasurementDate]])</f>
        <v>10</v>
      </c>
    </row>
    <row r="1098" spans="1:11" x14ac:dyDescent="0.25">
      <c r="A1098" s="31">
        <v>43740</v>
      </c>
      <c r="B1098" t="s">
        <v>4</v>
      </c>
      <c r="C1098" s="31">
        <v>1751</v>
      </c>
      <c r="D1098" t="s">
        <v>102</v>
      </c>
      <c r="E1098" t="s">
        <v>111</v>
      </c>
      <c r="F1098">
        <v>1</v>
      </c>
      <c r="G1098" t="s">
        <v>72</v>
      </c>
      <c r="H1098" t="s">
        <v>110</v>
      </c>
      <c r="I1098">
        <v>3</v>
      </c>
      <c r="J1098" s="19">
        <f>WEEKNUM(tblRidershipData[[#This Row],[MeasurementDate]])</f>
        <v>40</v>
      </c>
      <c r="K1098" s="19">
        <f>MONTH(tblRidershipData[[#This Row],[MeasurementDate]])</f>
        <v>10</v>
      </c>
    </row>
    <row r="1099" spans="1:11" x14ac:dyDescent="0.25">
      <c r="A1099" s="31">
        <v>43740</v>
      </c>
      <c r="B1099" t="s">
        <v>4</v>
      </c>
      <c r="C1099" s="31">
        <v>1751</v>
      </c>
      <c r="D1099" t="s">
        <v>102</v>
      </c>
      <c r="E1099" t="s">
        <v>111</v>
      </c>
      <c r="F1099">
        <v>1</v>
      </c>
      <c r="G1099" t="s">
        <v>73</v>
      </c>
      <c r="H1099" t="s">
        <v>110</v>
      </c>
      <c r="I1099">
        <v>3</v>
      </c>
      <c r="J1099" s="19">
        <f>WEEKNUM(tblRidershipData[[#This Row],[MeasurementDate]])</f>
        <v>40</v>
      </c>
      <c r="K1099" s="19">
        <f>MONTH(tblRidershipData[[#This Row],[MeasurementDate]])</f>
        <v>10</v>
      </c>
    </row>
    <row r="1100" spans="1:11" x14ac:dyDescent="0.25">
      <c r="A1100" s="31">
        <v>43740</v>
      </c>
      <c r="B1100" t="s">
        <v>4</v>
      </c>
      <c r="C1100" s="31">
        <v>1754</v>
      </c>
      <c r="D1100" t="s">
        <v>100</v>
      </c>
      <c r="E1100" t="s">
        <v>111</v>
      </c>
      <c r="F1100">
        <v>1</v>
      </c>
      <c r="G1100" t="s">
        <v>43</v>
      </c>
      <c r="H1100" t="s">
        <v>110</v>
      </c>
      <c r="I1100">
        <v>10</v>
      </c>
      <c r="J1100" s="19">
        <f>WEEKNUM(tblRidershipData[[#This Row],[MeasurementDate]])</f>
        <v>40</v>
      </c>
      <c r="K1100" s="19">
        <f>MONTH(tblRidershipData[[#This Row],[MeasurementDate]])</f>
        <v>10</v>
      </c>
    </row>
    <row r="1101" spans="1:11" x14ac:dyDescent="0.25">
      <c r="A1101" s="31">
        <v>43740</v>
      </c>
      <c r="B1101" t="s">
        <v>4</v>
      </c>
      <c r="C1101" s="31">
        <v>1754</v>
      </c>
      <c r="D1101" t="s">
        <v>100</v>
      </c>
      <c r="E1101" t="s">
        <v>111</v>
      </c>
      <c r="F1101">
        <v>1</v>
      </c>
      <c r="G1101" t="s">
        <v>44</v>
      </c>
      <c r="H1101" t="s">
        <v>110</v>
      </c>
      <c r="I1101">
        <v>3</v>
      </c>
      <c r="J1101" s="19">
        <f>WEEKNUM(tblRidershipData[[#This Row],[MeasurementDate]])</f>
        <v>40</v>
      </c>
      <c r="K1101" s="19">
        <f>MONTH(tblRidershipData[[#This Row],[MeasurementDate]])</f>
        <v>10</v>
      </c>
    </row>
    <row r="1102" spans="1:11" x14ac:dyDescent="0.25">
      <c r="A1102" s="31">
        <v>43740</v>
      </c>
      <c r="B1102" t="s">
        <v>4</v>
      </c>
      <c r="C1102" s="31">
        <v>1754</v>
      </c>
      <c r="D1102" t="s">
        <v>100</v>
      </c>
      <c r="E1102" t="s">
        <v>111</v>
      </c>
      <c r="F1102">
        <v>1</v>
      </c>
      <c r="G1102" t="s">
        <v>45</v>
      </c>
      <c r="H1102" t="s">
        <v>110</v>
      </c>
      <c r="I1102">
        <v>4</v>
      </c>
      <c r="J1102" s="19">
        <f>WEEKNUM(tblRidershipData[[#This Row],[MeasurementDate]])</f>
        <v>40</v>
      </c>
      <c r="K1102" s="19">
        <f>MONTH(tblRidershipData[[#This Row],[MeasurementDate]])</f>
        <v>10</v>
      </c>
    </row>
    <row r="1103" spans="1:11" x14ac:dyDescent="0.25">
      <c r="A1103" s="31">
        <v>43740</v>
      </c>
      <c r="B1103" t="s">
        <v>4</v>
      </c>
      <c r="C1103" s="31">
        <v>1754</v>
      </c>
      <c r="D1103" t="s">
        <v>100</v>
      </c>
      <c r="E1103" t="s">
        <v>111</v>
      </c>
      <c r="F1103">
        <v>1</v>
      </c>
      <c r="G1103" t="s">
        <v>46</v>
      </c>
      <c r="H1103" t="s">
        <v>110</v>
      </c>
      <c r="I1103">
        <v>13</v>
      </c>
      <c r="J1103" s="19">
        <f>WEEKNUM(tblRidershipData[[#This Row],[MeasurementDate]])</f>
        <v>40</v>
      </c>
      <c r="K1103" s="19">
        <f>MONTH(tblRidershipData[[#This Row],[MeasurementDate]])</f>
        <v>10</v>
      </c>
    </row>
    <row r="1104" spans="1:11" x14ac:dyDescent="0.25">
      <c r="A1104" s="31">
        <v>43740</v>
      </c>
      <c r="B1104" t="s">
        <v>4</v>
      </c>
      <c r="C1104" s="31">
        <v>1754</v>
      </c>
      <c r="D1104" t="s">
        <v>100</v>
      </c>
      <c r="E1104" t="s">
        <v>111</v>
      </c>
      <c r="F1104">
        <v>1</v>
      </c>
      <c r="G1104" t="s">
        <v>50</v>
      </c>
      <c r="H1104" t="s">
        <v>110</v>
      </c>
      <c r="I1104">
        <v>8</v>
      </c>
      <c r="J1104" s="19">
        <f>WEEKNUM(tblRidershipData[[#This Row],[MeasurementDate]])</f>
        <v>40</v>
      </c>
      <c r="K1104" s="19">
        <f>MONTH(tblRidershipData[[#This Row],[MeasurementDate]])</f>
        <v>10</v>
      </c>
    </row>
    <row r="1105" spans="1:11" x14ac:dyDescent="0.25">
      <c r="A1105" s="31">
        <v>43740</v>
      </c>
      <c r="B1105" t="s">
        <v>4</v>
      </c>
      <c r="C1105" s="31">
        <v>1754</v>
      </c>
      <c r="D1105" t="s">
        <v>100</v>
      </c>
      <c r="E1105" t="s">
        <v>111</v>
      </c>
      <c r="F1105">
        <v>1</v>
      </c>
      <c r="G1105" t="s">
        <v>67</v>
      </c>
      <c r="H1105" t="s">
        <v>110</v>
      </c>
      <c r="I1105">
        <v>3</v>
      </c>
      <c r="J1105" s="19">
        <f>WEEKNUM(tblRidershipData[[#This Row],[MeasurementDate]])</f>
        <v>40</v>
      </c>
      <c r="K1105" s="19">
        <f>MONTH(tblRidershipData[[#This Row],[MeasurementDate]])</f>
        <v>10</v>
      </c>
    </row>
    <row r="1106" spans="1:11" x14ac:dyDescent="0.25">
      <c r="A1106" s="31">
        <v>43740</v>
      </c>
      <c r="B1106" t="s">
        <v>4</v>
      </c>
      <c r="C1106" s="31">
        <v>1754</v>
      </c>
      <c r="D1106" t="s">
        <v>100</v>
      </c>
      <c r="E1106" t="s">
        <v>111</v>
      </c>
      <c r="F1106">
        <v>1</v>
      </c>
      <c r="G1106" t="s">
        <v>69</v>
      </c>
      <c r="H1106" t="s">
        <v>110</v>
      </c>
      <c r="I1106">
        <v>7</v>
      </c>
      <c r="J1106" s="19">
        <f>WEEKNUM(tblRidershipData[[#This Row],[MeasurementDate]])</f>
        <v>40</v>
      </c>
      <c r="K1106" s="19">
        <f>MONTH(tblRidershipData[[#This Row],[MeasurementDate]])</f>
        <v>10</v>
      </c>
    </row>
    <row r="1107" spans="1:11" x14ac:dyDescent="0.25">
      <c r="A1107" s="31">
        <v>43740</v>
      </c>
      <c r="B1107" t="s">
        <v>4</v>
      </c>
      <c r="C1107" s="31">
        <v>1754</v>
      </c>
      <c r="D1107" t="s">
        <v>100</v>
      </c>
      <c r="E1107" t="s">
        <v>111</v>
      </c>
      <c r="F1107">
        <v>1</v>
      </c>
      <c r="G1107" t="s">
        <v>73</v>
      </c>
      <c r="H1107" t="s">
        <v>110</v>
      </c>
      <c r="I1107">
        <v>1</v>
      </c>
      <c r="J1107" s="19">
        <f>WEEKNUM(tblRidershipData[[#This Row],[MeasurementDate]])</f>
        <v>40</v>
      </c>
      <c r="K1107" s="19">
        <f>MONTH(tblRidershipData[[#This Row],[MeasurementDate]])</f>
        <v>10</v>
      </c>
    </row>
    <row r="1108" spans="1:11" x14ac:dyDescent="0.25">
      <c r="A1108" s="31">
        <v>43740</v>
      </c>
      <c r="B1108" t="s">
        <v>4</v>
      </c>
      <c r="C1108" s="31">
        <v>1754</v>
      </c>
      <c r="D1108" t="s">
        <v>100</v>
      </c>
      <c r="E1108" t="s">
        <v>109</v>
      </c>
      <c r="F1108">
        <v>1</v>
      </c>
      <c r="G1108" t="s">
        <v>52</v>
      </c>
      <c r="H1108" t="s">
        <v>110</v>
      </c>
      <c r="I1108">
        <v>13</v>
      </c>
      <c r="J1108" s="19">
        <f>WEEKNUM(tblRidershipData[[#This Row],[MeasurementDate]])</f>
        <v>40</v>
      </c>
      <c r="K1108" s="19">
        <f>MONTH(tblRidershipData[[#This Row],[MeasurementDate]])</f>
        <v>10</v>
      </c>
    </row>
    <row r="1109" spans="1:11" x14ac:dyDescent="0.25">
      <c r="A1109" s="31">
        <v>43740</v>
      </c>
      <c r="B1109" t="s">
        <v>4</v>
      </c>
      <c r="C1109" s="31">
        <v>1754</v>
      </c>
      <c r="D1109" t="s">
        <v>100</v>
      </c>
      <c r="E1109" t="s">
        <v>111</v>
      </c>
      <c r="F1109">
        <v>1</v>
      </c>
      <c r="G1109" t="s">
        <v>51</v>
      </c>
      <c r="H1109" t="s">
        <v>112</v>
      </c>
      <c r="I1109">
        <v>3</v>
      </c>
      <c r="J1109" s="19">
        <f>WEEKNUM(tblRidershipData[[#This Row],[MeasurementDate]])</f>
        <v>40</v>
      </c>
      <c r="K1109" s="19">
        <f>MONTH(tblRidershipData[[#This Row],[MeasurementDate]])</f>
        <v>10</v>
      </c>
    </row>
    <row r="1110" spans="1:11" x14ac:dyDescent="0.25">
      <c r="A1110" s="31">
        <v>43740</v>
      </c>
      <c r="B1110" t="s">
        <v>4</v>
      </c>
      <c r="C1110" s="31">
        <v>1754</v>
      </c>
      <c r="D1110" t="s">
        <v>100</v>
      </c>
      <c r="E1110" t="s">
        <v>111</v>
      </c>
      <c r="F1110">
        <v>1</v>
      </c>
      <c r="G1110" t="s">
        <v>56</v>
      </c>
      <c r="H1110" t="s">
        <v>112</v>
      </c>
      <c r="I1110">
        <v>3</v>
      </c>
      <c r="J1110" s="19">
        <f>WEEKNUM(tblRidershipData[[#This Row],[MeasurementDate]])</f>
        <v>40</v>
      </c>
      <c r="K1110" s="19">
        <f>MONTH(tblRidershipData[[#This Row],[MeasurementDate]])</f>
        <v>10</v>
      </c>
    </row>
    <row r="1111" spans="1:11" x14ac:dyDescent="0.25">
      <c r="A1111" s="31">
        <v>43740</v>
      </c>
      <c r="B1111" t="s">
        <v>4</v>
      </c>
      <c r="C1111" s="31">
        <v>1754</v>
      </c>
      <c r="D1111" t="s">
        <v>100</v>
      </c>
      <c r="E1111" t="s">
        <v>111</v>
      </c>
      <c r="F1111">
        <v>1</v>
      </c>
      <c r="G1111" t="s">
        <v>67</v>
      </c>
      <c r="H1111" t="s">
        <v>112</v>
      </c>
      <c r="I1111">
        <v>34</v>
      </c>
      <c r="J1111" s="19">
        <f>WEEKNUM(tblRidershipData[[#This Row],[MeasurementDate]])</f>
        <v>40</v>
      </c>
      <c r="K1111" s="19">
        <f>MONTH(tblRidershipData[[#This Row],[MeasurementDate]])</f>
        <v>10</v>
      </c>
    </row>
    <row r="1112" spans="1:11" x14ac:dyDescent="0.25">
      <c r="A1112" s="31">
        <v>43740</v>
      </c>
      <c r="B1112" t="s">
        <v>4</v>
      </c>
      <c r="C1112" s="31">
        <v>1754</v>
      </c>
      <c r="D1112" t="s">
        <v>100</v>
      </c>
      <c r="E1112" t="s">
        <v>111</v>
      </c>
      <c r="F1112">
        <v>1</v>
      </c>
      <c r="G1112" t="s">
        <v>73</v>
      </c>
      <c r="H1112" t="s">
        <v>112</v>
      </c>
      <c r="I1112">
        <v>9</v>
      </c>
      <c r="J1112" s="19">
        <f>WEEKNUM(tblRidershipData[[#This Row],[MeasurementDate]])</f>
        <v>40</v>
      </c>
      <c r="K1112" s="19">
        <f>MONTH(tblRidershipData[[#This Row],[MeasurementDate]])</f>
        <v>10</v>
      </c>
    </row>
    <row r="1113" spans="1:11" x14ac:dyDescent="0.25">
      <c r="A1113" s="31">
        <v>43740</v>
      </c>
      <c r="B1113" t="s">
        <v>4</v>
      </c>
      <c r="C1113" s="31">
        <v>1754</v>
      </c>
      <c r="D1113" t="s">
        <v>100</v>
      </c>
      <c r="E1113" t="s">
        <v>109</v>
      </c>
      <c r="F1113">
        <v>1</v>
      </c>
      <c r="G1113" t="s">
        <v>48</v>
      </c>
      <c r="H1113" t="s">
        <v>112</v>
      </c>
      <c r="I1113">
        <v>2</v>
      </c>
      <c r="J1113" s="19">
        <f>WEEKNUM(tblRidershipData[[#This Row],[MeasurementDate]])</f>
        <v>40</v>
      </c>
      <c r="K1113" s="19">
        <f>MONTH(tblRidershipData[[#This Row],[MeasurementDate]])</f>
        <v>10</v>
      </c>
    </row>
    <row r="1114" spans="1:11" x14ac:dyDescent="0.25">
      <c r="A1114" s="31">
        <v>43740</v>
      </c>
      <c r="B1114" t="s">
        <v>4</v>
      </c>
      <c r="C1114" s="31">
        <v>1754</v>
      </c>
      <c r="D1114" t="s">
        <v>100</v>
      </c>
      <c r="E1114" t="s">
        <v>109</v>
      </c>
      <c r="F1114">
        <v>1</v>
      </c>
      <c r="G1114" t="s">
        <v>56</v>
      </c>
      <c r="H1114" t="s">
        <v>112</v>
      </c>
      <c r="I1114">
        <v>2</v>
      </c>
      <c r="J1114" s="19">
        <f>WEEKNUM(tblRidershipData[[#This Row],[MeasurementDate]])</f>
        <v>40</v>
      </c>
      <c r="K1114" s="19">
        <f>MONTH(tblRidershipData[[#This Row],[MeasurementDate]])</f>
        <v>10</v>
      </c>
    </row>
    <row r="1115" spans="1:11" x14ac:dyDescent="0.25">
      <c r="A1115" s="31">
        <v>43740</v>
      </c>
      <c r="B1115" t="s">
        <v>4</v>
      </c>
      <c r="C1115" s="31">
        <v>1754</v>
      </c>
      <c r="D1115" t="s">
        <v>100</v>
      </c>
      <c r="E1115" t="s">
        <v>109</v>
      </c>
      <c r="F1115">
        <v>1</v>
      </c>
      <c r="G1115" t="s">
        <v>72</v>
      </c>
      <c r="H1115" t="s">
        <v>112</v>
      </c>
      <c r="I1115">
        <v>9</v>
      </c>
      <c r="J1115" s="19">
        <f>WEEKNUM(tblRidershipData[[#This Row],[MeasurementDate]])</f>
        <v>40</v>
      </c>
      <c r="K1115" s="19">
        <f>MONTH(tblRidershipData[[#This Row],[MeasurementDate]])</f>
        <v>10</v>
      </c>
    </row>
    <row r="1116" spans="1:11" x14ac:dyDescent="0.25">
      <c r="A1116" s="31">
        <v>43740</v>
      </c>
      <c r="B1116" t="s">
        <v>4</v>
      </c>
      <c r="C1116" s="31">
        <v>1761</v>
      </c>
      <c r="D1116" t="s">
        <v>92</v>
      </c>
      <c r="E1116" t="s">
        <v>111</v>
      </c>
      <c r="F1116">
        <v>1</v>
      </c>
      <c r="G1116" t="s">
        <v>59</v>
      </c>
      <c r="H1116" t="s">
        <v>112</v>
      </c>
      <c r="I1116">
        <v>15</v>
      </c>
      <c r="J1116" s="19">
        <f>WEEKNUM(tblRidershipData[[#This Row],[MeasurementDate]])</f>
        <v>40</v>
      </c>
      <c r="K1116" s="19">
        <f>MONTH(tblRidershipData[[#This Row],[MeasurementDate]])</f>
        <v>10</v>
      </c>
    </row>
    <row r="1117" spans="1:11" x14ac:dyDescent="0.25">
      <c r="A1117" s="31">
        <v>43740</v>
      </c>
      <c r="B1117" t="s">
        <v>4</v>
      </c>
      <c r="C1117" s="31">
        <v>1761</v>
      </c>
      <c r="D1117" t="s">
        <v>92</v>
      </c>
      <c r="E1117" t="s">
        <v>111</v>
      </c>
      <c r="F1117">
        <v>1</v>
      </c>
      <c r="G1117" t="s">
        <v>67</v>
      </c>
      <c r="H1117" t="s">
        <v>112</v>
      </c>
      <c r="I1117">
        <v>10</v>
      </c>
      <c r="J1117" s="19">
        <f>WEEKNUM(tblRidershipData[[#This Row],[MeasurementDate]])</f>
        <v>40</v>
      </c>
      <c r="K1117" s="19">
        <f>MONTH(tblRidershipData[[#This Row],[MeasurementDate]])</f>
        <v>10</v>
      </c>
    </row>
    <row r="1118" spans="1:11" x14ac:dyDescent="0.25">
      <c r="A1118" s="31">
        <v>43740</v>
      </c>
      <c r="B1118" t="s">
        <v>4</v>
      </c>
      <c r="C1118" s="31">
        <v>1761</v>
      </c>
      <c r="D1118" t="s">
        <v>92</v>
      </c>
      <c r="E1118" t="s">
        <v>111</v>
      </c>
      <c r="F1118">
        <v>1</v>
      </c>
      <c r="G1118" t="s">
        <v>72</v>
      </c>
      <c r="H1118" t="s">
        <v>112</v>
      </c>
      <c r="I1118">
        <v>5</v>
      </c>
      <c r="J1118" s="19">
        <f>WEEKNUM(tblRidershipData[[#This Row],[MeasurementDate]])</f>
        <v>40</v>
      </c>
      <c r="K1118" s="19">
        <f>MONTH(tblRidershipData[[#This Row],[MeasurementDate]])</f>
        <v>10</v>
      </c>
    </row>
    <row r="1119" spans="1:11" x14ac:dyDescent="0.25">
      <c r="A1119" s="31">
        <v>43740</v>
      </c>
      <c r="B1119" t="s">
        <v>4</v>
      </c>
      <c r="C1119" s="31">
        <v>1761</v>
      </c>
      <c r="D1119" t="s">
        <v>92</v>
      </c>
      <c r="E1119" t="s">
        <v>111</v>
      </c>
      <c r="F1119">
        <v>1</v>
      </c>
      <c r="G1119" t="s">
        <v>74</v>
      </c>
      <c r="H1119" t="s">
        <v>112</v>
      </c>
      <c r="I1119">
        <v>35</v>
      </c>
      <c r="J1119" s="19">
        <f>WEEKNUM(tblRidershipData[[#This Row],[MeasurementDate]])</f>
        <v>40</v>
      </c>
      <c r="K1119" s="19">
        <f>MONTH(tblRidershipData[[#This Row],[MeasurementDate]])</f>
        <v>10</v>
      </c>
    </row>
    <row r="1120" spans="1:11" x14ac:dyDescent="0.25">
      <c r="A1120" s="31">
        <v>43740</v>
      </c>
      <c r="B1120" t="s">
        <v>4</v>
      </c>
      <c r="C1120" s="31">
        <v>1761</v>
      </c>
      <c r="D1120" t="s">
        <v>92</v>
      </c>
      <c r="E1120" t="s">
        <v>111</v>
      </c>
      <c r="F1120">
        <v>2</v>
      </c>
      <c r="G1120" t="s">
        <v>44</v>
      </c>
      <c r="H1120" t="s">
        <v>112</v>
      </c>
      <c r="I1120">
        <v>5</v>
      </c>
      <c r="J1120" s="19">
        <f>WEEKNUM(tblRidershipData[[#This Row],[MeasurementDate]])</f>
        <v>40</v>
      </c>
      <c r="K1120" s="19">
        <f>MONTH(tblRidershipData[[#This Row],[MeasurementDate]])</f>
        <v>10</v>
      </c>
    </row>
    <row r="1121" spans="1:11" x14ac:dyDescent="0.25">
      <c r="A1121" s="31">
        <v>43740</v>
      </c>
      <c r="B1121" t="s">
        <v>4</v>
      </c>
      <c r="C1121" s="31">
        <v>1761</v>
      </c>
      <c r="D1121" t="s">
        <v>92</v>
      </c>
      <c r="E1121" t="s">
        <v>109</v>
      </c>
      <c r="F1121">
        <v>1</v>
      </c>
      <c r="G1121" t="s">
        <v>76</v>
      </c>
      <c r="H1121" t="s">
        <v>112</v>
      </c>
      <c r="I1121">
        <v>3</v>
      </c>
      <c r="J1121" s="19">
        <f>WEEKNUM(tblRidershipData[[#This Row],[MeasurementDate]])</f>
        <v>40</v>
      </c>
      <c r="K1121" s="19">
        <f>MONTH(tblRidershipData[[#This Row],[MeasurementDate]])</f>
        <v>10</v>
      </c>
    </row>
    <row r="1122" spans="1:11" x14ac:dyDescent="0.25">
      <c r="A1122" s="31">
        <v>43740</v>
      </c>
      <c r="B1122" t="s">
        <v>4</v>
      </c>
      <c r="C1122" s="31">
        <v>1761</v>
      </c>
      <c r="D1122" t="s">
        <v>92</v>
      </c>
      <c r="E1122" t="s">
        <v>109</v>
      </c>
      <c r="F1122">
        <v>2</v>
      </c>
      <c r="G1122" t="s">
        <v>43</v>
      </c>
      <c r="H1122" t="s">
        <v>112</v>
      </c>
      <c r="I1122">
        <v>2</v>
      </c>
      <c r="J1122" s="19">
        <f>WEEKNUM(tblRidershipData[[#This Row],[MeasurementDate]])</f>
        <v>40</v>
      </c>
      <c r="K1122" s="19">
        <f>MONTH(tblRidershipData[[#This Row],[MeasurementDate]])</f>
        <v>10</v>
      </c>
    </row>
    <row r="1123" spans="1:11" x14ac:dyDescent="0.25">
      <c r="A1123" s="31">
        <v>43740</v>
      </c>
      <c r="B1123" t="s">
        <v>4</v>
      </c>
      <c r="C1123" s="31">
        <v>1761</v>
      </c>
      <c r="D1123" t="s">
        <v>92</v>
      </c>
      <c r="E1123" t="s">
        <v>109</v>
      </c>
      <c r="F1123">
        <v>2</v>
      </c>
      <c r="G1123" t="s">
        <v>45</v>
      </c>
      <c r="H1123" t="s">
        <v>112</v>
      </c>
      <c r="I1123">
        <v>9</v>
      </c>
      <c r="J1123" s="19">
        <f>WEEKNUM(tblRidershipData[[#This Row],[MeasurementDate]])</f>
        <v>40</v>
      </c>
      <c r="K1123" s="19">
        <f>MONTH(tblRidershipData[[#This Row],[MeasurementDate]])</f>
        <v>10</v>
      </c>
    </row>
    <row r="1124" spans="1:11" x14ac:dyDescent="0.25">
      <c r="A1124" s="31">
        <v>43740</v>
      </c>
      <c r="B1124" t="s">
        <v>4</v>
      </c>
      <c r="C1124" s="31">
        <v>1761</v>
      </c>
      <c r="D1124" t="s">
        <v>92</v>
      </c>
      <c r="E1124" t="s">
        <v>109</v>
      </c>
      <c r="F1124">
        <v>2</v>
      </c>
      <c r="G1124" t="s">
        <v>47</v>
      </c>
      <c r="H1124" t="s">
        <v>112</v>
      </c>
      <c r="I1124">
        <v>8</v>
      </c>
      <c r="J1124" s="19">
        <f>WEEKNUM(tblRidershipData[[#This Row],[MeasurementDate]])</f>
        <v>40</v>
      </c>
      <c r="K1124" s="19">
        <f>MONTH(tblRidershipData[[#This Row],[MeasurementDate]])</f>
        <v>10</v>
      </c>
    </row>
    <row r="1125" spans="1:11" x14ac:dyDescent="0.25">
      <c r="A1125" s="31">
        <v>43740</v>
      </c>
      <c r="B1125" t="s">
        <v>4</v>
      </c>
      <c r="C1125" s="31">
        <v>1761</v>
      </c>
      <c r="D1125" t="s">
        <v>92</v>
      </c>
      <c r="E1125" t="s">
        <v>109</v>
      </c>
      <c r="F1125">
        <v>2</v>
      </c>
      <c r="G1125" t="s">
        <v>49</v>
      </c>
      <c r="H1125" t="s">
        <v>112</v>
      </c>
      <c r="I1125">
        <v>1</v>
      </c>
      <c r="J1125" s="19">
        <f>WEEKNUM(tblRidershipData[[#This Row],[MeasurementDate]])</f>
        <v>40</v>
      </c>
      <c r="K1125" s="19">
        <f>MONTH(tblRidershipData[[#This Row],[MeasurementDate]])</f>
        <v>10</v>
      </c>
    </row>
    <row r="1126" spans="1:11" x14ac:dyDescent="0.25">
      <c r="A1126" s="31">
        <v>43740</v>
      </c>
      <c r="B1126" t="s">
        <v>4</v>
      </c>
      <c r="C1126" s="31">
        <v>1761</v>
      </c>
      <c r="D1126" t="s">
        <v>92</v>
      </c>
      <c r="E1126" t="s">
        <v>109</v>
      </c>
      <c r="F1126">
        <v>2</v>
      </c>
      <c r="G1126" t="s">
        <v>50</v>
      </c>
      <c r="H1126" t="s">
        <v>112</v>
      </c>
      <c r="I1126">
        <v>3</v>
      </c>
      <c r="J1126" s="19">
        <f>WEEKNUM(tblRidershipData[[#This Row],[MeasurementDate]])</f>
        <v>40</v>
      </c>
      <c r="K1126" s="19">
        <f>MONTH(tblRidershipData[[#This Row],[MeasurementDate]])</f>
        <v>10</v>
      </c>
    </row>
    <row r="1127" spans="1:11" x14ac:dyDescent="0.25">
      <c r="A1127" s="31">
        <v>43740</v>
      </c>
      <c r="B1127" t="s">
        <v>4</v>
      </c>
      <c r="C1127" s="31">
        <v>1761</v>
      </c>
      <c r="D1127" t="s">
        <v>92</v>
      </c>
      <c r="E1127" t="s">
        <v>109</v>
      </c>
      <c r="F1127">
        <v>2</v>
      </c>
      <c r="G1127" t="s">
        <v>52</v>
      </c>
      <c r="H1127" t="s">
        <v>112</v>
      </c>
      <c r="I1127">
        <v>3</v>
      </c>
      <c r="J1127" s="19">
        <f>WEEKNUM(tblRidershipData[[#This Row],[MeasurementDate]])</f>
        <v>40</v>
      </c>
      <c r="K1127" s="19">
        <f>MONTH(tblRidershipData[[#This Row],[MeasurementDate]])</f>
        <v>10</v>
      </c>
    </row>
    <row r="1128" spans="1:11" x14ac:dyDescent="0.25">
      <c r="A1128" s="31">
        <v>43740</v>
      </c>
      <c r="B1128" t="s">
        <v>4</v>
      </c>
      <c r="C1128" s="31">
        <v>1761</v>
      </c>
      <c r="D1128" t="s">
        <v>92</v>
      </c>
      <c r="E1128" t="s">
        <v>109</v>
      </c>
      <c r="F1128">
        <v>2</v>
      </c>
      <c r="G1128" t="s">
        <v>58</v>
      </c>
      <c r="H1128" t="s">
        <v>112</v>
      </c>
      <c r="I1128">
        <v>1</v>
      </c>
      <c r="J1128" s="19">
        <f>WEEKNUM(tblRidershipData[[#This Row],[MeasurementDate]])</f>
        <v>40</v>
      </c>
      <c r="K1128" s="19">
        <f>MONTH(tblRidershipData[[#This Row],[MeasurementDate]])</f>
        <v>10</v>
      </c>
    </row>
    <row r="1129" spans="1:11" x14ac:dyDescent="0.25">
      <c r="A1129" s="31">
        <v>43740</v>
      </c>
      <c r="B1129" t="s">
        <v>4</v>
      </c>
      <c r="C1129" s="31">
        <v>1761</v>
      </c>
      <c r="D1129" t="s">
        <v>92</v>
      </c>
      <c r="E1129" t="s">
        <v>109</v>
      </c>
      <c r="F1129">
        <v>2</v>
      </c>
      <c r="G1129" t="s">
        <v>69</v>
      </c>
      <c r="H1129" t="s">
        <v>112</v>
      </c>
      <c r="I1129">
        <v>2</v>
      </c>
      <c r="J1129" s="19">
        <f>WEEKNUM(tblRidershipData[[#This Row],[MeasurementDate]])</f>
        <v>40</v>
      </c>
      <c r="K1129" s="19">
        <f>MONTH(tblRidershipData[[#This Row],[MeasurementDate]])</f>
        <v>10</v>
      </c>
    </row>
    <row r="1130" spans="1:11" x14ac:dyDescent="0.25">
      <c r="A1130" s="31">
        <v>43740</v>
      </c>
      <c r="B1130" t="s">
        <v>4</v>
      </c>
      <c r="C1130" s="31">
        <v>1761</v>
      </c>
      <c r="D1130" t="s">
        <v>92</v>
      </c>
      <c r="E1130" t="s">
        <v>109</v>
      </c>
      <c r="F1130">
        <v>2</v>
      </c>
      <c r="G1130" t="s">
        <v>70</v>
      </c>
      <c r="H1130" t="s">
        <v>112</v>
      </c>
      <c r="I1130">
        <v>4</v>
      </c>
      <c r="J1130" s="19">
        <f>WEEKNUM(tblRidershipData[[#This Row],[MeasurementDate]])</f>
        <v>40</v>
      </c>
      <c r="K1130" s="19">
        <f>MONTH(tblRidershipData[[#This Row],[MeasurementDate]])</f>
        <v>10</v>
      </c>
    </row>
    <row r="1131" spans="1:11" x14ac:dyDescent="0.25">
      <c r="A1131" s="31">
        <v>43740</v>
      </c>
      <c r="B1131" t="s">
        <v>4</v>
      </c>
      <c r="C1131" s="31">
        <v>1761</v>
      </c>
      <c r="D1131" t="s">
        <v>92</v>
      </c>
      <c r="E1131" t="s">
        <v>111</v>
      </c>
      <c r="F1131">
        <v>1</v>
      </c>
      <c r="G1131" t="s">
        <v>45</v>
      </c>
      <c r="H1131" t="s">
        <v>110</v>
      </c>
      <c r="I1131">
        <v>5</v>
      </c>
      <c r="J1131" s="19">
        <f>WEEKNUM(tblRidershipData[[#This Row],[MeasurementDate]])</f>
        <v>40</v>
      </c>
      <c r="K1131" s="19">
        <f>MONTH(tblRidershipData[[#This Row],[MeasurementDate]])</f>
        <v>10</v>
      </c>
    </row>
    <row r="1132" spans="1:11" x14ac:dyDescent="0.25">
      <c r="A1132" s="31">
        <v>43740</v>
      </c>
      <c r="B1132" t="s">
        <v>4</v>
      </c>
      <c r="C1132" s="31">
        <v>1761</v>
      </c>
      <c r="D1132" t="s">
        <v>92</v>
      </c>
      <c r="E1132" t="s">
        <v>111</v>
      </c>
      <c r="F1132">
        <v>1</v>
      </c>
      <c r="G1132" t="s">
        <v>47</v>
      </c>
      <c r="H1132" t="s">
        <v>110</v>
      </c>
      <c r="I1132">
        <v>10</v>
      </c>
      <c r="J1132" s="19">
        <f>WEEKNUM(tblRidershipData[[#This Row],[MeasurementDate]])</f>
        <v>40</v>
      </c>
      <c r="K1132" s="19">
        <f>MONTH(tblRidershipData[[#This Row],[MeasurementDate]])</f>
        <v>10</v>
      </c>
    </row>
    <row r="1133" spans="1:11" x14ac:dyDescent="0.25">
      <c r="A1133" s="31">
        <v>43740</v>
      </c>
      <c r="B1133" t="s">
        <v>4</v>
      </c>
      <c r="C1133" s="31">
        <v>1761</v>
      </c>
      <c r="D1133" t="s">
        <v>92</v>
      </c>
      <c r="E1133" t="s">
        <v>111</v>
      </c>
      <c r="F1133">
        <v>1</v>
      </c>
      <c r="G1133" t="s">
        <v>54</v>
      </c>
      <c r="H1133" t="s">
        <v>110</v>
      </c>
      <c r="I1133">
        <v>20</v>
      </c>
      <c r="J1133" s="19">
        <f>WEEKNUM(tblRidershipData[[#This Row],[MeasurementDate]])</f>
        <v>40</v>
      </c>
      <c r="K1133" s="19">
        <f>MONTH(tblRidershipData[[#This Row],[MeasurementDate]])</f>
        <v>10</v>
      </c>
    </row>
    <row r="1134" spans="1:11" x14ac:dyDescent="0.25">
      <c r="A1134" s="31">
        <v>43740</v>
      </c>
      <c r="B1134" t="s">
        <v>4</v>
      </c>
      <c r="C1134" s="31">
        <v>1761</v>
      </c>
      <c r="D1134" t="s">
        <v>92</v>
      </c>
      <c r="E1134" t="s">
        <v>111</v>
      </c>
      <c r="F1134">
        <v>1</v>
      </c>
      <c r="G1134" t="s">
        <v>58</v>
      </c>
      <c r="H1134" t="s">
        <v>110</v>
      </c>
      <c r="I1134">
        <v>2</v>
      </c>
      <c r="J1134" s="19">
        <f>WEEKNUM(tblRidershipData[[#This Row],[MeasurementDate]])</f>
        <v>40</v>
      </c>
      <c r="K1134" s="19">
        <f>MONTH(tblRidershipData[[#This Row],[MeasurementDate]])</f>
        <v>10</v>
      </c>
    </row>
    <row r="1135" spans="1:11" x14ac:dyDescent="0.25">
      <c r="A1135" s="31">
        <v>43740</v>
      </c>
      <c r="B1135" t="s">
        <v>4</v>
      </c>
      <c r="C1135" s="31">
        <v>1761</v>
      </c>
      <c r="D1135" t="s">
        <v>92</v>
      </c>
      <c r="E1135" t="s">
        <v>111</v>
      </c>
      <c r="F1135">
        <v>1</v>
      </c>
      <c r="G1135" t="s">
        <v>62</v>
      </c>
      <c r="H1135" t="s">
        <v>110</v>
      </c>
      <c r="I1135">
        <v>18</v>
      </c>
      <c r="J1135" s="19">
        <f>WEEKNUM(tblRidershipData[[#This Row],[MeasurementDate]])</f>
        <v>40</v>
      </c>
      <c r="K1135" s="19">
        <f>MONTH(tblRidershipData[[#This Row],[MeasurementDate]])</f>
        <v>10</v>
      </c>
    </row>
    <row r="1136" spans="1:11" x14ac:dyDescent="0.25">
      <c r="A1136" s="31">
        <v>43740</v>
      </c>
      <c r="B1136" t="s">
        <v>4</v>
      </c>
      <c r="C1136" s="31">
        <v>1761</v>
      </c>
      <c r="D1136" t="s">
        <v>92</v>
      </c>
      <c r="E1136" t="s">
        <v>111</v>
      </c>
      <c r="F1136">
        <v>1</v>
      </c>
      <c r="G1136" t="s">
        <v>67</v>
      </c>
      <c r="H1136" t="s">
        <v>110</v>
      </c>
      <c r="I1136">
        <v>4</v>
      </c>
      <c r="J1136" s="19">
        <f>WEEKNUM(tblRidershipData[[#This Row],[MeasurementDate]])</f>
        <v>40</v>
      </c>
      <c r="K1136" s="19">
        <f>MONTH(tblRidershipData[[#This Row],[MeasurementDate]])</f>
        <v>10</v>
      </c>
    </row>
    <row r="1137" spans="1:11" x14ac:dyDescent="0.25">
      <c r="A1137" s="31">
        <v>43740</v>
      </c>
      <c r="B1137" t="s">
        <v>4</v>
      </c>
      <c r="C1137" s="31">
        <v>1761</v>
      </c>
      <c r="D1137" t="s">
        <v>92</v>
      </c>
      <c r="E1137" t="s">
        <v>111</v>
      </c>
      <c r="F1137">
        <v>1</v>
      </c>
      <c r="G1137" t="s">
        <v>73</v>
      </c>
      <c r="H1137" t="s">
        <v>110</v>
      </c>
      <c r="I1137">
        <v>1</v>
      </c>
      <c r="J1137" s="19">
        <f>WEEKNUM(tblRidershipData[[#This Row],[MeasurementDate]])</f>
        <v>40</v>
      </c>
      <c r="K1137" s="19">
        <f>MONTH(tblRidershipData[[#This Row],[MeasurementDate]])</f>
        <v>10</v>
      </c>
    </row>
    <row r="1138" spans="1:11" x14ac:dyDescent="0.25">
      <c r="A1138" s="31">
        <v>43740</v>
      </c>
      <c r="B1138" t="s">
        <v>4</v>
      </c>
      <c r="C1138" s="31">
        <v>1761</v>
      </c>
      <c r="D1138" t="s">
        <v>92</v>
      </c>
      <c r="E1138" t="s">
        <v>111</v>
      </c>
      <c r="F1138">
        <v>1</v>
      </c>
      <c r="G1138" t="s">
        <v>74</v>
      </c>
      <c r="H1138" t="s">
        <v>110</v>
      </c>
      <c r="I1138">
        <v>5</v>
      </c>
      <c r="J1138" s="19">
        <f>WEEKNUM(tblRidershipData[[#This Row],[MeasurementDate]])</f>
        <v>40</v>
      </c>
      <c r="K1138" s="19">
        <f>MONTH(tblRidershipData[[#This Row],[MeasurementDate]])</f>
        <v>10</v>
      </c>
    </row>
    <row r="1139" spans="1:11" x14ac:dyDescent="0.25">
      <c r="A1139" s="31">
        <v>43740</v>
      </c>
      <c r="B1139" t="s">
        <v>4</v>
      </c>
      <c r="C1139" s="31">
        <v>1761</v>
      </c>
      <c r="D1139" t="s">
        <v>92</v>
      </c>
      <c r="E1139" t="s">
        <v>111</v>
      </c>
      <c r="F1139">
        <v>2</v>
      </c>
      <c r="G1139" t="s">
        <v>50</v>
      </c>
      <c r="H1139" t="s">
        <v>110</v>
      </c>
      <c r="I1139">
        <v>4</v>
      </c>
      <c r="J1139" s="19">
        <f>WEEKNUM(tblRidershipData[[#This Row],[MeasurementDate]])</f>
        <v>40</v>
      </c>
      <c r="K1139" s="19">
        <f>MONTH(tblRidershipData[[#This Row],[MeasurementDate]])</f>
        <v>10</v>
      </c>
    </row>
    <row r="1140" spans="1:11" x14ac:dyDescent="0.25">
      <c r="A1140" s="31">
        <v>43740</v>
      </c>
      <c r="B1140" t="s">
        <v>4</v>
      </c>
      <c r="C1140" s="31">
        <v>1761</v>
      </c>
      <c r="D1140" t="s">
        <v>92</v>
      </c>
      <c r="E1140" t="s">
        <v>111</v>
      </c>
      <c r="F1140">
        <v>2</v>
      </c>
      <c r="G1140" t="s">
        <v>77</v>
      </c>
      <c r="H1140" t="s">
        <v>110</v>
      </c>
      <c r="I1140">
        <v>1</v>
      </c>
      <c r="J1140" s="19">
        <f>WEEKNUM(tblRidershipData[[#This Row],[MeasurementDate]])</f>
        <v>40</v>
      </c>
      <c r="K1140" s="19">
        <f>MONTH(tblRidershipData[[#This Row],[MeasurementDate]])</f>
        <v>10</v>
      </c>
    </row>
    <row r="1141" spans="1:11" x14ac:dyDescent="0.25">
      <c r="A1141" s="31">
        <v>43740</v>
      </c>
      <c r="B1141" t="s">
        <v>4</v>
      </c>
      <c r="C1141" s="31">
        <v>1761</v>
      </c>
      <c r="D1141" t="s">
        <v>92</v>
      </c>
      <c r="E1141" t="s">
        <v>109</v>
      </c>
      <c r="F1141">
        <v>1</v>
      </c>
      <c r="G1141" t="s">
        <v>46</v>
      </c>
      <c r="H1141" t="s">
        <v>110</v>
      </c>
      <c r="I1141">
        <v>3</v>
      </c>
      <c r="J1141" s="19">
        <f>WEEKNUM(tblRidershipData[[#This Row],[MeasurementDate]])</f>
        <v>40</v>
      </c>
      <c r="K1141" s="19">
        <f>MONTH(tblRidershipData[[#This Row],[MeasurementDate]])</f>
        <v>10</v>
      </c>
    </row>
    <row r="1142" spans="1:11" x14ac:dyDescent="0.25">
      <c r="A1142" s="31">
        <v>43740</v>
      </c>
      <c r="B1142" t="s">
        <v>4</v>
      </c>
      <c r="C1142" s="31">
        <v>1761</v>
      </c>
      <c r="D1142" t="s">
        <v>92</v>
      </c>
      <c r="E1142" t="s">
        <v>109</v>
      </c>
      <c r="F1142">
        <v>2</v>
      </c>
      <c r="G1142" t="s">
        <v>58</v>
      </c>
      <c r="H1142" t="s">
        <v>110</v>
      </c>
      <c r="I1142">
        <v>8</v>
      </c>
      <c r="J1142" s="19">
        <f>WEEKNUM(tblRidershipData[[#This Row],[MeasurementDate]])</f>
        <v>40</v>
      </c>
      <c r="K1142" s="19">
        <f>MONTH(tblRidershipData[[#This Row],[MeasurementDate]])</f>
        <v>10</v>
      </c>
    </row>
    <row r="1143" spans="1:11" x14ac:dyDescent="0.25">
      <c r="A1143" s="31">
        <v>43740</v>
      </c>
      <c r="B1143" t="s">
        <v>4</v>
      </c>
      <c r="C1143" s="31">
        <v>1761</v>
      </c>
      <c r="D1143" t="s">
        <v>92</v>
      </c>
      <c r="E1143" t="s">
        <v>109</v>
      </c>
      <c r="F1143">
        <v>2</v>
      </c>
      <c r="G1143" t="s">
        <v>67</v>
      </c>
      <c r="H1143" t="s">
        <v>110</v>
      </c>
      <c r="I1143">
        <v>25</v>
      </c>
      <c r="J1143" s="19">
        <f>WEEKNUM(tblRidershipData[[#This Row],[MeasurementDate]])</f>
        <v>40</v>
      </c>
      <c r="K1143" s="19">
        <f>MONTH(tblRidershipData[[#This Row],[MeasurementDate]])</f>
        <v>10</v>
      </c>
    </row>
    <row r="1144" spans="1:11" x14ac:dyDescent="0.25">
      <c r="A1144" s="31">
        <v>43740</v>
      </c>
      <c r="B1144" t="s">
        <v>4</v>
      </c>
      <c r="C1144" s="31">
        <v>4504</v>
      </c>
      <c r="D1144" t="s">
        <v>96</v>
      </c>
      <c r="E1144" t="s">
        <v>111</v>
      </c>
      <c r="F1144">
        <v>1</v>
      </c>
      <c r="G1144" t="s">
        <v>45</v>
      </c>
      <c r="H1144" t="s">
        <v>110</v>
      </c>
      <c r="I1144">
        <v>4</v>
      </c>
      <c r="J1144" s="19">
        <f>WEEKNUM(tblRidershipData[[#This Row],[MeasurementDate]])</f>
        <v>40</v>
      </c>
      <c r="K1144" s="19">
        <f>MONTH(tblRidershipData[[#This Row],[MeasurementDate]])</f>
        <v>10</v>
      </c>
    </row>
    <row r="1145" spans="1:11" x14ac:dyDescent="0.25">
      <c r="A1145" s="31">
        <v>43740</v>
      </c>
      <c r="B1145" t="s">
        <v>4</v>
      </c>
      <c r="C1145" s="31">
        <v>4504</v>
      </c>
      <c r="D1145" t="s">
        <v>96</v>
      </c>
      <c r="E1145" t="s">
        <v>111</v>
      </c>
      <c r="F1145">
        <v>1</v>
      </c>
      <c r="G1145" t="s">
        <v>47</v>
      </c>
      <c r="H1145" t="s">
        <v>110</v>
      </c>
      <c r="I1145">
        <v>11</v>
      </c>
      <c r="J1145" s="19">
        <f>WEEKNUM(tblRidershipData[[#This Row],[MeasurementDate]])</f>
        <v>40</v>
      </c>
      <c r="K1145" s="19">
        <f>MONTH(tblRidershipData[[#This Row],[MeasurementDate]])</f>
        <v>10</v>
      </c>
    </row>
    <row r="1146" spans="1:11" x14ac:dyDescent="0.25">
      <c r="A1146" s="31">
        <v>43740</v>
      </c>
      <c r="B1146" t="s">
        <v>4</v>
      </c>
      <c r="C1146" s="31">
        <v>4504</v>
      </c>
      <c r="D1146" t="s">
        <v>96</v>
      </c>
      <c r="E1146" t="s">
        <v>111</v>
      </c>
      <c r="F1146">
        <v>1</v>
      </c>
      <c r="G1146" t="s">
        <v>58</v>
      </c>
      <c r="H1146" t="s">
        <v>110</v>
      </c>
      <c r="I1146">
        <v>2</v>
      </c>
      <c r="J1146" s="19">
        <f>WEEKNUM(tblRidershipData[[#This Row],[MeasurementDate]])</f>
        <v>40</v>
      </c>
      <c r="K1146" s="19">
        <f>MONTH(tblRidershipData[[#This Row],[MeasurementDate]])</f>
        <v>10</v>
      </c>
    </row>
    <row r="1147" spans="1:11" x14ac:dyDescent="0.25">
      <c r="A1147" s="31">
        <v>43740</v>
      </c>
      <c r="B1147" t="s">
        <v>4</v>
      </c>
      <c r="C1147" s="31">
        <v>4504</v>
      </c>
      <c r="D1147" t="s">
        <v>96</v>
      </c>
      <c r="E1147" t="s">
        <v>111</v>
      </c>
      <c r="F1147">
        <v>1</v>
      </c>
      <c r="G1147" t="s">
        <v>62</v>
      </c>
      <c r="H1147" t="s">
        <v>110</v>
      </c>
      <c r="I1147">
        <v>1</v>
      </c>
      <c r="J1147" s="19">
        <f>WEEKNUM(tblRidershipData[[#This Row],[MeasurementDate]])</f>
        <v>40</v>
      </c>
      <c r="K1147" s="19">
        <f>MONTH(tblRidershipData[[#This Row],[MeasurementDate]])</f>
        <v>10</v>
      </c>
    </row>
    <row r="1148" spans="1:11" x14ac:dyDescent="0.25">
      <c r="A1148" s="31">
        <v>43740</v>
      </c>
      <c r="B1148" t="s">
        <v>4</v>
      </c>
      <c r="C1148" s="31">
        <v>4504</v>
      </c>
      <c r="D1148" t="s">
        <v>96</v>
      </c>
      <c r="E1148" t="s">
        <v>111</v>
      </c>
      <c r="F1148">
        <v>1</v>
      </c>
      <c r="G1148" t="s">
        <v>73</v>
      </c>
      <c r="H1148" t="s">
        <v>110</v>
      </c>
      <c r="I1148">
        <v>1</v>
      </c>
      <c r="J1148" s="19">
        <f>WEEKNUM(tblRidershipData[[#This Row],[MeasurementDate]])</f>
        <v>40</v>
      </c>
      <c r="K1148" s="19">
        <f>MONTH(tblRidershipData[[#This Row],[MeasurementDate]])</f>
        <v>10</v>
      </c>
    </row>
    <row r="1149" spans="1:11" x14ac:dyDescent="0.25">
      <c r="A1149" s="31">
        <v>43740</v>
      </c>
      <c r="B1149" t="s">
        <v>4</v>
      </c>
      <c r="C1149" s="31">
        <v>4504</v>
      </c>
      <c r="D1149" t="s">
        <v>96</v>
      </c>
      <c r="E1149" t="s">
        <v>111</v>
      </c>
      <c r="F1149">
        <v>1</v>
      </c>
      <c r="G1149" t="s">
        <v>77</v>
      </c>
      <c r="H1149" t="s">
        <v>110</v>
      </c>
      <c r="I1149">
        <v>2</v>
      </c>
      <c r="J1149" s="19">
        <f>WEEKNUM(tblRidershipData[[#This Row],[MeasurementDate]])</f>
        <v>40</v>
      </c>
      <c r="K1149" s="19">
        <f>MONTH(tblRidershipData[[#This Row],[MeasurementDate]])</f>
        <v>10</v>
      </c>
    </row>
    <row r="1150" spans="1:11" x14ac:dyDescent="0.25">
      <c r="A1150" s="31">
        <v>43740</v>
      </c>
      <c r="B1150" t="s">
        <v>4</v>
      </c>
      <c r="C1150" s="31">
        <v>4504</v>
      </c>
      <c r="D1150" t="s">
        <v>96</v>
      </c>
      <c r="E1150" t="s">
        <v>109</v>
      </c>
      <c r="F1150">
        <v>1</v>
      </c>
      <c r="G1150" t="s">
        <v>56</v>
      </c>
      <c r="H1150" t="s">
        <v>110</v>
      </c>
      <c r="I1150">
        <v>5</v>
      </c>
      <c r="J1150" s="19">
        <f>WEEKNUM(tblRidershipData[[#This Row],[MeasurementDate]])</f>
        <v>40</v>
      </c>
      <c r="K1150" s="19">
        <f>MONTH(tblRidershipData[[#This Row],[MeasurementDate]])</f>
        <v>10</v>
      </c>
    </row>
    <row r="1151" spans="1:11" x14ac:dyDescent="0.25">
      <c r="A1151" s="31">
        <v>43740</v>
      </c>
      <c r="B1151" t="s">
        <v>4</v>
      </c>
      <c r="C1151" s="31">
        <v>4504</v>
      </c>
      <c r="D1151" t="s">
        <v>96</v>
      </c>
      <c r="E1151" t="s">
        <v>109</v>
      </c>
      <c r="F1151">
        <v>2</v>
      </c>
      <c r="G1151" t="s">
        <v>59</v>
      </c>
      <c r="H1151" t="s">
        <v>110</v>
      </c>
      <c r="I1151">
        <v>11</v>
      </c>
      <c r="J1151" s="19">
        <f>WEEKNUM(tblRidershipData[[#This Row],[MeasurementDate]])</f>
        <v>40</v>
      </c>
      <c r="K1151" s="19">
        <f>MONTH(tblRidershipData[[#This Row],[MeasurementDate]])</f>
        <v>10</v>
      </c>
    </row>
    <row r="1152" spans="1:11" x14ac:dyDescent="0.25">
      <c r="A1152" s="31">
        <v>43740</v>
      </c>
      <c r="B1152" t="s">
        <v>4</v>
      </c>
      <c r="C1152" s="31">
        <v>4504</v>
      </c>
      <c r="D1152" t="s">
        <v>96</v>
      </c>
      <c r="E1152" t="s">
        <v>109</v>
      </c>
      <c r="F1152">
        <v>2</v>
      </c>
      <c r="G1152" t="s">
        <v>64</v>
      </c>
      <c r="H1152" t="s">
        <v>110</v>
      </c>
      <c r="I1152">
        <v>3</v>
      </c>
      <c r="J1152" s="19">
        <f>WEEKNUM(tblRidershipData[[#This Row],[MeasurementDate]])</f>
        <v>40</v>
      </c>
      <c r="K1152" s="19">
        <f>MONTH(tblRidershipData[[#This Row],[MeasurementDate]])</f>
        <v>10</v>
      </c>
    </row>
    <row r="1153" spans="1:11" x14ac:dyDescent="0.25">
      <c r="A1153" s="31">
        <v>43740</v>
      </c>
      <c r="B1153" t="s">
        <v>4</v>
      </c>
      <c r="C1153" s="31">
        <v>4504</v>
      </c>
      <c r="D1153" t="s">
        <v>96</v>
      </c>
      <c r="E1153" t="s">
        <v>109</v>
      </c>
      <c r="F1153">
        <v>2</v>
      </c>
      <c r="G1153" t="s">
        <v>72</v>
      </c>
      <c r="H1153" t="s">
        <v>110</v>
      </c>
      <c r="I1153">
        <v>1</v>
      </c>
      <c r="J1153" s="19">
        <f>WEEKNUM(tblRidershipData[[#This Row],[MeasurementDate]])</f>
        <v>40</v>
      </c>
      <c r="K1153" s="19">
        <f>MONTH(tblRidershipData[[#This Row],[MeasurementDate]])</f>
        <v>10</v>
      </c>
    </row>
    <row r="1154" spans="1:11" x14ac:dyDescent="0.25">
      <c r="A1154" s="31">
        <v>43740</v>
      </c>
      <c r="B1154" t="s">
        <v>4</v>
      </c>
      <c r="C1154" s="31">
        <v>4504</v>
      </c>
      <c r="D1154" t="s">
        <v>96</v>
      </c>
      <c r="E1154" t="s">
        <v>111</v>
      </c>
      <c r="F1154">
        <v>2</v>
      </c>
      <c r="G1154" t="s">
        <v>52</v>
      </c>
      <c r="H1154" t="s">
        <v>112</v>
      </c>
      <c r="I1154">
        <v>15</v>
      </c>
      <c r="J1154" s="19">
        <f>WEEKNUM(tblRidershipData[[#This Row],[MeasurementDate]])</f>
        <v>40</v>
      </c>
      <c r="K1154" s="19">
        <f>MONTH(tblRidershipData[[#This Row],[MeasurementDate]])</f>
        <v>10</v>
      </c>
    </row>
    <row r="1155" spans="1:11" x14ac:dyDescent="0.25">
      <c r="A1155" s="31">
        <v>43740</v>
      </c>
      <c r="B1155" t="s">
        <v>4</v>
      </c>
      <c r="C1155" s="31">
        <v>4504</v>
      </c>
      <c r="D1155" t="s">
        <v>96</v>
      </c>
      <c r="E1155" t="s">
        <v>111</v>
      </c>
      <c r="F1155">
        <v>2</v>
      </c>
      <c r="G1155" t="s">
        <v>56</v>
      </c>
      <c r="H1155" t="s">
        <v>112</v>
      </c>
      <c r="I1155">
        <v>2</v>
      </c>
      <c r="J1155" s="19">
        <f>WEEKNUM(tblRidershipData[[#This Row],[MeasurementDate]])</f>
        <v>40</v>
      </c>
      <c r="K1155" s="19">
        <f>MONTH(tblRidershipData[[#This Row],[MeasurementDate]])</f>
        <v>10</v>
      </c>
    </row>
    <row r="1156" spans="1:11" x14ac:dyDescent="0.25">
      <c r="A1156" s="31">
        <v>43740</v>
      </c>
      <c r="B1156" t="s">
        <v>4</v>
      </c>
      <c r="C1156" s="31">
        <v>4504</v>
      </c>
      <c r="D1156" t="s">
        <v>96</v>
      </c>
      <c r="E1156" t="s">
        <v>111</v>
      </c>
      <c r="F1156">
        <v>2</v>
      </c>
      <c r="G1156" t="s">
        <v>64</v>
      </c>
      <c r="H1156" t="s">
        <v>112</v>
      </c>
      <c r="I1156">
        <v>3</v>
      </c>
      <c r="J1156" s="19">
        <f>WEEKNUM(tblRidershipData[[#This Row],[MeasurementDate]])</f>
        <v>40</v>
      </c>
      <c r="K1156" s="19">
        <f>MONTH(tblRidershipData[[#This Row],[MeasurementDate]])</f>
        <v>10</v>
      </c>
    </row>
    <row r="1157" spans="1:11" x14ac:dyDescent="0.25">
      <c r="A1157" s="31">
        <v>43740</v>
      </c>
      <c r="B1157" t="s">
        <v>4</v>
      </c>
      <c r="C1157" s="31">
        <v>4504</v>
      </c>
      <c r="D1157" t="s">
        <v>96</v>
      </c>
      <c r="E1157" t="s">
        <v>111</v>
      </c>
      <c r="F1157">
        <v>2</v>
      </c>
      <c r="G1157" t="s">
        <v>69</v>
      </c>
      <c r="H1157" t="s">
        <v>112</v>
      </c>
      <c r="I1157">
        <v>1</v>
      </c>
      <c r="J1157" s="19">
        <f>WEEKNUM(tblRidershipData[[#This Row],[MeasurementDate]])</f>
        <v>40</v>
      </c>
      <c r="K1157" s="19">
        <f>MONTH(tblRidershipData[[#This Row],[MeasurementDate]])</f>
        <v>10</v>
      </c>
    </row>
    <row r="1158" spans="1:11" x14ac:dyDescent="0.25">
      <c r="A1158" s="31">
        <v>43740</v>
      </c>
      <c r="B1158" t="s">
        <v>4</v>
      </c>
      <c r="C1158" s="31">
        <v>4504</v>
      </c>
      <c r="D1158" t="s">
        <v>96</v>
      </c>
      <c r="E1158" t="s">
        <v>109</v>
      </c>
      <c r="F1158">
        <v>2</v>
      </c>
      <c r="G1158" t="s">
        <v>45</v>
      </c>
      <c r="H1158" t="s">
        <v>112</v>
      </c>
      <c r="I1158">
        <v>2</v>
      </c>
      <c r="J1158" s="19">
        <f>WEEKNUM(tblRidershipData[[#This Row],[MeasurementDate]])</f>
        <v>40</v>
      </c>
      <c r="K1158" s="19">
        <f>MONTH(tblRidershipData[[#This Row],[MeasurementDate]])</f>
        <v>10</v>
      </c>
    </row>
    <row r="1159" spans="1:11" x14ac:dyDescent="0.25">
      <c r="A1159" s="31">
        <v>43740</v>
      </c>
      <c r="B1159" t="s">
        <v>4</v>
      </c>
      <c r="C1159" s="31">
        <v>4504</v>
      </c>
      <c r="D1159" t="s">
        <v>96</v>
      </c>
      <c r="E1159" t="s">
        <v>109</v>
      </c>
      <c r="F1159">
        <v>2</v>
      </c>
      <c r="G1159" t="s">
        <v>50</v>
      </c>
      <c r="H1159" t="s">
        <v>112</v>
      </c>
      <c r="I1159">
        <v>3</v>
      </c>
      <c r="J1159" s="19">
        <f>WEEKNUM(tblRidershipData[[#This Row],[MeasurementDate]])</f>
        <v>40</v>
      </c>
      <c r="K1159" s="19">
        <f>MONTH(tblRidershipData[[#This Row],[MeasurementDate]])</f>
        <v>10</v>
      </c>
    </row>
    <row r="1160" spans="1:11" x14ac:dyDescent="0.25">
      <c r="A1160" s="31">
        <v>43740</v>
      </c>
      <c r="B1160" t="s">
        <v>4</v>
      </c>
      <c r="C1160" s="31">
        <v>4504</v>
      </c>
      <c r="D1160" t="s">
        <v>96</v>
      </c>
      <c r="E1160" t="s">
        <v>109</v>
      </c>
      <c r="F1160">
        <v>2</v>
      </c>
      <c r="G1160" t="s">
        <v>54</v>
      </c>
      <c r="H1160" t="s">
        <v>112</v>
      </c>
      <c r="I1160">
        <v>1</v>
      </c>
      <c r="J1160" s="19">
        <f>WEEKNUM(tblRidershipData[[#This Row],[MeasurementDate]])</f>
        <v>40</v>
      </c>
      <c r="K1160" s="19">
        <f>MONTH(tblRidershipData[[#This Row],[MeasurementDate]])</f>
        <v>10</v>
      </c>
    </row>
    <row r="1161" spans="1:11" x14ac:dyDescent="0.25">
      <c r="A1161" s="31">
        <v>43740</v>
      </c>
      <c r="B1161" t="s">
        <v>4</v>
      </c>
      <c r="C1161" s="31">
        <v>4504</v>
      </c>
      <c r="D1161" t="s">
        <v>96</v>
      </c>
      <c r="E1161" t="s">
        <v>109</v>
      </c>
      <c r="F1161">
        <v>2</v>
      </c>
      <c r="G1161" t="s">
        <v>56</v>
      </c>
      <c r="H1161" t="s">
        <v>112</v>
      </c>
      <c r="I1161">
        <v>2</v>
      </c>
      <c r="J1161" s="19">
        <f>WEEKNUM(tblRidershipData[[#This Row],[MeasurementDate]])</f>
        <v>40</v>
      </c>
      <c r="K1161" s="19">
        <f>MONTH(tblRidershipData[[#This Row],[MeasurementDate]])</f>
        <v>10</v>
      </c>
    </row>
    <row r="1162" spans="1:11" x14ac:dyDescent="0.25">
      <c r="A1162" s="31">
        <v>43740</v>
      </c>
      <c r="B1162" t="s">
        <v>4</v>
      </c>
      <c r="C1162" s="31">
        <v>4504</v>
      </c>
      <c r="D1162" t="s">
        <v>96</v>
      </c>
      <c r="E1162" t="s">
        <v>109</v>
      </c>
      <c r="F1162">
        <v>2</v>
      </c>
      <c r="G1162" t="s">
        <v>62</v>
      </c>
      <c r="H1162" t="s">
        <v>112</v>
      </c>
      <c r="I1162">
        <v>1</v>
      </c>
      <c r="J1162" s="19">
        <f>WEEKNUM(tblRidershipData[[#This Row],[MeasurementDate]])</f>
        <v>40</v>
      </c>
      <c r="K1162" s="19">
        <f>MONTH(tblRidershipData[[#This Row],[MeasurementDate]])</f>
        <v>10</v>
      </c>
    </row>
    <row r="1163" spans="1:11" x14ac:dyDescent="0.25">
      <c r="A1163" s="31">
        <v>43740</v>
      </c>
      <c r="B1163" t="s">
        <v>4</v>
      </c>
      <c r="C1163" s="31">
        <v>4504</v>
      </c>
      <c r="D1163" t="s">
        <v>96</v>
      </c>
      <c r="E1163" t="s">
        <v>109</v>
      </c>
      <c r="F1163">
        <v>2</v>
      </c>
      <c r="G1163" t="s">
        <v>64</v>
      </c>
      <c r="H1163" t="s">
        <v>112</v>
      </c>
      <c r="I1163">
        <v>3</v>
      </c>
      <c r="J1163" s="19">
        <f>WEEKNUM(tblRidershipData[[#This Row],[MeasurementDate]])</f>
        <v>40</v>
      </c>
      <c r="K1163" s="19">
        <f>MONTH(tblRidershipData[[#This Row],[MeasurementDate]])</f>
        <v>10</v>
      </c>
    </row>
    <row r="1164" spans="1:11" x14ac:dyDescent="0.25">
      <c r="A1164" s="31">
        <v>43740</v>
      </c>
      <c r="B1164" t="s">
        <v>4</v>
      </c>
      <c r="C1164" s="31">
        <v>4504</v>
      </c>
      <c r="D1164" t="s">
        <v>96</v>
      </c>
      <c r="E1164" t="s">
        <v>109</v>
      </c>
      <c r="F1164">
        <v>2</v>
      </c>
      <c r="G1164" t="s">
        <v>72</v>
      </c>
      <c r="H1164" t="s">
        <v>112</v>
      </c>
      <c r="I1164">
        <v>5</v>
      </c>
      <c r="J1164" s="19">
        <f>WEEKNUM(tblRidershipData[[#This Row],[MeasurementDate]])</f>
        <v>40</v>
      </c>
      <c r="K1164" s="19">
        <f>MONTH(tblRidershipData[[#This Row],[MeasurementDate]])</f>
        <v>10</v>
      </c>
    </row>
    <row r="1165" spans="1:11" x14ac:dyDescent="0.25">
      <c r="A1165" s="31">
        <v>43740</v>
      </c>
      <c r="B1165" t="s">
        <v>4</v>
      </c>
      <c r="C1165" s="31">
        <v>4504</v>
      </c>
      <c r="D1165" t="s">
        <v>96</v>
      </c>
      <c r="E1165" t="s">
        <v>109</v>
      </c>
      <c r="F1165">
        <v>2</v>
      </c>
      <c r="G1165" t="s">
        <v>73</v>
      </c>
      <c r="H1165" t="s">
        <v>112</v>
      </c>
      <c r="I1165">
        <v>3</v>
      </c>
      <c r="J1165" s="19">
        <f>WEEKNUM(tblRidershipData[[#This Row],[MeasurementDate]])</f>
        <v>40</v>
      </c>
      <c r="K1165" s="19">
        <f>MONTH(tblRidershipData[[#This Row],[MeasurementDate]])</f>
        <v>10</v>
      </c>
    </row>
    <row r="1166" spans="1:11" x14ac:dyDescent="0.25">
      <c r="A1166" s="31">
        <v>43740</v>
      </c>
      <c r="B1166" t="s">
        <v>4</v>
      </c>
      <c r="C1166" s="31">
        <v>8311</v>
      </c>
      <c r="D1166" t="s">
        <v>98</v>
      </c>
      <c r="E1166" t="s">
        <v>111</v>
      </c>
      <c r="F1166">
        <v>1</v>
      </c>
      <c r="G1166" t="s">
        <v>43</v>
      </c>
      <c r="H1166" t="s">
        <v>110</v>
      </c>
      <c r="I1166">
        <v>11</v>
      </c>
      <c r="J1166" s="19">
        <f>WEEKNUM(tblRidershipData[[#This Row],[MeasurementDate]])</f>
        <v>40</v>
      </c>
      <c r="K1166" s="19">
        <f>MONTH(tblRidershipData[[#This Row],[MeasurementDate]])</f>
        <v>10</v>
      </c>
    </row>
    <row r="1167" spans="1:11" x14ac:dyDescent="0.25">
      <c r="A1167" s="31">
        <v>43740</v>
      </c>
      <c r="B1167" t="s">
        <v>4</v>
      </c>
      <c r="C1167" s="31">
        <v>8311</v>
      </c>
      <c r="D1167" t="s">
        <v>98</v>
      </c>
      <c r="E1167" t="s">
        <v>111</v>
      </c>
      <c r="F1167">
        <v>1</v>
      </c>
      <c r="G1167" t="s">
        <v>45</v>
      </c>
      <c r="H1167" t="s">
        <v>110</v>
      </c>
      <c r="I1167">
        <v>5</v>
      </c>
      <c r="J1167" s="19">
        <f>WEEKNUM(tblRidershipData[[#This Row],[MeasurementDate]])</f>
        <v>40</v>
      </c>
      <c r="K1167" s="19">
        <f>MONTH(tblRidershipData[[#This Row],[MeasurementDate]])</f>
        <v>10</v>
      </c>
    </row>
    <row r="1168" spans="1:11" x14ac:dyDescent="0.25">
      <c r="A1168" s="31">
        <v>43740</v>
      </c>
      <c r="B1168" t="s">
        <v>4</v>
      </c>
      <c r="C1168" s="31">
        <v>8311</v>
      </c>
      <c r="D1168" t="s">
        <v>98</v>
      </c>
      <c r="E1168" t="s">
        <v>111</v>
      </c>
      <c r="F1168">
        <v>1</v>
      </c>
      <c r="G1168" t="s">
        <v>55</v>
      </c>
      <c r="H1168" t="s">
        <v>110</v>
      </c>
      <c r="I1168">
        <v>6</v>
      </c>
      <c r="J1168" s="19">
        <f>WEEKNUM(tblRidershipData[[#This Row],[MeasurementDate]])</f>
        <v>40</v>
      </c>
      <c r="K1168" s="19">
        <f>MONTH(tblRidershipData[[#This Row],[MeasurementDate]])</f>
        <v>10</v>
      </c>
    </row>
    <row r="1169" spans="1:11" x14ac:dyDescent="0.25">
      <c r="A1169" s="31">
        <v>43740</v>
      </c>
      <c r="B1169" t="s">
        <v>4</v>
      </c>
      <c r="C1169" s="31">
        <v>8311</v>
      </c>
      <c r="D1169" t="s">
        <v>98</v>
      </c>
      <c r="E1169" t="s">
        <v>111</v>
      </c>
      <c r="F1169">
        <v>1</v>
      </c>
      <c r="G1169" t="s">
        <v>58</v>
      </c>
      <c r="H1169" t="s">
        <v>110</v>
      </c>
      <c r="I1169">
        <v>1</v>
      </c>
      <c r="J1169" s="19">
        <f>WEEKNUM(tblRidershipData[[#This Row],[MeasurementDate]])</f>
        <v>40</v>
      </c>
      <c r="K1169" s="19">
        <f>MONTH(tblRidershipData[[#This Row],[MeasurementDate]])</f>
        <v>10</v>
      </c>
    </row>
    <row r="1170" spans="1:11" x14ac:dyDescent="0.25">
      <c r="A1170" s="31">
        <v>43740</v>
      </c>
      <c r="B1170" t="s">
        <v>4</v>
      </c>
      <c r="C1170" s="31">
        <v>8311</v>
      </c>
      <c r="D1170" t="s">
        <v>98</v>
      </c>
      <c r="E1170" t="s">
        <v>111</v>
      </c>
      <c r="F1170">
        <v>1</v>
      </c>
      <c r="G1170" t="s">
        <v>67</v>
      </c>
      <c r="H1170" t="s">
        <v>110</v>
      </c>
      <c r="I1170">
        <v>2</v>
      </c>
      <c r="J1170" s="19">
        <f>WEEKNUM(tblRidershipData[[#This Row],[MeasurementDate]])</f>
        <v>40</v>
      </c>
      <c r="K1170" s="19">
        <f>MONTH(tblRidershipData[[#This Row],[MeasurementDate]])</f>
        <v>10</v>
      </c>
    </row>
    <row r="1171" spans="1:11" x14ac:dyDescent="0.25">
      <c r="A1171" s="31">
        <v>43740</v>
      </c>
      <c r="B1171" t="s">
        <v>4</v>
      </c>
      <c r="C1171" s="31">
        <v>8311</v>
      </c>
      <c r="D1171" t="s">
        <v>98</v>
      </c>
      <c r="E1171" t="s">
        <v>111</v>
      </c>
      <c r="F1171">
        <v>1</v>
      </c>
      <c r="G1171" t="s">
        <v>69</v>
      </c>
      <c r="H1171" t="s">
        <v>110</v>
      </c>
      <c r="I1171">
        <v>3</v>
      </c>
      <c r="J1171" s="19">
        <f>WEEKNUM(tblRidershipData[[#This Row],[MeasurementDate]])</f>
        <v>40</v>
      </c>
      <c r="K1171" s="19">
        <f>MONTH(tblRidershipData[[#This Row],[MeasurementDate]])</f>
        <v>10</v>
      </c>
    </row>
    <row r="1172" spans="1:11" x14ac:dyDescent="0.25">
      <c r="A1172" s="31">
        <v>43740</v>
      </c>
      <c r="B1172" t="s">
        <v>4</v>
      </c>
      <c r="C1172" s="31">
        <v>8311</v>
      </c>
      <c r="D1172" t="s">
        <v>98</v>
      </c>
      <c r="E1172" t="s">
        <v>111</v>
      </c>
      <c r="F1172">
        <v>2</v>
      </c>
      <c r="G1172" t="s">
        <v>45</v>
      </c>
      <c r="H1172" t="s">
        <v>110</v>
      </c>
      <c r="I1172">
        <v>2</v>
      </c>
      <c r="J1172" s="19">
        <f>WEEKNUM(tblRidershipData[[#This Row],[MeasurementDate]])</f>
        <v>40</v>
      </c>
      <c r="K1172" s="19">
        <f>MONTH(tblRidershipData[[#This Row],[MeasurementDate]])</f>
        <v>10</v>
      </c>
    </row>
    <row r="1173" spans="1:11" x14ac:dyDescent="0.25">
      <c r="A1173" s="31">
        <v>43740</v>
      </c>
      <c r="B1173" t="s">
        <v>4</v>
      </c>
      <c r="C1173" s="31">
        <v>8311</v>
      </c>
      <c r="D1173" t="s">
        <v>98</v>
      </c>
      <c r="E1173" t="s">
        <v>111</v>
      </c>
      <c r="F1173">
        <v>2</v>
      </c>
      <c r="G1173" t="s">
        <v>67</v>
      </c>
      <c r="H1173" t="s">
        <v>110</v>
      </c>
      <c r="I1173">
        <v>3</v>
      </c>
      <c r="J1173" s="19">
        <f>WEEKNUM(tblRidershipData[[#This Row],[MeasurementDate]])</f>
        <v>40</v>
      </c>
      <c r="K1173" s="19">
        <f>MONTH(tblRidershipData[[#This Row],[MeasurementDate]])</f>
        <v>10</v>
      </c>
    </row>
    <row r="1174" spans="1:11" x14ac:dyDescent="0.25">
      <c r="A1174" s="31">
        <v>43740</v>
      </c>
      <c r="B1174" t="s">
        <v>4</v>
      </c>
      <c r="C1174" s="31">
        <v>8311</v>
      </c>
      <c r="D1174" t="s">
        <v>98</v>
      </c>
      <c r="E1174" t="s">
        <v>109</v>
      </c>
      <c r="F1174">
        <v>1</v>
      </c>
      <c r="G1174" t="s">
        <v>67</v>
      </c>
      <c r="H1174" t="s">
        <v>110</v>
      </c>
      <c r="I1174">
        <v>26</v>
      </c>
      <c r="J1174" s="19">
        <f>WEEKNUM(tblRidershipData[[#This Row],[MeasurementDate]])</f>
        <v>40</v>
      </c>
      <c r="K1174" s="19">
        <f>MONTH(tblRidershipData[[#This Row],[MeasurementDate]])</f>
        <v>10</v>
      </c>
    </row>
    <row r="1175" spans="1:11" x14ac:dyDescent="0.25">
      <c r="A1175" s="31">
        <v>43740</v>
      </c>
      <c r="B1175" t="s">
        <v>4</v>
      </c>
      <c r="C1175" s="31">
        <v>8311</v>
      </c>
      <c r="D1175" t="s">
        <v>98</v>
      </c>
      <c r="E1175" t="s">
        <v>109</v>
      </c>
      <c r="F1175">
        <v>1</v>
      </c>
      <c r="G1175" t="s">
        <v>73</v>
      </c>
      <c r="H1175" t="s">
        <v>110</v>
      </c>
      <c r="I1175">
        <v>34</v>
      </c>
      <c r="J1175" s="19">
        <f>WEEKNUM(tblRidershipData[[#This Row],[MeasurementDate]])</f>
        <v>40</v>
      </c>
      <c r="K1175" s="19">
        <f>MONTH(tblRidershipData[[#This Row],[MeasurementDate]])</f>
        <v>10</v>
      </c>
    </row>
    <row r="1176" spans="1:11" x14ac:dyDescent="0.25">
      <c r="A1176" s="31">
        <v>43740</v>
      </c>
      <c r="B1176" t="s">
        <v>4</v>
      </c>
      <c r="C1176" s="31">
        <v>8311</v>
      </c>
      <c r="D1176" t="s">
        <v>98</v>
      </c>
      <c r="E1176" t="s">
        <v>111</v>
      </c>
      <c r="F1176">
        <v>1</v>
      </c>
      <c r="G1176" t="s">
        <v>67</v>
      </c>
      <c r="H1176" t="s">
        <v>112</v>
      </c>
      <c r="I1176">
        <v>27</v>
      </c>
      <c r="J1176" s="19">
        <f>WEEKNUM(tblRidershipData[[#This Row],[MeasurementDate]])</f>
        <v>40</v>
      </c>
      <c r="K1176" s="19">
        <f>MONTH(tblRidershipData[[#This Row],[MeasurementDate]])</f>
        <v>10</v>
      </c>
    </row>
    <row r="1177" spans="1:11" x14ac:dyDescent="0.25">
      <c r="A1177" s="31">
        <v>43740</v>
      </c>
      <c r="B1177" t="s">
        <v>4</v>
      </c>
      <c r="C1177" s="31">
        <v>8311</v>
      </c>
      <c r="D1177" t="s">
        <v>98</v>
      </c>
      <c r="E1177" t="s">
        <v>111</v>
      </c>
      <c r="F1177">
        <v>1</v>
      </c>
      <c r="G1177" t="s">
        <v>73</v>
      </c>
      <c r="H1177" t="s">
        <v>112</v>
      </c>
      <c r="I1177">
        <v>6</v>
      </c>
      <c r="J1177" s="19">
        <f>WEEKNUM(tblRidershipData[[#This Row],[MeasurementDate]])</f>
        <v>40</v>
      </c>
      <c r="K1177" s="19">
        <f>MONTH(tblRidershipData[[#This Row],[MeasurementDate]])</f>
        <v>10</v>
      </c>
    </row>
    <row r="1178" spans="1:11" x14ac:dyDescent="0.25">
      <c r="A1178" s="31">
        <v>43740</v>
      </c>
      <c r="B1178" t="s">
        <v>4</v>
      </c>
      <c r="C1178" s="31">
        <v>8311</v>
      </c>
      <c r="D1178" t="s">
        <v>98</v>
      </c>
      <c r="E1178" t="s">
        <v>109</v>
      </c>
      <c r="F1178">
        <v>1</v>
      </c>
      <c r="G1178" t="s">
        <v>46</v>
      </c>
      <c r="H1178" t="s">
        <v>112</v>
      </c>
      <c r="I1178">
        <v>23</v>
      </c>
      <c r="J1178" s="19">
        <f>WEEKNUM(tblRidershipData[[#This Row],[MeasurementDate]])</f>
        <v>40</v>
      </c>
      <c r="K1178" s="19">
        <f>MONTH(tblRidershipData[[#This Row],[MeasurementDate]])</f>
        <v>10</v>
      </c>
    </row>
    <row r="1179" spans="1:11" x14ac:dyDescent="0.25">
      <c r="A1179" s="31">
        <v>43740</v>
      </c>
      <c r="B1179" t="s">
        <v>4</v>
      </c>
      <c r="C1179" s="31">
        <v>8311</v>
      </c>
      <c r="D1179" t="s">
        <v>98</v>
      </c>
      <c r="E1179" t="s">
        <v>109</v>
      </c>
      <c r="F1179">
        <v>1</v>
      </c>
      <c r="G1179" t="s">
        <v>62</v>
      </c>
      <c r="H1179" t="s">
        <v>112</v>
      </c>
      <c r="I1179">
        <v>2</v>
      </c>
      <c r="J1179" s="19">
        <f>WEEKNUM(tblRidershipData[[#This Row],[MeasurementDate]])</f>
        <v>40</v>
      </c>
      <c r="K1179" s="19">
        <f>MONTH(tblRidershipData[[#This Row],[MeasurementDate]])</f>
        <v>10</v>
      </c>
    </row>
    <row r="1180" spans="1:11" x14ac:dyDescent="0.25">
      <c r="A1180" s="31">
        <v>43740</v>
      </c>
      <c r="B1180" t="s">
        <v>4</v>
      </c>
      <c r="C1180" s="31">
        <v>8311</v>
      </c>
      <c r="D1180" t="s">
        <v>98</v>
      </c>
      <c r="E1180" t="s">
        <v>109</v>
      </c>
      <c r="F1180">
        <v>1</v>
      </c>
      <c r="G1180" t="s">
        <v>63</v>
      </c>
      <c r="H1180" t="s">
        <v>112</v>
      </c>
      <c r="I1180">
        <v>1</v>
      </c>
      <c r="J1180" s="19">
        <f>WEEKNUM(tblRidershipData[[#This Row],[MeasurementDate]])</f>
        <v>40</v>
      </c>
      <c r="K1180" s="19">
        <f>MONTH(tblRidershipData[[#This Row],[MeasurementDate]])</f>
        <v>10</v>
      </c>
    </row>
    <row r="1181" spans="1:11" x14ac:dyDescent="0.25">
      <c r="A1181" s="31">
        <v>43740</v>
      </c>
      <c r="B1181" t="s">
        <v>4</v>
      </c>
      <c r="C1181" s="31">
        <v>8311</v>
      </c>
      <c r="D1181" t="s">
        <v>98</v>
      </c>
      <c r="E1181" t="s">
        <v>109</v>
      </c>
      <c r="F1181">
        <v>1</v>
      </c>
      <c r="G1181" t="s">
        <v>64</v>
      </c>
      <c r="H1181" t="s">
        <v>112</v>
      </c>
      <c r="I1181">
        <v>9</v>
      </c>
      <c r="J1181" s="19">
        <f>WEEKNUM(tblRidershipData[[#This Row],[MeasurementDate]])</f>
        <v>40</v>
      </c>
      <c r="K1181" s="19">
        <f>MONTH(tblRidershipData[[#This Row],[MeasurementDate]])</f>
        <v>10</v>
      </c>
    </row>
    <row r="1182" spans="1:11" x14ac:dyDescent="0.25">
      <c r="A1182" s="31">
        <v>43740</v>
      </c>
      <c r="B1182" t="s">
        <v>4</v>
      </c>
      <c r="C1182" s="31">
        <v>8311</v>
      </c>
      <c r="D1182" t="s">
        <v>98</v>
      </c>
      <c r="E1182" t="s">
        <v>109</v>
      </c>
      <c r="F1182">
        <v>1</v>
      </c>
      <c r="G1182" t="s">
        <v>67</v>
      </c>
      <c r="H1182" t="s">
        <v>112</v>
      </c>
      <c r="I1182">
        <v>9</v>
      </c>
      <c r="J1182" s="19">
        <f>WEEKNUM(tblRidershipData[[#This Row],[MeasurementDate]])</f>
        <v>40</v>
      </c>
      <c r="K1182" s="19">
        <f>MONTH(tblRidershipData[[#This Row],[MeasurementDate]])</f>
        <v>10</v>
      </c>
    </row>
    <row r="1183" spans="1:11" x14ac:dyDescent="0.25">
      <c r="A1183" s="31">
        <v>43740</v>
      </c>
      <c r="B1183" t="s">
        <v>4</v>
      </c>
      <c r="C1183" s="31">
        <v>8311</v>
      </c>
      <c r="D1183" t="s">
        <v>98</v>
      </c>
      <c r="E1183" t="s">
        <v>109</v>
      </c>
      <c r="F1183">
        <v>1</v>
      </c>
      <c r="G1183" t="s">
        <v>72</v>
      </c>
      <c r="H1183" t="s">
        <v>112</v>
      </c>
      <c r="I1183">
        <v>13</v>
      </c>
      <c r="J1183" s="19">
        <f>WEEKNUM(tblRidershipData[[#This Row],[MeasurementDate]])</f>
        <v>40</v>
      </c>
      <c r="K1183" s="19">
        <f>MONTH(tblRidershipData[[#This Row],[MeasurementDate]])</f>
        <v>10</v>
      </c>
    </row>
    <row r="1184" spans="1:11" x14ac:dyDescent="0.25">
      <c r="A1184" s="31">
        <v>43740</v>
      </c>
      <c r="B1184" t="s">
        <v>4</v>
      </c>
      <c r="C1184" s="31">
        <v>8311</v>
      </c>
      <c r="D1184" t="s">
        <v>98</v>
      </c>
      <c r="E1184" t="s">
        <v>109</v>
      </c>
      <c r="F1184">
        <v>1</v>
      </c>
      <c r="G1184" t="s">
        <v>73</v>
      </c>
      <c r="H1184" t="s">
        <v>112</v>
      </c>
      <c r="I1184">
        <v>3</v>
      </c>
      <c r="J1184" s="19">
        <f>WEEKNUM(tblRidershipData[[#This Row],[MeasurementDate]])</f>
        <v>40</v>
      </c>
      <c r="K1184" s="19">
        <f>MONTH(tblRidershipData[[#This Row],[MeasurementDate]])</f>
        <v>10</v>
      </c>
    </row>
    <row r="1185" spans="1:11" x14ac:dyDescent="0.25">
      <c r="A1185" s="31">
        <v>43740</v>
      </c>
      <c r="B1185" t="s">
        <v>4</v>
      </c>
      <c r="C1185" s="31">
        <v>1035</v>
      </c>
      <c r="D1185" t="s">
        <v>107</v>
      </c>
      <c r="E1185" t="s">
        <v>109</v>
      </c>
      <c r="F1185">
        <v>1</v>
      </c>
      <c r="G1185" t="s">
        <v>52</v>
      </c>
      <c r="H1185" t="s">
        <v>110</v>
      </c>
      <c r="I1185">
        <v>46</v>
      </c>
      <c r="J1185" s="19">
        <f>WEEKNUM(tblRidershipData[[#This Row],[MeasurementDate]])</f>
        <v>40</v>
      </c>
      <c r="K1185" s="19">
        <f>MONTH(tblRidershipData[[#This Row],[MeasurementDate]])</f>
        <v>10</v>
      </c>
    </row>
    <row r="1186" spans="1:11" x14ac:dyDescent="0.25">
      <c r="A1186" s="31">
        <v>43740</v>
      </c>
      <c r="B1186" t="s">
        <v>4</v>
      </c>
      <c r="C1186" s="31">
        <v>1035</v>
      </c>
      <c r="D1186" t="s">
        <v>107</v>
      </c>
      <c r="E1186" t="s">
        <v>109</v>
      </c>
      <c r="F1186">
        <v>2</v>
      </c>
      <c r="G1186" t="s">
        <v>74</v>
      </c>
      <c r="H1186" t="s">
        <v>110</v>
      </c>
      <c r="I1186">
        <v>48</v>
      </c>
      <c r="J1186" s="19">
        <f>WEEKNUM(tblRidershipData[[#This Row],[MeasurementDate]])</f>
        <v>40</v>
      </c>
      <c r="K1186" s="19">
        <f>MONTH(tblRidershipData[[#This Row],[MeasurementDate]])</f>
        <v>10</v>
      </c>
    </row>
    <row r="1187" spans="1:11" x14ac:dyDescent="0.25">
      <c r="A1187" s="31">
        <v>43740</v>
      </c>
      <c r="B1187" t="s">
        <v>4</v>
      </c>
      <c r="C1187" s="31">
        <v>9305</v>
      </c>
      <c r="D1187" t="s">
        <v>97</v>
      </c>
      <c r="E1187" t="s">
        <v>111</v>
      </c>
      <c r="F1187">
        <v>1</v>
      </c>
      <c r="G1187" t="s">
        <v>45</v>
      </c>
      <c r="H1187" t="s">
        <v>110</v>
      </c>
      <c r="I1187">
        <v>5</v>
      </c>
      <c r="J1187" s="19">
        <f>WEEKNUM(tblRidershipData[[#This Row],[MeasurementDate]])</f>
        <v>40</v>
      </c>
      <c r="K1187" s="19">
        <f>MONTH(tblRidershipData[[#This Row],[MeasurementDate]])</f>
        <v>10</v>
      </c>
    </row>
    <row r="1188" spans="1:11" x14ac:dyDescent="0.25">
      <c r="A1188" s="31">
        <v>43740</v>
      </c>
      <c r="B1188" t="s">
        <v>4</v>
      </c>
      <c r="C1188" s="31">
        <v>9305</v>
      </c>
      <c r="D1188" t="s">
        <v>97</v>
      </c>
      <c r="E1188" t="s">
        <v>111</v>
      </c>
      <c r="F1188">
        <v>1</v>
      </c>
      <c r="G1188" t="s">
        <v>77</v>
      </c>
      <c r="H1188" t="s">
        <v>110</v>
      </c>
      <c r="I1188">
        <v>5</v>
      </c>
      <c r="J1188" s="19">
        <f>WEEKNUM(tblRidershipData[[#This Row],[MeasurementDate]])</f>
        <v>40</v>
      </c>
      <c r="K1188" s="19">
        <f>MONTH(tblRidershipData[[#This Row],[MeasurementDate]])</f>
        <v>10</v>
      </c>
    </row>
    <row r="1189" spans="1:11" x14ac:dyDescent="0.25">
      <c r="A1189" s="31">
        <v>43740</v>
      </c>
      <c r="B1189" t="s">
        <v>4</v>
      </c>
      <c r="C1189" s="31">
        <v>9305</v>
      </c>
      <c r="D1189" t="s">
        <v>97</v>
      </c>
      <c r="E1189" t="s">
        <v>111</v>
      </c>
      <c r="F1189">
        <v>2</v>
      </c>
      <c r="G1189" t="s">
        <v>60</v>
      </c>
      <c r="H1189" t="s">
        <v>110</v>
      </c>
      <c r="I1189">
        <v>1</v>
      </c>
      <c r="J1189" s="19">
        <f>WEEKNUM(tblRidershipData[[#This Row],[MeasurementDate]])</f>
        <v>40</v>
      </c>
      <c r="K1189" s="19">
        <f>MONTH(tblRidershipData[[#This Row],[MeasurementDate]])</f>
        <v>10</v>
      </c>
    </row>
    <row r="1190" spans="1:11" x14ac:dyDescent="0.25">
      <c r="A1190" s="31">
        <v>43740</v>
      </c>
      <c r="B1190" t="s">
        <v>4</v>
      </c>
      <c r="C1190" s="31">
        <v>9305</v>
      </c>
      <c r="D1190" t="s">
        <v>97</v>
      </c>
      <c r="E1190" t="s">
        <v>111</v>
      </c>
      <c r="F1190">
        <v>2</v>
      </c>
      <c r="G1190" t="s">
        <v>62</v>
      </c>
      <c r="H1190" t="s">
        <v>110</v>
      </c>
      <c r="I1190">
        <v>2</v>
      </c>
      <c r="J1190" s="19">
        <f>WEEKNUM(tblRidershipData[[#This Row],[MeasurementDate]])</f>
        <v>40</v>
      </c>
      <c r="K1190" s="19">
        <f>MONTH(tblRidershipData[[#This Row],[MeasurementDate]])</f>
        <v>10</v>
      </c>
    </row>
    <row r="1191" spans="1:11" x14ac:dyDescent="0.25">
      <c r="A1191" s="31">
        <v>43740</v>
      </c>
      <c r="B1191" t="s">
        <v>4</v>
      </c>
      <c r="C1191" s="31">
        <v>9305</v>
      </c>
      <c r="D1191" t="s">
        <v>97</v>
      </c>
      <c r="E1191" t="s">
        <v>111</v>
      </c>
      <c r="F1191">
        <v>2</v>
      </c>
      <c r="G1191" t="s">
        <v>63</v>
      </c>
      <c r="H1191" t="s">
        <v>110</v>
      </c>
      <c r="I1191">
        <v>2</v>
      </c>
      <c r="J1191" s="19">
        <f>WEEKNUM(tblRidershipData[[#This Row],[MeasurementDate]])</f>
        <v>40</v>
      </c>
      <c r="K1191" s="19">
        <f>MONTH(tblRidershipData[[#This Row],[MeasurementDate]])</f>
        <v>10</v>
      </c>
    </row>
    <row r="1192" spans="1:11" x14ac:dyDescent="0.25">
      <c r="A1192" s="31">
        <v>43740</v>
      </c>
      <c r="B1192" t="s">
        <v>4</v>
      </c>
      <c r="C1192" s="31">
        <v>9305</v>
      </c>
      <c r="D1192" t="s">
        <v>97</v>
      </c>
      <c r="E1192" t="s">
        <v>111</v>
      </c>
      <c r="F1192">
        <v>2</v>
      </c>
      <c r="G1192" t="s">
        <v>70</v>
      </c>
      <c r="H1192" t="s">
        <v>110</v>
      </c>
      <c r="I1192">
        <v>9</v>
      </c>
      <c r="J1192" s="19">
        <f>WEEKNUM(tblRidershipData[[#This Row],[MeasurementDate]])</f>
        <v>40</v>
      </c>
      <c r="K1192" s="19">
        <f>MONTH(tblRidershipData[[#This Row],[MeasurementDate]])</f>
        <v>10</v>
      </c>
    </row>
    <row r="1193" spans="1:11" x14ac:dyDescent="0.25">
      <c r="A1193" s="31">
        <v>43740</v>
      </c>
      <c r="B1193" t="s">
        <v>4</v>
      </c>
      <c r="C1193" s="31">
        <v>9305</v>
      </c>
      <c r="D1193" t="s">
        <v>97</v>
      </c>
      <c r="E1193" t="s">
        <v>111</v>
      </c>
      <c r="F1193">
        <v>2</v>
      </c>
      <c r="G1193" t="s">
        <v>72</v>
      </c>
      <c r="H1193" t="s">
        <v>110</v>
      </c>
      <c r="I1193">
        <v>4</v>
      </c>
      <c r="J1193" s="19">
        <f>WEEKNUM(tblRidershipData[[#This Row],[MeasurementDate]])</f>
        <v>40</v>
      </c>
      <c r="K1193" s="19">
        <f>MONTH(tblRidershipData[[#This Row],[MeasurementDate]])</f>
        <v>10</v>
      </c>
    </row>
    <row r="1194" spans="1:11" x14ac:dyDescent="0.25">
      <c r="A1194" s="31">
        <v>43740</v>
      </c>
      <c r="B1194" t="s">
        <v>4</v>
      </c>
      <c r="C1194" s="31">
        <v>9305</v>
      </c>
      <c r="D1194" t="s">
        <v>97</v>
      </c>
      <c r="E1194" t="s">
        <v>109</v>
      </c>
      <c r="F1194">
        <v>1</v>
      </c>
      <c r="G1194" t="s">
        <v>44</v>
      </c>
      <c r="H1194" t="s">
        <v>112</v>
      </c>
      <c r="I1194">
        <v>6</v>
      </c>
      <c r="J1194" s="19">
        <f>WEEKNUM(tblRidershipData[[#This Row],[MeasurementDate]])</f>
        <v>40</v>
      </c>
      <c r="K1194" s="19">
        <f>MONTH(tblRidershipData[[#This Row],[MeasurementDate]])</f>
        <v>10</v>
      </c>
    </row>
    <row r="1195" spans="1:11" x14ac:dyDescent="0.25">
      <c r="A1195" s="31">
        <v>43740</v>
      </c>
      <c r="B1195" t="s">
        <v>4</v>
      </c>
      <c r="C1195" s="31">
        <v>9305</v>
      </c>
      <c r="D1195" t="s">
        <v>97</v>
      </c>
      <c r="E1195" t="s">
        <v>109</v>
      </c>
      <c r="F1195">
        <v>1</v>
      </c>
      <c r="G1195" t="s">
        <v>45</v>
      </c>
      <c r="H1195" t="s">
        <v>112</v>
      </c>
      <c r="I1195">
        <v>6</v>
      </c>
      <c r="J1195" s="19">
        <f>WEEKNUM(tblRidershipData[[#This Row],[MeasurementDate]])</f>
        <v>40</v>
      </c>
      <c r="K1195" s="19">
        <f>MONTH(tblRidershipData[[#This Row],[MeasurementDate]])</f>
        <v>10</v>
      </c>
    </row>
    <row r="1196" spans="1:11" x14ac:dyDescent="0.25">
      <c r="A1196" s="31">
        <v>43740</v>
      </c>
      <c r="B1196" t="s">
        <v>4</v>
      </c>
      <c r="C1196" s="31">
        <v>9305</v>
      </c>
      <c r="D1196" t="s">
        <v>97</v>
      </c>
      <c r="E1196" t="s">
        <v>109</v>
      </c>
      <c r="F1196">
        <v>1</v>
      </c>
      <c r="G1196" t="s">
        <v>50</v>
      </c>
      <c r="H1196" t="s">
        <v>112</v>
      </c>
      <c r="I1196">
        <v>5</v>
      </c>
      <c r="J1196" s="19">
        <f>WEEKNUM(tblRidershipData[[#This Row],[MeasurementDate]])</f>
        <v>40</v>
      </c>
      <c r="K1196" s="19">
        <f>MONTH(tblRidershipData[[#This Row],[MeasurementDate]])</f>
        <v>10</v>
      </c>
    </row>
    <row r="1197" spans="1:11" x14ac:dyDescent="0.25">
      <c r="A1197" s="31">
        <v>43740</v>
      </c>
      <c r="B1197" t="s">
        <v>4</v>
      </c>
      <c r="C1197" s="31">
        <v>9305</v>
      </c>
      <c r="D1197" t="s">
        <v>97</v>
      </c>
      <c r="E1197" t="s">
        <v>109</v>
      </c>
      <c r="F1197">
        <v>1</v>
      </c>
      <c r="G1197" t="s">
        <v>54</v>
      </c>
      <c r="H1197" t="s">
        <v>112</v>
      </c>
      <c r="I1197">
        <v>2</v>
      </c>
      <c r="J1197" s="19">
        <f>WEEKNUM(tblRidershipData[[#This Row],[MeasurementDate]])</f>
        <v>40</v>
      </c>
      <c r="K1197" s="19">
        <f>MONTH(tblRidershipData[[#This Row],[MeasurementDate]])</f>
        <v>10</v>
      </c>
    </row>
    <row r="1198" spans="1:11" x14ac:dyDescent="0.25">
      <c r="A1198" s="31">
        <v>43740</v>
      </c>
      <c r="B1198" t="s">
        <v>4</v>
      </c>
      <c r="C1198" s="31">
        <v>9305</v>
      </c>
      <c r="D1198" t="s">
        <v>97</v>
      </c>
      <c r="E1198" t="s">
        <v>109</v>
      </c>
      <c r="F1198">
        <v>1</v>
      </c>
      <c r="G1198" t="s">
        <v>56</v>
      </c>
      <c r="H1198" t="s">
        <v>112</v>
      </c>
      <c r="I1198">
        <v>7</v>
      </c>
      <c r="J1198" s="19">
        <f>WEEKNUM(tblRidershipData[[#This Row],[MeasurementDate]])</f>
        <v>40</v>
      </c>
      <c r="K1198" s="19">
        <f>MONTH(tblRidershipData[[#This Row],[MeasurementDate]])</f>
        <v>10</v>
      </c>
    </row>
    <row r="1199" spans="1:11" x14ac:dyDescent="0.25">
      <c r="A1199" s="31">
        <v>43740</v>
      </c>
      <c r="B1199" t="s">
        <v>4</v>
      </c>
      <c r="C1199" s="31">
        <v>9305</v>
      </c>
      <c r="D1199" t="s">
        <v>97</v>
      </c>
      <c r="E1199" t="s">
        <v>109</v>
      </c>
      <c r="F1199">
        <v>1</v>
      </c>
      <c r="G1199" t="s">
        <v>57</v>
      </c>
      <c r="H1199" t="s">
        <v>112</v>
      </c>
      <c r="I1199">
        <v>3</v>
      </c>
      <c r="J1199" s="19">
        <f>WEEKNUM(tblRidershipData[[#This Row],[MeasurementDate]])</f>
        <v>40</v>
      </c>
      <c r="K1199" s="19">
        <f>MONTH(tblRidershipData[[#This Row],[MeasurementDate]])</f>
        <v>10</v>
      </c>
    </row>
    <row r="1200" spans="1:11" x14ac:dyDescent="0.25">
      <c r="A1200" s="31">
        <v>43740</v>
      </c>
      <c r="B1200" t="s">
        <v>4</v>
      </c>
      <c r="C1200" s="31">
        <v>9305</v>
      </c>
      <c r="D1200" t="s">
        <v>97</v>
      </c>
      <c r="E1200" t="s">
        <v>109</v>
      </c>
      <c r="F1200">
        <v>1</v>
      </c>
      <c r="G1200" t="s">
        <v>59</v>
      </c>
      <c r="H1200" t="s">
        <v>112</v>
      </c>
      <c r="I1200">
        <v>4</v>
      </c>
      <c r="J1200" s="19">
        <f>WEEKNUM(tblRidershipData[[#This Row],[MeasurementDate]])</f>
        <v>40</v>
      </c>
      <c r="K1200" s="19">
        <f>MONTH(tblRidershipData[[#This Row],[MeasurementDate]])</f>
        <v>10</v>
      </c>
    </row>
    <row r="1201" spans="1:11" x14ac:dyDescent="0.25">
      <c r="A1201" s="31">
        <v>43740</v>
      </c>
      <c r="B1201" t="s">
        <v>4</v>
      </c>
      <c r="C1201" s="31">
        <v>9305</v>
      </c>
      <c r="D1201" t="s">
        <v>97</v>
      </c>
      <c r="E1201" t="s">
        <v>109</v>
      </c>
      <c r="F1201">
        <v>1</v>
      </c>
      <c r="G1201" t="s">
        <v>60</v>
      </c>
      <c r="H1201" t="s">
        <v>112</v>
      </c>
      <c r="I1201">
        <v>3</v>
      </c>
      <c r="J1201" s="19">
        <f>WEEKNUM(tblRidershipData[[#This Row],[MeasurementDate]])</f>
        <v>40</v>
      </c>
      <c r="K1201" s="19">
        <f>MONTH(tblRidershipData[[#This Row],[MeasurementDate]])</f>
        <v>10</v>
      </c>
    </row>
    <row r="1202" spans="1:11" x14ac:dyDescent="0.25">
      <c r="A1202" s="31">
        <v>43740</v>
      </c>
      <c r="B1202" t="s">
        <v>4</v>
      </c>
      <c r="C1202" s="31">
        <v>9305</v>
      </c>
      <c r="D1202" t="s">
        <v>97</v>
      </c>
      <c r="E1202" t="s">
        <v>109</v>
      </c>
      <c r="F1202">
        <v>1</v>
      </c>
      <c r="G1202" t="s">
        <v>62</v>
      </c>
      <c r="H1202" t="s">
        <v>112</v>
      </c>
      <c r="I1202">
        <v>2</v>
      </c>
      <c r="J1202" s="19">
        <f>WEEKNUM(tblRidershipData[[#This Row],[MeasurementDate]])</f>
        <v>40</v>
      </c>
      <c r="K1202" s="19">
        <f>MONTH(tblRidershipData[[#This Row],[MeasurementDate]])</f>
        <v>10</v>
      </c>
    </row>
    <row r="1203" spans="1:11" x14ac:dyDescent="0.25">
      <c r="A1203" s="31">
        <v>43740</v>
      </c>
      <c r="B1203" t="s">
        <v>4</v>
      </c>
      <c r="C1203" s="31">
        <v>9305</v>
      </c>
      <c r="D1203" t="s">
        <v>97</v>
      </c>
      <c r="E1203" t="s">
        <v>109</v>
      </c>
      <c r="F1203">
        <v>1</v>
      </c>
      <c r="G1203" t="s">
        <v>67</v>
      </c>
      <c r="H1203" t="s">
        <v>112</v>
      </c>
      <c r="I1203">
        <v>10</v>
      </c>
      <c r="J1203" s="19">
        <f>WEEKNUM(tblRidershipData[[#This Row],[MeasurementDate]])</f>
        <v>40</v>
      </c>
      <c r="K1203" s="19">
        <f>MONTH(tblRidershipData[[#This Row],[MeasurementDate]])</f>
        <v>10</v>
      </c>
    </row>
    <row r="1204" spans="1:11" x14ac:dyDescent="0.25">
      <c r="A1204" s="31">
        <v>43740</v>
      </c>
      <c r="B1204" t="s">
        <v>4</v>
      </c>
      <c r="C1204" s="31">
        <v>9305</v>
      </c>
      <c r="D1204" t="s">
        <v>97</v>
      </c>
      <c r="E1204" t="s">
        <v>109</v>
      </c>
      <c r="F1204">
        <v>1</v>
      </c>
      <c r="G1204" t="s">
        <v>71</v>
      </c>
      <c r="H1204" t="s">
        <v>112</v>
      </c>
      <c r="I1204">
        <v>3</v>
      </c>
      <c r="J1204" s="19">
        <f>WEEKNUM(tblRidershipData[[#This Row],[MeasurementDate]])</f>
        <v>40</v>
      </c>
      <c r="K1204" s="19">
        <f>MONTH(tblRidershipData[[#This Row],[MeasurementDate]])</f>
        <v>10</v>
      </c>
    </row>
    <row r="1205" spans="1:11" x14ac:dyDescent="0.25">
      <c r="A1205" s="31">
        <v>43740</v>
      </c>
      <c r="B1205" t="s">
        <v>4</v>
      </c>
      <c r="C1205" s="31">
        <v>9305</v>
      </c>
      <c r="D1205" t="s">
        <v>97</v>
      </c>
      <c r="E1205" t="s">
        <v>109</v>
      </c>
      <c r="F1205">
        <v>1</v>
      </c>
      <c r="G1205" t="s">
        <v>72</v>
      </c>
      <c r="H1205" t="s">
        <v>112</v>
      </c>
      <c r="I1205">
        <v>11</v>
      </c>
      <c r="J1205" s="19">
        <f>WEEKNUM(tblRidershipData[[#This Row],[MeasurementDate]])</f>
        <v>40</v>
      </c>
      <c r="K1205" s="19">
        <f>MONTH(tblRidershipData[[#This Row],[MeasurementDate]])</f>
        <v>10</v>
      </c>
    </row>
    <row r="1206" spans="1:11" x14ac:dyDescent="0.25">
      <c r="A1206" s="31">
        <v>43740</v>
      </c>
      <c r="B1206" t="s">
        <v>4</v>
      </c>
      <c r="C1206" s="31">
        <v>9305</v>
      </c>
      <c r="D1206" t="s">
        <v>97</v>
      </c>
      <c r="E1206" t="s">
        <v>109</v>
      </c>
      <c r="F1206">
        <v>1</v>
      </c>
      <c r="G1206" t="s">
        <v>76</v>
      </c>
      <c r="H1206" t="s">
        <v>112</v>
      </c>
      <c r="I1206">
        <v>3</v>
      </c>
      <c r="J1206" s="19">
        <f>WEEKNUM(tblRidershipData[[#This Row],[MeasurementDate]])</f>
        <v>40</v>
      </c>
      <c r="K1206" s="19">
        <f>MONTH(tblRidershipData[[#This Row],[MeasurementDate]])</f>
        <v>10</v>
      </c>
    </row>
    <row r="1207" spans="1:11" x14ac:dyDescent="0.25">
      <c r="A1207" s="31">
        <v>43740</v>
      </c>
      <c r="B1207" t="s">
        <v>4</v>
      </c>
      <c r="C1207" s="31">
        <v>9305</v>
      </c>
      <c r="D1207" t="s">
        <v>97</v>
      </c>
      <c r="E1207" t="s">
        <v>109</v>
      </c>
      <c r="F1207">
        <v>2</v>
      </c>
      <c r="G1207" t="s">
        <v>47</v>
      </c>
      <c r="H1207" t="s">
        <v>112</v>
      </c>
      <c r="I1207">
        <v>2</v>
      </c>
      <c r="J1207" s="19">
        <f>WEEKNUM(tblRidershipData[[#This Row],[MeasurementDate]])</f>
        <v>40</v>
      </c>
      <c r="K1207" s="19">
        <f>MONTH(tblRidershipData[[#This Row],[MeasurementDate]])</f>
        <v>10</v>
      </c>
    </row>
    <row r="1208" spans="1:11" x14ac:dyDescent="0.25">
      <c r="A1208" s="31">
        <v>43740</v>
      </c>
      <c r="B1208" t="s">
        <v>4</v>
      </c>
      <c r="C1208" s="31">
        <v>9305</v>
      </c>
      <c r="D1208" t="s">
        <v>97</v>
      </c>
      <c r="E1208" t="s">
        <v>109</v>
      </c>
      <c r="F1208">
        <v>2</v>
      </c>
      <c r="G1208" t="s">
        <v>54</v>
      </c>
      <c r="H1208" t="s">
        <v>112</v>
      </c>
      <c r="I1208">
        <v>3</v>
      </c>
      <c r="J1208" s="19">
        <f>WEEKNUM(tblRidershipData[[#This Row],[MeasurementDate]])</f>
        <v>40</v>
      </c>
      <c r="K1208" s="19">
        <f>MONTH(tblRidershipData[[#This Row],[MeasurementDate]])</f>
        <v>10</v>
      </c>
    </row>
    <row r="1209" spans="1:11" x14ac:dyDescent="0.25">
      <c r="A1209" s="31">
        <v>43740</v>
      </c>
      <c r="B1209" t="s">
        <v>4</v>
      </c>
      <c r="C1209" s="31">
        <v>9305</v>
      </c>
      <c r="D1209" t="s">
        <v>97</v>
      </c>
      <c r="E1209" t="s">
        <v>109</v>
      </c>
      <c r="F1209">
        <v>2</v>
      </c>
      <c r="G1209" t="s">
        <v>63</v>
      </c>
      <c r="H1209" t="s">
        <v>112</v>
      </c>
      <c r="I1209">
        <v>1</v>
      </c>
      <c r="J1209" s="19">
        <f>WEEKNUM(tblRidershipData[[#This Row],[MeasurementDate]])</f>
        <v>40</v>
      </c>
      <c r="K1209" s="19">
        <f>MONTH(tblRidershipData[[#This Row],[MeasurementDate]])</f>
        <v>10</v>
      </c>
    </row>
    <row r="1210" spans="1:11" x14ac:dyDescent="0.25">
      <c r="A1210" s="31">
        <v>43740</v>
      </c>
      <c r="B1210" t="s">
        <v>4</v>
      </c>
      <c r="C1210" s="31">
        <v>9305</v>
      </c>
      <c r="D1210" t="s">
        <v>97</v>
      </c>
      <c r="E1210" t="s">
        <v>109</v>
      </c>
      <c r="F1210">
        <v>2</v>
      </c>
      <c r="G1210" t="s">
        <v>67</v>
      </c>
      <c r="H1210" t="s">
        <v>112</v>
      </c>
      <c r="I1210">
        <v>1</v>
      </c>
      <c r="J1210" s="19">
        <f>WEEKNUM(tblRidershipData[[#This Row],[MeasurementDate]])</f>
        <v>40</v>
      </c>
      <c r="K1210" s="19">
        <f>MONTH(tblRidershipData[[#This Row],[MeasurementDate]])</f>
        <v>10</v>
      </c>
    </row>
    <row r="1211" spans="1:11" x14ac:dyDescent="0.25">
      <c r="A1211" s="31">
        <v>43740</v>
      </c>
      <c r="B1211" t="s">
        <v>4</v>
      </c>
      <c r="C1211" s="31">
        <v>9305</v>
      </c>
      <c r="D1211" t="s">
        <v>97</v>
      </c>
      <c r="E1211" t="s">
        <v>109</v>
      </c>
      <c r="F1211">
        <v>1</v>
      </c>
      <c r="G1211" t="s">
        <v>52</v>
      </c>
      <c r="H1211" t="s">
        <v>110</v>
      </c>
      <c r="I1211">
        <v>46</v>
      </c>
      <c r="J1211" s="19">
        <f>WEEKNUM(tblRidershipData[[#This Row],[MeasurementDate]])</f>
        <v>40</v>
      </c>
      <c r="K1211" s="19">
        <f>MONTH(tblRidershipData[[#This Row],[MeasurementDate]])</f>
        <v>10</v>
      </c>
    </row>
    <row r="1212" spans="1:11" x14ac:dyDescent="0.25">
      <c r="A1212" s="31">
        <v>43740</v>
      </c>
      <c r="B1212" t="s">
        <v>4</v>
      </c>
      <c r="C1212" s="31">
        <v>9305</v>
      </c>
      <c r="D1212" t="s">
        <v>97</v>
      </c>
      <c r="E1212" t="s">
        <v>109</v>
      </c>
      <c r="F1212">
        <v>1</v>
      </c>
      <c r="G1212" t="s">
        <v>55</v>
      </c>
      <c r="H1212" t="s">
        <v>110</v>
      </c>
      <c r="I1212">
        <v>7</v>
      </c>
      <c r="J1212" s="19">
        <f>WEEKNUM(tblRidershipData[[#This Row],[MeasurementDate]])</f>
        <v>40</v>
      </c>
      <c r="K1212" s="19">
        <f>MONTH(tblRidershipData[[#This Row],[MeasurementDate]])</f>
        <v>10</v>
      </c>
    </row>
    <row r="1213" spans="1:11" x14ac:dyDescent="0.25">
      <c r="A1213" s="31">
        <v>43740</v>
      </c>
      <c r="B1213" t="s">
        <v>4</v>
      </c>
      <c r="C1213" s="31">
        <v>9305</v>
      </c>
      <c r="D1213" t="s">
        <v>97</v>
      </c>
      <c r="E1213" t="s">
        <v>109</v>
      </c>
      <c r="F1213">
        <v>1</v>
      </c>
      <c r="G1213" t="s">
        <v>75</v>
      </c>
      <c r="H1213" t="s">
        <v>110</v>
      </c>
      <c r="I1213">
        <v>12</v>
      </c>
      <c r="J1213" s="19">
        <f>WEEKNUM(tblRidershipData[[#This Row],[MeasurementDate]])</f>
        <v>40</v>
      </c>
      <c r="K1213" s="19">
        <f>MONTH(tblRidershipData[[#This Row],[MeasurementDate]])</f>
        <v>10</v>
      </c>
    </row>
    <row r="1214" spans="1:11" x14ac:dyDescent="0.25">
      <c r="A1214" s="31">
        <v>43740</v>
      </c>
      <c r="B1214" t="s">
        <v>4</v>
      </c>
      <c r="C1214" s="31">
        <v>9305</v>
      </c>
      <c r="D1214" t="s">
        <v>97</v>
      </c>
      <c r="E1214" t="s">
        <v>109</v>
      </c>
      <c r="F1214">
        <v>2</v>
      </c>
      <c r="G1214" t="s">
        <v>74</v>
      </c>
      <c r="H1214" t="s">
        <v>110</v>
      </c>
      <c r="I1214">
        <v>7</v>
      </c>
      <c r="J1214" s="19">
        <f>WEEKNUM(tblRidershipData[[#This Row],[MeasurementDate]])</f>
        <v>40</v>
      </c>
      <c r="K1214" s="19">
        <f>MONTH(tblRidershipData[[#This Row],[MeasurementDate]])</f>
        <v>10</v>
      </c>
    </row>
    <row r="1215" spans="1:11" x14ac:dyDescent="0.25">
      <c r="A1215" s="31">
        <v>43740</v>
      </c>
      <c r="B1215" t="s">
        <v>4</v>
      </c>
      <c r="C1215" s="31">
        <v>9314</v>
      </c>
      <c r="D1215" t="s">
        <v>94</v>
      </c>
      <c r="E1215" t="s">
        <v>111</v>
      </c>
      <c r="F1215">
        <v>1</v>
      </c>
      <c r="G1215" t="s">
        <v>45</v>
      </c>
      <c r="H1215" t="s">
        <v>110</v>
      </c>
      <c r="I1215">
        <v>13</v>
      </c>
      <c r="J1215" s="19">
        <f>WEEKNUM(tblRidershipData[[#This Row],[MeasurementDate]])</f>
        <v>40</v>
      </c>
      <c r="K1215" s="19">
        <f>MONTH(tblRidershipData[[#This Row],[MeasurementDate]])</f>
        <v>10</v>
      </c>
    </row>
    <row r="1216" spans="1:11" x14ac:dyDescent="0.25">
      <c r="A1216" s="31">
        <v>43740</v>
      </c>
      <c r="B1216" t="s">
        <v>4</v>
      </c>
      <c r="C1216" s="31">
        <v>9314</v>
      </c>
      <c r="D1216" t="s">
        <v>94</v>
      </c>
      <c r="E1216" t="s">
        <v>111</v>
      </c>
      <c r="F1216">
        <v>1</v>
      </c>
      <c r="G1216" t="s">
        <v>47</v>
      </c>
      <c r="H1216" t="s">
        <v>110</v>
      </c>
      <c r="I1216">
        <v>2</v>
      </c>
      <c r="J1216" s="19">
        <f>WEEKNUM(tblRidershipData[[#This Row],[MeasurementDate]])</f>
        <v>40</v>
      </c>
      <c r="K1216" s="19">
        <f>MONTH(tblRidershipData[[#This Row],[MeasurementDate]])</f>
        <v>10</v>
      </c>
    </row>
    <row r="1217" spans="1:11" x14ac:dyDescent="0.25">
      <c r="A1217" s="31">
        <v>43740</v>
      </c>
      <c r="B1217" t="s">
        <v>4</v>
      </c>
      <c r="C1217" s="31">
        <v>9314</v>
      </c>
      <c r="D1217" t="s">
        <v>94</v>
      </c>
      <c r="E1217" t="s">
        <v>111</v>
      </c>
      <c r="F1217">
        <v>1</v>
      </c>
      <c r="G1217" t="s">
        <v>48</v>
      </c>
      <c r="H1217" t="s">
        <v>110</v>
      </c>
      <c r="I1217">
        <v>3</v>
      </c>
      <c r="J1217" s="19">
        <f>WEEKNUM(tblRidershipData[[#This Row],[MeasurementDate]])</f>
        <v>40</v>
      </c>
      <c r="K1217" s="19">
        <f>MONTH(tblRidershipData[[#This Row],[MeasurementDate]])</f>
        <v>10</v>
      </c>
    </row>
    <row r="1218" spans="1:11" x14ac:dyDescent="0.25">
      <c r="A1218" s="31">
        <v>43740</v>
      </c>
      <c r="B1218" t="s">
        <v>4</v>
      </c>
      <c r="C1218" s="31">
        <v>9314</v>
      </c>
      <c r="D1218" t="s">
        <v>94</v>
      </c>
      <c r="E1218" t="s">
        <v>111</v>
      </c>
      <c r="F1218">
        <v>1</v>
      </c>
      <c r="G1218" t="s">
        <v>49</v>
      </c>
      <c r="H1218" t="s">
        <v>110</v>
      </c>
      <c r="I1218">
        <v>1</v>
      </c>
      <c r="J1218" s="19">
        <f>WEEKNUM(tblRidershipData[[#This Row],[MeasurementDate]])</f>
        <v>40</v>
      </c>
      <c r="K1218" s="19">
        <f>MONTH(tblRidershipData[[#This Row],[MeasurementDate]])</f>
        <v>10</v>
      </c>
    </row>
    <row r="1219" spans="1:11" x14ac:dyDescent="0.25">
      <c r="A1219" s="31">
        <v>43740</v>
      </c>
      <c r="B1219" t="s">
        <v>4</v>
      </c>
      <c r="C1219" s="31">
        <v>9314</v>
      </c>
      <c r="D1219" t="s">
        <v>94</v>
      </c>
      <c r="E1219" t="s">
        <v>111</v>
      </c>
      <c r="F1219">
        <v>1</v>
      </c>
      <c r="G1219" t="s">
        <v>50</v>
      </c>
      <c r="H1219" t="s">
        <v>110</v>
      </c>
      <c r="I1219">
        <v>1</v>
      </c>
      <c r="J1219" s="19">
        <f>WEEKNUM(tblRidershipData[[#This Row],[MeasurementDate]])</f>
        <v>40</v>
      </c>
      <c r="K1219" s="19">
        <f>MONTH(tblRidershipData[[#This Row],[MeasurementDate]])</f>
        <v>10</v>
      </c>
    </row>
    <row r="1220" spans="1:11" x14ac:dyDescent="0.25">
      <c r="A1220" s="31">
        <v>43740</v>
      </c>
      <c r="B1220" t="s">
        <v>4</v>
      </c>
      <c r="C1220" s="31">
        <v>9314</v>
      </c>
      <c r="D1220" t="s">
        <v>94</v>
      </c>
      <c r="E1220" t="s">
        <v>111</v>
      </c>
      <c r="F1220">
        <v>1</v>
      </c>
      <c r="G1220" t="s">
        <v>56</v>
      </c>
      <c r="H1220" t="s">
        <v>110</v>
      </c>
      <c r="I1220">
        <v>2</v>
      </c>
      <c r="J1220" s="19">
        <f>WEEKNUM(tblRidershipData[[#This Row],[MeasurementDate]])</f>
        <v>40</v>
      </c>
      <c r="K1220" s="19">
        <f>MONTH(tblRidershipData[[#This Row],[MeasurementDate]])</f>
        <v>10</v>
      </c>
    </row>
    <row r="1221" spans="1:11" x14ac:dyDescent="0.25">
      <c r="A1221" s="31">
        <v>43740</v>
      </c>
      <c r="B1221" t="s">
        <v>4</v>
      </c>
      <c r="C1221" s="31">
        <v>9314</v>
      </c>
      <c r="D1221" t="s">
        <v>94</v>
      </c>
      <c r="E1221" t="s">
        <v>111</v>
      </c>
      <c r="F1221">
        <v>1</v>
      </c>
      <c r="G1221" t="s">
        <v>64</v>
      </c>
      <c r="H1221" t="s">
        <v>110</v>
      </c>
      <c r="I1221">
        <v>2</v>
      </c>
      <c r="J1221" s="19">
        <f>WEEKNUM(tblRidershipData[[#This Row],[MeasurementDate]])</f>
        <v>40</v>
      </c>
      <c r="K1221" s="19">
        <f>MONTH(tblRidershipData[[#This Row],[MeasurementDate]])</f>
        <v>10</v>
      </c>
    </row>
    <row r="1222" spans="1:11" x14ac:dyDescent="0.25">
      <c r="A1222" s="31">
        <v>43740</v>
      </c>
      <c r="B1222" t="s">
        <v>4</v>
      </c>
      <c r="C1222" s="31">
        <v>9314</v>
      </c>
      <c r="D1222" t="s">
        <v>94</v>
      </c>
      <c r="E1222" t="s">
        <v>111</v>
      </c>
      <c r="F1222">
        <v>1</v>
      </c>
      <c r="G1222" t="s">
        <v>73</v>
      </c>
      <c r="H1222" t="s">
        <v>110</v>
      </c>
      <c r="I1222">
        <v>4</v>
      </c>
      <c r="J1222" s="19">
        <f>WEEKNUM(tblRidershipData[[#This Row],[MeasurementDate]])</f>
        <v>40</v>
      </c>
      <c r="K1222" s="19">
        <f>MONTH(tblRidershipData[[#This Row],[MeasurementDate]])</f>
        <v>10</v>
      </c>
    </row>
    <row r="1223" spans="1:11" x14ac:dyDescent="0.25">
      <c r="A1223" s="31">
        <v>43740</v>
      </c>
      <c r="B1223" t="s">
        <v>4</v>
      </c>
      <c r="C1223" s="31">
        <v>9314</v>
      </c>
      <c r="D1223" t="s">
        <v>94</v>
      </c>
      <c r="E1223" t="s">
        <v>111</v>
      </c>
      <c r="F1223">
        <v>1</v>
      </c>
      <c r="G1223" t="s">
        <v>77</v>
      </c>
      <c r="H1223" t="s">
        <v>110</v>
      </c>
      <c r="I1223">
        <v>2</v>
      </c>
      <c r="J1223" s="19">
        <f>WEEKNUM(tblRidershipData[[#This Row],[MeasurementDate]])</f>
        <v>40</v>
      </c>
      <c r="K1223" s="19">
        <f>MONTH(tblRidershipData[[#This Row],[MeasurementDate]])</f>
        <v>10</v>
      </c>
    </row>
    <row r="1224" spans="1:11" x14ac:dyDescent="0.25">
      <c r="A1224" s="31">
        <v>43740</v>
      </c>
      <c r="B1224" t="s">
        <v>4</v>
      </c>
      <c r="C1224" s="31">
        <v>9314</v>
      </c>
      <c r="D1224" t="s">
        <v>94</v>
      </c>
      <c r="E1224" t="s">
        <v>111</v>
      </c>
      <c r="F1224">
        <v>1</v>
      </c>
      <c r="G1224" t="s">
        <v>78</v>
      </c>
      <c r="H1224" t="s">
        <v>110</v>
      </c>
      <c r="I1224">
        <v>2</v>
      </c>
      <c r="J1224" s="19">
        <f>WEEKNUM(tblRidershipData[[#This Row],[MeasurementDate]])</f>
        <v>40</v>
      </c>
      <c r="K1224" s="19">
        <f>MONTH(tblRidershipData[[#This Row],[MeasurementDate]])</f>
        <v>10</v>
      </c>
    </row>
    <row r="1225" spans="1:11" x14ac:dyDescent="0.25">
      <c r="A1225" s="31">
        <v>43740</v>
      </c>
      <c r="B1225" t="s">
        <v>4</v>
      </c>
      <c r="C1225" s="31">
        <v>9314</v>
      </c>
      <c r="D1225" t="s">
        <v>94</v>
      </c>
      <c r="E1225" t="s">
        <v>109</v>
      </c>
      <c r="F1225">
        <v>1</v>
      </c>
      <c r="G1225" t="s">
        <v>54</v>
      </c>
      <c r="H1225" t="s">
        <v>110</v>
      </c>
      <c r="I1225">
        <v>15</v>
      </c>
      <c r="J1225" s="19">
        <f>WEEKNUM(tblRidershipData[[#This Row],[MeasurementDate]])</f>
        <v>40</v>
      </c>
      <c r="K1225" s="19">
        <f>MONTH(tblRidershipData[[#This Row],[MeasurementDate]])</f>
        <v>10</v>
      </c>
    </row>
    <row r="1226" spans="1:11" x14ac:dyDescent="0.25">
      <c r="A1226" s="31">
        <v>43740</v>
      </c>
      <c r="B1226" t="s">
        <v>4</v>
      </c>
      <c r="C1226" s="31">
        <v>9314</v>
      </c>
      <c r="D1226" t="s">
        <v>94</v>
      </c>
      <c r="E1226" t="s">
        <v>109</v>
      </c>
      <c r="F1226">
        <v>1</v>
      </c>
      <c r="G1226" t="s">
        <v>64</v>
      </c>
      <c r="H1226" t="s">
        <v>110</v>
      </c>
      <c r="I1226">
        <v>5</v>
      </c>
      <c r="J1226" s="19">
        <f>WEEKNUM(tblRidershipData[[#This Row],[MeasurementDate]])</f>
        <v>40</v>
      </c>
      <c r="K1226" s="19">
        <f>MONTH(tblRidershipData[[#This Row],[MeasurementDate]])</f>
        <v>10</v>
      </c>
    </row>
    <row r="1227" spans="1:11" x14ac:dyDescent="0.25">
      <c r="A1227" s="31">
        <v>43740</v>
      </c>
      <c r="B1227" t="s">
        <v>4</v>
      </c>
      <c r="C1227" s="31">
        <v>9314</v>
      </c>
      <c r="D1227" t="s">
        <v>94</v>
      </c>
      <c r="E1227" t="s">
        <v>109</v>
      </c>
      <c r="F1227">
        <v>1</v>
      </c>
      <c r="G1227" t="s">
        <v>70</v>
      </c>
      <c r="H1227" t="s">
        <v>110</v>
      </c>
      <c r="I1227">
        <v>6</v>
      </c>
      <c r="J1227" s="19">
        <f>WEEKNUM(tblRidershipData[[#This Row],[MeasurementDate]])</f>
        <v>40</v>
      </c>
      <c r="K1227" s="19">
        <f>MONTH(tblRidershipData[[#This Row],[MeasurementDate]])</f>
        <v>10</v>
      </c>
    </row>
    <row r="1228" spans="1:11" x14ac:dyDescent="0.25">
      <c r="A1228" s="31">
        <v>43740</v>
      </c>
      <c r="B1228" t="s">
        <v>4</v>
      </c>
      <c r="C1228" s="31">
        <v>9314</v>
      </c>
      <c r="D1228" t="s">
        <v>94</v>
      </c>
      <c r="E1228" t="s">
        <v>109</v>
      </c>
      <c r="F1228">
        <v>1</v>
      </c>
      <c r="G1228" t="s">
        <v>74</v>
      </c>
      <c r="H1228" t="s">
        <v>110</v>
      </c>
      <c r="I1228">
        <v>9</v>
      </c>
      <c r="J1228" s="19">
        <f>WEEKNUM(tblRidershipData[[#This Row],[MeasurementDate]])</f>
        <v>40</v>
      </c>
      <c r="K1228" s="19">
        <f>MONTH(tblRidershipData[[#This Row],[MeasurementDate]])</f>
        <v>10</v>
      </c>
    </row>
    <row r="1229" spans="1:11" x14ac:dyDescent="0.25">
      <c r="A1229" s="31">
        <v>43740</v>
      </c>
      <c r="B1229" t="s">
        <v>4</v>
      </c>
      <c r="C1229" s="31">
        <v>9314</v>
      </c>
      <c r="D1229" t="s">
        <v>94</v>
      </c>
      <c r="E1229" t="s">
        <v>109</v>
      </c>
      <c r="F1229">
        <v>2</v>
      </c>
      <c r="G1229" t="s">
        <v>70</v>
      </c>
      <c r="H1229" t="s">
        <v>110</v>
      </c>
      <c r="I1229">
        <v>10</v>
      </c>
      <c r="J1229" s="19">
        <f>WEEKNUM(tblRidershipData[[#This Row],[MeasurementDate]])</f>
        <v>40</v>
      </c>
      <c r="K1229" s="19">
        <f>MONTH(tblRidershipData[[#This Row],[MeasurementDate]])</f>
        <v>10</v>
      </c>
    </row>
    <row r="1230" spans="1:11" x14ac:dyDescent="0.25">
      <c r="A1230" s="31">
        <v>43740</v>
      </c>
      <c r="B1230" t="s">
        <v>4</v>
      </c>
      <c r="C1230" s="31">
        <v>9320</v>
      </c>
      <c r="D1230" t="s">
        <v>99</v>
      </c>
      <c r="E1230" t="s">
        <v>111</v>
      </c>
      <c r="F1230">
        <v>1</v>
      </c>
      <c r="G1230" t="s">
        <v>67</v>
      </c>
      <c r="H1230" t="s">
        <v>112</v>
      </c>
      <c r="I1230">
        <v>10</v>
      </c>
      <c r="J1230" s="19">
        <f>WEEKNUM(tblRidershipData[[#This Row],[MeasurementDate]])</f>
        <v>40</v>
      </c>
      <c r="K1230" s="19">
        <f>MONTH(tblRidershipData[[#This Row],[MeasurementDate]])</f>
        <v>10</v>
      </c>
    </row>
    <row r="1231" spans="1:11" x14ac:dyDescent="0.25">
      <c r="A1231" s="31">
        <v>43740</v>
      </c>
      <c r="B1231" t="s">
        <v>4</v>
      </c>
      <c r="C1231" s="31">
        <v>9320</v>
      </c>
      <c r="D1231" t="s">
        <v>99</v>
      </c>
      <c r="E1231" t="s">
        <v>111</v>
      </c>
      <c r="F1231">
        <v>1</v>
      </c>
      <c r="G1231" t="s">
        <v>69</v>
      </c>
      <c r="H1231" t="s">
        <v>112</v>
      </c>
      <c r="I1231">
        <v>2</v>
      </c>
      <c r="J1231" s="19">
        <f>WEEKNUM(tblRidershipData[[#This Row],[MeasurementDate]])</f>
        <v>40</v>
      </c>
      <c r="K1231" s="19">
        <f>MONTH(tblRidershipData[[#This Row],[MeasurementDate]])</f>
        <v>10</v>
      </c>
    </row>
    <row r="1232" spans="1:11" x14ac:dyDescent="0.25">
      <c r="A1232" s="31">
        <v>43740</v>
      </c>
      <c r="B1232" t="s">
        <v>4</v>
      </c>
      <c r="C1232" s="31">
        <v>9320</v>
      </c>
      <c r="D1232" t="s">
        <v>99</v>
      </c>
      <c r="E1232" t="s">
        <v>111</v>
      </c>
      <c r="F1232">
        <v>1</v>
      </c>
      <c r="G1232" t="s">
        <v>75</v>
      </c>
      <c r="H1232" t="s">
        <v>112</v>
      </c>
      <c r="I1232">
        <v>14</v>
      </c>
      <c r="J1232" s="19">
        <f>WEEKNUM(tblRidershipData[[#This Row],[MeasurementDate]])</f>
        <v>40</v>
      </c>
      <c r="K1232" s="19">
        <f>MONTH(tblRidershipData[[#This Row],[MeasurementDate]])</f>
        <v>10</v>
      </c>
    </row>
    <row r="1233" spans="1:11" x14ac:dyDescent="0.25">
      <c r="A1233" s="31">
        <v>43740</v>
      </c>
      <c r="B1233" t="s">
        <v>4</v>
      </c>
      <c r="C1233" s="31">
        <v>9320</v>
      </c>
      <c r="D1233" t="s">
        <v>99</v>
      </c>
      <c r="E1233" t="s">
        <v>109</v>
      </c>
      <c r="F1233">
        <v>1</v>
      </c>
      <c r="G1233" t="s">
        <v>45</v>
      </c>
      <c r="H1233" t="s">
        <v>112</v>
      </c>
      <c r="I1233">
        <v>3</v>
      </c>
      <c r="J1233" s="19">
        <f>WEEKNUM(tblRidershipData[[#This Row],[MeasurementDate]])</f>
        <v>40</v>
      </c>
      <c r="K1233" s="19">
        <f>MONTH(tblRidershipData[[#This Row],[MeasurementDate]])</f>
        <v>10</v>
      </c>
    </row>
    <row r="1234" spans="1:11" x14ac:dyDescent="0.25">
      <c r="A1234" s="31">
        <v>43740</v>
      </c>
      <c r="B1234" t="s">
        <v>4</v>
      </c>
      <c r="C1234" s="31">
        <v>9320</v>
      </c>
      <c r="D1234" t="s">
        <v>99</v>
      </c>
      <c r="E1234" t="s">
        <v>109</v>
      </c>
      <c r="F1234">
        <v>1</v>
      </c>
      <c r="G1234" t="s">
        <v>47</v>
      </c>
      <c r="H1234" t="s">
        <v>112</v>
      </c>
      <c r="I1234">
        <v>9</v>
      </c>
      <c r="J1234" s="19">
        <f>WEEKNUM(tblRidershipData[[#This Row],[MeasurementDate]])</f>
        <v>40</v>
      </c>
      <c r="K1234" s="19">
        <f>MONTH(tblRidershipData[[#This Row],[MeasurementDate]])</f>
        <v>10</v>
      </c>
    </row>
    <row r="1235" spans="1:11" x14ac:dyDescent="0.25">
      <c r="A1235" s="31">
        <v>43740</v>
      </c>
      <c r="B1235" t="s">
        <v>4</v>
      </c>
      <c r="C1235" s="31">
        <v>9320</v>
      </c>
      <c r="D1235" t="s">
        <v>99</v>
      </c>
      <c r="E1235" t="s">
        <v>109</v>
      </c>
      <c r="F1235">
        <v>1</v>
      </c>
      <c r="G1235" t="s">
        <v>53</v>
      </c>
      <c r="H1235" t="s">
        <v>112</v>
      </c>
      <c r="I1235">
        <v>13</v>
      </c>
      <c r="J1235" s="19">
        <f>WEEKNUM(tblRidershipData[[#This Row],[MeasurementDate]])</f>
        <v>40</v>
      </c>
      <c r="K1235" s="19">
        <f>MONTH(tblRidershipData[[#This Row],[MeasurementDate]])</f>
        <v>10</v>
      </c>
    </row>
    <row r="1236" spans="1:11" x14ac:dyDescent="0.25">
      <c r="A1236" s="31">
        <v>43740</v>
      </c>
      <c r="B1236" t="s">
        <v>4</v>
      </c>
      <c r="C1236" s="31">
        <v>9320</v>
      </c>
      <c r="D1236" t="s">
        <v>99</v>
      </c>
      <c r="E1236" t="s">
        <v>109</v>
      </c>
      <c r="F1236">
        <v>1</v>
      </c>
      <c r="G1236" t="s">
        <v>58</v>
      </c>
      <c r="H1236" t="s">
        <v>112</v>
      </c>
      <c r="I1236">
        <v>1</v>
      </c>
      <c r="J1236" s="19">
        <f>WEEKNUM(tblRidershipData[[#This Row],[MeasurementDate]])</f>
        <v>40</v>
      </c>
      <c r="K1236" s="19">
        <f>MONTH(tblRidershipData[[#This Row],[MeasurementDate]])</f>
        <v>10</v>
      </c>
    </row>
    <row r="1237" spans="1:11" x14ac:dyDescent="0.25">
      <c r="A1237" s="31">
        <v>43740</v>
      </c>
      <c r="B1237" t="s">
        <v>4</v>
      </c>
      <c r="C1237" s="31">
        <v>9320</v>
      </c>
      <c r="D1237" t="s">
        <v>99</v>
      </c>
      <c r="E1237" t="s">
        <v>109</v>
      </c>
      <c r="F1237">
        <v>1</v>
      </c>
      <c r="G1237" t="s">
        <v>62</v>
      </c>
      <c r="H1237" t="s">
        <v>112</v>
      </c>
      <c r="I1237">
        <v>10</v>
      </c>
      <c r="J1237" s="19">
        <f>WEEKNUM(tblRidershipData[[#This Row],[MeasurementDate]])</f>
        <v>40</v>
      </c>
      <c r="K1237" s="19">
        <f>MONTH(tblRidershipData[[#This Row],[MeasurementDate]])</f>
        <v>10</v>
      </c>
    </row>
    <row r="1238" spans="1:11" x14ac:dyDescent="0.25">
      <c r="A1238" s="31">
        <v>43740</v>
      </c>
      <c r="B1238" t="s">
        <v>4</v>
      </c>
      <c r="C1238" s="31">
        <v>9320</v>
      </c>
      <c r="D1238" t="s">
        <v>99</v>
      </c>
      <c r="E1238" t="s">
        <v>109</v>
      </c>
      <c r="F1238">
        <v>1</v>
      </c>
      <c r="G1238" t="s">
        <v>64</v>
      </c>
      <c r="H1238" t="s">
        <v>112</v>
      </c>
      <c r="I1238">
        <v>7</v>
      </c>
      <c r="J1238" s="19">
        <f>WEEKNUM(tblRidershipData[[#This Row],[MeasurementDate]])</f>
        <v>40</v>
      </c>
      <c r="K1238" s="19">
        <f>MONTH(tblRidershipData[[#This Row],[MeasurementDate]])</f>
        <v>10</v>
      </c>
    </row>
    <row r="1239" spans="1:11" x14ac:dyDescent="0.25">
      <c r="A1239" s="31">
        <v>43740</v>
      </c>
      <c r="B1239" t="s">
        <v>4</v>
      </c>
      <c r="C1239" s="31">
        <v>9320</v>
      </c>
      <c r="D1239" t="s">
        <v>99</v>
      </c>
      <c r="E1239" t="s">
        <v>109</v>
      </c>
      <c r="F1239">
        <v>1</v>
      </c>
      <c r="G1239" t="s">
        <v>67</v>
      </c>
      <c r="H1239" t="s">
        <v>112</v>
      </c>
      <c r="I1239">
        <v>9</v>
      </c>
      <c r="J1239" s="19">
        <f>WEEKNUM(tblRidershipData[[#This Row],[MeasurementDate]])</f>
        <v>40</v>
      </c>
      <c r="K1239" s="19">
        <f>MONTH(tblRidershipData[[#This Row],[MeasurementDate]])</f>
        <v>10</v>
      </c>
    </row>
    <row r="1240" spans="1:11" x14ac:dyDescent="0.25">
      <c r="A1240" s="31">
        <v>43740</v>
      </c>
      <c r="B1240" t="s">
        <v>4</v>
      </c>
      <c r="C1240" s="31">
        <v>9320</v>
      </c>
      <c r="D1240" t="s">
        <v>99</v>
      </c>
      <c r="E1240" t="s">
        <v>109</v>
      </c>
      <c r="F1240">
        <v>1</v>
      </c>
      <c r="G1240" t="s">
        <v>73</v>
      </c>
      <c r="H1240" t="s">
        <v>112</v>
      </c>
      <c r="I1240">
        <v>7</v>
      </c>
      <c r="J1240" s="19">
        <f>WEEKNUM(tblRidershipData[[#This Row],[MeasurementDate]])</f>
        <v>40</v>
      </c>
      <c r="K1240" s="19">
        <f>MONTH(tblRidershipData[[#This Row],[MeasurementDate]])</f>
        <v>10</v>
      </c>
    </row>
    <row r="1241" spans="1:11" x14ac:dyDescent="0.25">
      <c r="A1241" s="31">
        <v>43740</v>
      </c>
      <c r="B1241" t="s">
        <v>4</v>
      </c>
      <c r="C1241" s="31">
        <v>9320</v>
      </c>
      <c r="D1241" t="s">
        <v>99</v>
      </c>
      <c r="E1241" t="s">
        <v>109</v>
      </c>
      <c r="F1241">
        <v>2</v>
      </c>
      <c r="G1241" t="s">
        <v>45</v>
      </c>
      <c r="H1241" t="s">
        <v>112</v>
      </c>
      <c r="I1241">
        <v>2</v>
      </c>
      <c r="J1241" s="19">
        <f>WEEKNUM(tblRidershipData[[#This Row],[MeasurementDate]])</f>
        <v>40</v>
      </c>
      <c r="K1241" s="19">
        <f>MONTH(tblRidershipData[[#This Row],[MeasurementDate]])</f>
        <v>10</v>
      </c>
    </row>
    <row r="1242" spans="1:11" x14ac:dyDescent="0.25">
      <c r="A1242" s="31">
        <v>43740</v>
      </c>
      <c r="B1242" t="s">
        <v>4</v>
      </c>
      <c r="C1242" s="31">
        <v>9320</v>
      </c>
      <c r="D1242" t="s">
        <v>99</v>
      </c>
      <c r="E1242" t="s">
        <v>109</v>
      </c>
      <c r="F1242">
        <v>2</v>
      </c>
      <c r="G1242" t="s">
        <v>47</v>
      </c>
      <c r="H1242" t="s">
        <v>112</v>
      </c>
      <c r="I1242">
        <v>7</v>
      </c>
      <c r="J1242" s="19">
        <f>WEEKNUM(tblRidershipData[[#This Row],[MeasurementDate]])</f>
        <v>40</v>
      </c>
      <c r="K1242" s="19">
        <f>MONTH(tblRidershipData[[#This Row],[MeasurementDate]])</f>
        <v>10</v>
      </c>
    </row>
    <row r="1243" spans="1:11" x14ac:dyDescent="0.25">
      <c r="A1243" s="31">
        <v>43740</v>
      </c>
      <c r="B1243" t="s">
        <v>4</v>
      </c>
      <c r="C1243" s="31">
        <v>9320</v>
      </c>
      <c r="D1243" t="s">
        <v>99</v>
      </c>
      <c r="E1243" t="s">
        <v>109</v>
      </c>
      <c r="F1243">
        <v>2</v>
      </c>
      <c r="G1243" t="s">
        <v>50</v>
      </c>
      <c r="H1243" t="s">
        <v>112</v>
      </c>
      <c r="I1243">
        <v>5</v>
      </c>
      <c r="J1243" s="19">
        <f>WEEKNUM(tblRidershipData[[#This Row],[MeasurementDate]])</f>
        <v>40</v>
      </c>
      <c r="K1243" s="19">
        <f>MONTH(tblRidershipData[[#This Row],[MeasurementDate]])</f>
        <v>10</v>
      </c>
    </row>
    <row r="1244" spans="1:11" x14ac:dyDescent="0.25">
      <c r="A1244" s="31">
        <v>43740</v>
      </c>
      <c r="B1244" t="s">
        <v>4</v>
      </c>
      <c r="C1244" s="31">
        <v>9320</v>
      </c>
      <c r="D1244" t="s">
        <v>99</v>
      </c>
      <c r="E1244" t="s">
        <v>109</v>
      </c>
      <c r="F1244">
        <v>2</v>
      </c>
      <c r="G1244" t="s">
        <v>53</v>
      </c>
      <c r="H1244" t="s">
        <v>112</v>
      </c>
      <c r="I1244">
        <v>23</v>
      </c>
      <c r="J1244" s="19">
        <f>WEEKNUM(tblRidershipData[[#This Row],[MeasurementDate]])</f>
        <v>40</v>
      </c>
      <c r="K1244" s="19">
        <f>MONTH(tblRidershipData[[#This Row],[MeasurementDate]])</f>
        <v>10</v>
      </c>
    </row>
    <row r="1245" spans="1:11" x14ac:dyDescent="0.25">
      <c r="A1245" s="31">
        <v>43740</v>
      </c>
      <c r="B1245" t="s">
        <v>4</v>
      </c>
      <c r="C1245" s="31">
        <v>9320</v>
      </c>
      <c r="D1245" t="s">
        <v>99</v>
      </c>
      <c r="E1245" t="s">
        <v>109</v>
      </c>
      <c r="F1245">
        <v>2</v>
      </c>
      <c r="G1245" t="s">
        <v>58</v>
      </c>
      <c r="H1245" t="s">
        <v>112</v>
      </c>
      <c r="I1245">
        <v>1</v>
      </c>
      <c r="J1245" s="19">
        <f>WEEKNUM(tblRidershipData[[#This Row],[MeasurementDate]])</f>
        <v>40</v>
      </c>
      <c r="K1245" s="19">
        <f>MONTH(tblRidershipData[[#This Row],[MeasurementDate]])</f>
        <v>10</v>
      </c>
    </row>
    <row r="1246" spans="1:11" x14ac:dyDescent="0.25">
      <c r="A1246" s="31">
        <v>43740</v>
      </c>
      <c r="B1246" t="s">
        <v>4</v>
      </c>
      <c r="C1246" s="31">
        <v>9320</v>
      </c>
      <c r="D1246" t="s">
        <v>99</v>
      </c>
      <c r="E1246" t="s">
        <v>109</v>
      </c>
      <c r="F1246">
        <v>2</v>
      </c>
      <c r="G1246" t="s">
        <v>64</v>
      </c>
      <c r="H1246" t="s">
        <v>112</v>
      </c>
      <c r="I1246">
        <v>11</v>
      </c>
      <c r="J1246" s="19">
        <f>WEEKNUM(tblRidershipData[[#This Row],[MeasurementDate]])</f>
        <v>40</v>
      </c>
      <c r="K1246" s="19">
        <f>MONTH(tblRidershipData[[#This Row],[MeasurementDate]])</f>
        <v>10</v>
      </c>
    </row>
    <row r="1247" spans="1:11" x14ac:dyDescent="0.25">
      <c r="A1247" s="31">
        <v>43740</v>
      </c>
      <c r="B1247" t="s">
        <v>4</v>
      </c>
      <c r="C1247" s="31">
        <v>9320</v>
      </c>
      <c r="D1247" t="s">
        <v>99</v>
      </c>
      <c r="E1247" t="s">
        <v>109</v>
      </c>
      <c r="F1247">
        <v>2</v>
      </c>
      <c r="G1247" t="s">
        <v>73</v>
      </c>
      <c r="H1247" t="s">
        <v>112</v>
      </c>
      <c r="I1247">
        <v>5</v>
      </c>
      <c r="J1247" s="19">
        <f>WEEKNUM(tblRidershipData[[#This Row],[MeasurementDate]])</f>
        <v>40</v>
      </c>
      <c r="K1247" s="19">
        <f>MONTH(tblRidershipData[[#This Row],[MeasurementDate]])</f>
        <v>10</v>
      </c>
    </row>
    <row r="1248" spans="1:11" x14ac:dyDescent="0.25">
      <c r="A1248" s="31">
        <v>43740</v>
      </c>
      <c r="B1248" t="s">
        <v>4</v>
      </c>
      <c r="C1248" s="31">
        <v>9320</v>
      </c>
      <c r="D1248" t="s">
        <v>99</v>
      </c>
      <c r="E1248" t="s">
        <v>109</v>
      </c>
      <c r="F1248">
        <v>2</v>
      </c>
      <c r="G1248" t="s">
        <v>77</v>
      </c>
      <c r="H1248" t="s">
        <v>112</v>
      </c>
      <c r="I1248">
        <v>1</v>
      </c>
      <c r="J1248" s="19">
        <f>WEEKNUM(tblRidershipData[[#This Row],[MeasurementDate]])</f>
        <v>40</v>
      </c>
      <c r="K1248" s="19">
        <f>MONTH(tblRidershipData[[#This Row],[MeasurementDate]])</f>
        <v>10</v>
      </c>
    </row>
    <row r="1249" spans="1:11" x14ac:dyDescent="0.25">
      <c r="A1249" s="31">
        <v>43740</v>
      </c>
      <c r="B1249" t="s">
        <v>4</v>
      </c>
      <c r="C1249" s="31">
        <v>9320</v>
      </c>
      <c r="D1249" t="s">
        <v>99</v>
      </c>
      <c r="E1249" t="s">
        <v>111</v>
      </c>
      <c r="F1249">
        <v>1</v>
      </c>
      <c r="G1249" t="s">
        <v>45</v>
      </c>
      <c r="H1249" t="s">
        <v>110</v>
      </c>
      <c r="I1249">
        <v>9</v>
      </c>
      <c r="J1249" s="19">
        <f>WEEKNUM(tblRidershipData[[#This Row],[MeasurementDate]])</f>
        <v>40</v>
      </c>
      <c r="K1249" s="19">
        <f>MONTH(tblRidershipData[[#This Row],[MeasurementDate]])</f>
        <v>10</v>
      </c>
    </row>
    <row r="1250" spans="1:11" x14ac:dyDescent="0.25">
      <c r="A1250" s="31">
        <v>43740</v>
      </c>
      <c r="B1250" t="s">
        <v>4</v>
      </c>
      <c r="C1250" s="31">
        <v>9320</v>
      </c>
      <c r="D1250" t="s">
        <v>99</v>
      </c>
      <c r="E1250" t="s">
        <v>111</v>
      </c>
      <c r="F1250">
        <v>1</v>
      </c>
      <c r="G1250" t="s">
        <v>54</v>
      </c>
      <c r="H1250" t="s">
        <v>110</v>
      </c>
      <c r="I1250">
        <v>7</v>
      </c>
      <c r="J1250" s="19">
        <f>WEEKNUM(tblRidershipData[[#This Row],[MeasurementDate]])</f>
        <v>40</v>
      </c>
      <c r="K1250" s="19">
        <f>MONTH(tblRidershipData[[#This Row],[MeasurementDate]])</f>
        <v>10</v>
      </c>
    </row>
    <row r="1251" spans="1:11" x14ac:dyDescent="0.25">
      <c r="A1251" s="31">
        <v>43740</v>
      </c>
      <c r="B1251" t="s">
        <v>4</v>
      </c>
      <c r="C1251" s="31">
        <v>9320</v>
      </c>
      <c r="D1251" t="s">
        <v>99</v>
      </c>
      <c r="E1251" t="s">
        <v>111</v>
      </c>
      <c r="F1251">
        <v>1</v>
      </c>
      <c r="G1251" t="s">
        <v>63</v>
      </c>
      <c r="H1251" t="s">
        <v>110</v>
      </c>
      <c r="I1251">
        <v>1</v>
      </c>
      <c r="J1251" s="19">
        <f>WEEKNUM(tblRidershipData[[#This Row],[MeasurementDate]])</f>
        <v>40</v>
      </c>
      <c r="K1251" s="19">
        <f>MONTH(tblRidershipData[[#This Row],[MeasurementDate]])</f>
        <v>10</v>
      </c>
    </row>
    <row r="1252" spans="1:11" x14ac:dyDescent="0.25">
      <c r="A1252" s="31">
        <v>43740</v>
      </c>
      <c r="B1252" t="s">
        <v>4</v>
      </c>
      <c r="C1252" s="31">
        <v>9320</v>
      </c>
      <c r="D1252" t="s">
        <v>99</v>
      </c>
      <c r="E1252" t="s">
        <v>111</v>
      </c>
      <c r="F1252">
        <v>1</v>
      </c>
      <c r="G1252" t="s">
        <v>64</v>
      </c>
      <c r="H1252" t="s">
        <v>110</v>
      </c>
      <c r="I1252">
        <v>1</v>
      </c>
      <c r="J1252" s="19">
        <f>WEEKNUM(tblRidershipData[[#This Row],[MeasurementDate]])</f>
        <v>40</v>
      </c>
      <c r="K1252" s="19">
        <f>MONTH(tblRidershipData[[#This Row],[MeasurementDate]])</f>
        <v>10</v>
      </c>
    </row>
    <row r="1253" spans="1:11" x14ac:dyDescent="0.25">
      <c r="A1253" s="31">
        <v>43740</v>
      </c>
      <c r="B1253" t="s">
        <v>4</v>
      </c>
      <c r="C1253" s="31">
        <v>9320</v>
      </c>
      <c r="D1253" t="s">
        <v>99</v>
      </c>
      <c r="E1253" t="s">
        <v>111</v>
      </c>
      <c r="F1253">
        <v>1</v>
      </c>
      <c r="G1253" t="s">
        <v>67</v>
      </c>
      <c r="H1253" t="s">
        <v>110</v>
      </c>
      <c r="I1253">
        <v>3</v>
      </c>
      <c r="J1253" s="19">
        <f>WEEKNUM(tblRidershipData[[#This Row],[MeasurementDate]])</f>
        <v>40</v>
      </c>
      <c r="K1253" s="19">
        <f>MONTH(tblRidershipData[[#This Row],[MeasurementDate]])</f>
        <v>10</v>
      </c>
    </row>
    <row r="1254" spans="1:11" x14ac:dyDescent="0.25">
      <c r="A1254" s="31">
        <v>43740</v>
      </c>
      <c r="B1254" t="s">
        <v>4</v>
      </c>
      <c r="C1254" s="31">
        <v>9320</v>
      </c>
      <c r="D1254" t="s">
        <v>99</v>
      </c>
      <c r="E1254" t="s">
        <v>111</v>
      </c>
      <c r="F1254">
        <v>1</v>
      </c>
      <c r="G1254" t="s">
        <v>73</v>
      </c>
      <c r="H1254" t="s">
        <v>110</v>
      </c>
      <c r="I1254">
        <v>1</v>
      </c>
      <c r="J1254" s="19">
        <f>WEEKNUM(tblRidershipData[[#This Row],[MeasurementDate]])</f>
        <v>40</v>
      </c>
      <c r="K1254" s="19">
        <f>MONTH(tblRidershipData[[#This Row],[MeasurementDate]])</f>
        <v>10</v>
      </c>
    </row>
    <row r="1255" spans="1:11" x14ac:dyDescent="0.25">
      <c r="A1255" s="31">
        <v>43740</v>
      </c>
      <c r="B1255" t="s">
        <v>4</v>
      </c>
      <c r="C1255" s="31">
        <v>9320</v>
      </c>
      <c r="D1255" t="s">
        <v>99</v>
      </c>
      <c r="E1255" t="s">
        <v>109</v>
      </c>
      <c r="F1255">
        <v>1</v>
      </c>
      <c r="G1255" t="s">
        <v>52</v>
      </c>
      <c r="H1255" t="s">
        <v>110</v>
      </c>
      <c r="I1255">
        <v>59</v>
      </c>
      <c r="J1255" s="19">
        <f>WEEKNUM(tblRidershipData[[#This Row],[MeasurementDate]])</f>
        <v>40</v>
      </c>
      <c r="K1255" s="19">
        <f>MONTH(tblRidershipData[[#This Row],[MeasurementDate]])</f>
        <v>10</v>
      </c>
    </row>
    <row r="1256" spans="1:11" x14ac:dyDescent="0.25">
      <c r="A1256" s="31">
        <v>43740</v>
      </c>
      <c r="B1256" t="s">
        <v>4</v>
      </c>
      <c r="C1256" s="31">
        <v>9320</v>
      </c>
      <c r="D1256" t="s">
        <v>99</v>
      </c>
      <c r="E1256" t="s">
        <v>109</v>
      </c>
      <c r="F1256">
        <v>2</v>
      </c>
      <c r="G1256" t="s">
        <v>44</v>
      </c>
      <c r="H1256" t="s">
        <v>110</v>
      </c>
      <c r="I1256">
        <v>12</v>
      </c>
      <c r="J1256" s="19">
        <f>WEEKNUM(tblRidershipData[[#This Row],[MeasurementDate]])</f>
        <v>40</v>
      </c>
      <c r="K1256" s="19">
        <f>MONTH(tblRidershipData[[#This Row],[MeasurementDate]])</f>
        <v>10</v>
      </c>
    </row>
    <row r="1257" spans="1:11" x14ac:dyDescent="0.25">
      <c r="A1257" s="31">
        <v>43740</v>
      </c>
      <c r="B1257" t="s">
        <v>4</v>
      </c>
      <c r="C1257" s="31">
        <v>9320</v>
      </c>
      <c r="D1257" t="s">
        <v>99</v>
      </c>
      <c r="E1257" t="s">
        <v>109</v>
      </c>
      <c r="F1257">
        <v>2</v>
      </c>
      <c r="G1257" t="s">
        <v>52</v>
      </c>
      <c r="H1257" t="s">
        <v>110</v>
      </c>
      <c r="I1257">
        <v>55</v>
      </c>
      <c r="J1257" s="19">
        <f>WEEKNUM(tblRidershipData[[#This Row],[MeasurementDate]])</f>
        <v>40</v>
      </c>
      <c r="K1257" s="19">
        <f>MONTH(tblRidershipData[[#This Row],[MeasurementDate]])</f>
        <v>10</v>
      </c>
    </row>
    <row r="1258" spans="1:11" x14ac:dyDescent="0.25">
      <c r="A1258" s="31">
        <v>43740</v>
      </c>
      <c r="B1258" t="s">
        <v>4</v>
      </c>
      <c r="C1258" s="31">
        <v>6551</v>
      </c>
      <c r="D1258" t="s">
        <v>95</v>
      </c>
      <c r="E1258" t="s">
        <v>111</v>
      </c>
      <c r="F1258">
        <v>1</v>
      </c>
      <c r="G1258" t="s">
        <v>44</v>
      </c>
      <c r="H1258" t="s">
        <v>110</v>
      </c>
      <c r="I1258">
        <v>6</v>
      </c>
      <c r="J1258" s="19">
        <f>WEEKNUM(tblRidershipData[[#This Row],[MeasurementDate]])</f>
        <v>40</v>
      </c>
      <c r="K1258" s="19">
        <f>MONTH(tblRidershipData[[#This Row],[MeasurementDate]])</f>
        <v>10</v>
      </c>
    </row>
    <row r="1259" spans="1:11" x14ac:dyDescent="0.25">
      <c r="A1259" s="31">
        <v>43740</v>
      </c>
      <c r="B1259" t="s">
        <v>4</v>
      </c>
      <c r="C1259" s="31">
        <v>6551</v>
      </c>
      <c r="D1259" t="s">
        <v>95</v>
      </c>
      <c r="E1259" t="s">
        <v>111</v>
      </c>
      <c r="F1259">
        <v>1</v>
      </c>
      <c r="G1259" t="s">
        <v>46</v>
      </c>
      <c r="H1259" t="s">
        <v>110</v>
      </c>
      <c r="I1259">
        <v>12</v>
      </c>
      <c r="J1259" s="19">
        <f>WEEKNUM(tblRidershipData[[#This Row],[MeasurementDate]])</f>
        <v>40</v>
      </c>
      <c r="K1259" s="19">
        <f>MONTH(tblRidershipData[[#This Row],[MeasurementDate]])</f>
        <v>10</v>
      </c>
    </row>
    <row r="1260" spans="1:11" x14ac:dyDescent="0.25">
      <c r="A1260" s="31">
        <v>43740</v>
      </c>
      <c r="B1260" t="s">
        <v>4</v>
      </c>
      <c r="C1260" s="31">
        <v>6551</v>
      </c>
      <c r="D1260" t="s">
        <v>95</v>
      </c>
      <c r="E1260" t="s">
        <v>111</v>
      </c>
      <c r="F1260">
        <v>1</v>
      </c>
      <c r="G1260" t="s">
        <v>49</v>
      </c>
      <c r="H1260" t="s">
        <v>110</v>
      </c>
      <c r="I1260">
        <v>6</v>
      </c>
      <c r="J1260" s="19">
        <f>WEEKNUM(tblRidershipData[[#This Row],[MeasurementDate]])</f>
        <v>40</v>
      </c>
      <c r="K1260" s="19">
        <f>MONTH(tblRidershipData[[#This Row],[MeasurementDate]])</f>
        <v>10</v>
      </c>
    </row>
    <row r="1261" spans="1:11" x14ac:dyDescent="0.25">
      <c r="A1261" s="31">
        <v>43740</v>
      </c>
      <c r="B1261" t="s">
        <v>4</v>
      </c>
      <c r="C1261" s="31">
        <v>6551</v>
      </c>
      <c r="D1261" t="s">
        <v>95</v>
      </c>
      <c r="E1261" t="s">
        <v>111</v>
      </c>
      <c r="F1261">
        <v>1</v>
      </c>
      <c r="G1261" t="s">
        <v>54</v>
      </c>
      <c r="H1261" t="s">
        <v>110</v>
      </c>
      <c r="I1261">
        <v>17</v>
      </c>
      <c r="J1261" s="19">
        <f>WEEKNUM(tblRidershipData[[#This Row],[MeasurementDate]])</f>
        <v>40</v>
      </c>
      <c r="K1261" s="19">
        <f>MONTH(tblRidershipData[[#This Row],[MeasurementDate]])</f>
        <v>10</v>
      </c>
    </row>
    <row r="1262" spans="1:11" x14ac:dyDescent="0.25">
      <c r="A1262" s="31">
        <v>43740</v>
      </c>
      <c r="B1262" t="s">
        <v>4</v>
      </c>
      <c r="C1262" s="31">
        <v>6551</v>
      </c>
      <c r="D1262" t="s">
        <v>95</v>
      </c>
      <c r="E1262" t="s">
        <v>111</v>
      </c>
      <c r="F1262">
        <v>1</v>
      </c>
      <c r="G1262" t="s">
        <v>64</v>
      </c>
      <c r="H1262" t="s">
        <v>110</v>
      </c>
      <c r="I1262">
        <v>8</v>
      </c>
      <c r="J1262" s="19">
        <f>WEEKNUM(tblRidershipData[[#This Row],[MeasurementDate]])</f>
        <v>40</v>
      </c>
      <c r="K1262" s="19">
        <f>MONTH(tblRidershipData[[#This Row],[MeasurementDate]])</f>
        <v>10</v>
      </c>
    </row>
    <row r="1263" spans="1:11" x14ac:dyDescent="0.25">
      <c r="A1263" s="31">
        <v>43740</v>
      </c>
      <c r="B1263" t="s">
        <v>4</v>
      </c>
      <c r="C1263" s="31">
        <v>6551</v>
      </c>
      <c r="D1263" t="s">
        <v>95</v>
      </c>
      <c r="E1263" t="s">
        <v>111</v>
      </c>
      <c r="F1263">
        <v>1</v>
      </c>
      <c r="G1263" t="s">
        <v>67</v>
      </c>
      <c r="H1263" t="s">
        <v>110</v>
      </c>
      <c r="I1263">
        <v>9</v>
      </c>
      <c r="J1263" s="19">
        <f>WEEKNUM(tblRidershipData[[#This Row],[MeasurementDate]])</f>
        <v>40</v>
      </c>
      <c r="K1263" s="19">
        <f>MONTH(tblRidershipData[[#This Row],[MeasurementDate]])</f>
        <v>10</v>
      </c>
    </row>
    <row r="1264" spans="1:11" x14ac:dyDescent="0.25">
      <c r="A1264" s="31">
        <v>43740</v>
      </c>
      <c r="B1264" t="s">
        <v>4</v>
      </c>
      <c r="C1264" s="31">
        <v>6551</v>
      </c>
      <c r="D1264" t="s">
        <v>95</v>
      </c>
      <c r="E1264" t="s">
        <v>111</v>
      </c>
      <c r="F1264">
        <v>1</v>
      </c>
      <c r="G1264" t="s">
        <v>69</v>
      </c>
      <c r="H1264" t="s">
        <v>110</v>
      </c>
      <c r="I1264">
        <v>2</v>
      </c>
      <c r="J1264" s="19">
        <f>WEEKNUM(tblRidershipData[[#This Row],[MeasurementDate]])</f>
        <v>40</v>
      </c>
      <c r="K1264" s="19">
        <f>MONTH(tblRidershipData[[#This Row],[MeasurementDate]])</f>
        <v>10</v>
      </c>
    </row>
    <row r="1265" spans="1:11" x14ac:dyDescent="0.25">
      <c r="A1265" s="31">
        <v>43740</v>
      </c>
      <c r="B1265" t="s">
        <v>4</v>
      </c>
      <c r="C1265" s="31">
        <v>6551</v>
      </c>
      <c r="D1265" t="s">
        <v>95</v>
      </c>
      <c r="E1265" t="s">
        <v>111</v>
      </c>
      <c r="F1265">
        <v>1</v>
      </c>
      <c r="G1265" t="s">
        <v>70</v>
      </c>
      <c r="H1265" t="s">
        <v>110</v>
      </c>
      <c r="I1265">
        <v>16</v>
      </c>
      <c r="J1265" s="19">
        <f>WEEKNUM(tblRidershipData[[#This Row],[MeasurementDate]])</f>
        <v>40</v>
      </c>
      <c r="K1265" s="19">
        <f>MONTH(tblRidershipData[[#This Row],[MeasurementDate]])</f>
        <v>10</v>
      </c>
    </row>
    <row r="1266" spans="1:11" x14ac:dyDescent="0.25">
      <c r="A1266" s="31">
        <v>43740</v>
      </c>
      <c r="B1266" t="s">
        <v>4</v>
      </c>
      <c r="C1266" s="31">
        <v>6551</v>
      </c>
      <c r="D1266" t="s">
        <v>95</v>
      </c>
      <c r="E1266" t="s">
        <v>111</v>
      </c>
      <c r="F1266">
        <v>1</v>
      </c>
      <c r="G1266" t="s">
        <v>72</v>
      </c>
      <c r="H1266" t="s">
        <v>110</v>
      </c>
      <c r="I1266">
        <v>6</v>
      </c>
      <c r="J1266" s="19">
        <f>WEEKNUM(tblRidershipData[[#This Row],[MeasurementDate]])</f>
        <v>40</v>
      </c>
      <c r="K1266" s="19">
        <f>MONTH(tblRidershipData[[#This Row],[MeasurementDate]])</f>
        <v>10</v>
      </c>
    </row>
    <row r="1267" spans="1:11" x14ac:dyDescent="0.25">
      <c r="A1267" s="31">
        <v>43740</v>
      </c>
      <c r="B1267" t="s">
        <v>4</v>
      </c>
      <c r="C1267" s="31">
        <v>6551</v>
      </c>
      <c r="D1267" t="s">
        <v>95</v>
      </c>
      <c r="E1267" t="s">
        <v>111</v>
      </c>
      <c r="F1267">
        <v>1</v>
      </c>
      <c r="G1267" t="s">
        <v>74</v>
      </c>
      <c r="H1267" t="s">
        <v>110</v>
      </c>
      <c r="I1267">
        <v>1</v>
      </c>
      <c r="J1267" s="19">
        <f>WEEKNUM(tblRidershipData[[#This Row],[MeasurementDate]])</f>
        <v>40</v>
      </c>
      <c r="K1267" s="19">
        <f>MONTH(tblRidershipData[[#This Row],[MeasurementDate]])</f>
        <v>10</v>
      </c>
    </row>
    <row r="1268" spans="1:11" x14ac:dyDescent="0.25">
      <c r="A1268" s="31">
        <v>43740</v>
      </c>
      <c r="B1268" t="s">
        <v>4</v>
      </c>
      <c r="C1268" s="31">
        <v>6551</v>
      </c>
      <c r="D1268" t="s">
        <v>95</v>
      </c>
      <c r="E1268" t="s">
        <v>109</v>
      </c>
      <c r="F1268">
        <v>1</v>
      </c>
      <c r="G1268" t="s">
        <v>56</v>
      </c>
      <c r="H1268" t="s">
        <v>110</v>
      </c>
      <c r="I1268">
        <v>7</v>
      </c>
      <c r="J1268" s="19">
        <f>WEEKNUM(tblRidershipData[[#This Row],[MeasurementDate]])</f>
        <v>40</v>
      </c>
      <c r="K1268" s="19">
        <f>MONTH(tblRidershipData[[#This Row],[MeasurementDate]])</f>
        <v>10</v>
      </c>
    </row>
    <row r="1269" spans="1:11" x14ac:dyDescent="0.25">
      <c r="A1269" s="31">
        <v>43740</v>
      </c>
      <c r="B1269" t="s">
        <v>4</v>
      </c>
      <c r="C1269" s="31">
        <v>6551</v>
      </c>
      <c r="D1269" t="s">
        <v>95</v>
      </c>
      <c r="E1269" t="s">
        <v>109</v>
      </c>
      <c r="F1269">
        <v>1</v>
      </c>
      <c r="G1269" t="s">
        <v>69</v>
      </c>
      <c r="H1269" t="s">
        <v>110</v>
      </c>
      <c r="I1269">
        <v>14</v>
      </c>
      <c r="J1269" s="19">
        <f>WEEKNUM(tblRidershipData[[#This Row],[MeasurementDate]])</f>
        <v>40</v>
      </c>
      <c r="K1269" s="19">
        <f>MONTH(tblRidershipData[[#This Row],[MeasurementDate]])</f>
        <v>10</v>
      </c>
    </row>
    <row r="1270" spans="1:11" x14ac:dyDescent="0.25">
      <c r="A1270" s="31">
        <v>43740</v>
      </c>
      <c r="B1270" t="s">
        <v>4</v>
      </c>
      <c r="C1270" s="31">
        <v>6551</v>
      </c>
      <c r="D1270" t="s">
        <v>95</v>
      </c>
      <c r="E1270" t="s">
        <v>109</v>
      </c>
      <c r="F1270">
        <v>1</v>
      </c>
      <c r="G1270" t="s">
        <v>72</v>
      </c>
      <c r="H1270" t="s">
        <v>110</v>
      </c>
      <c r="I1270">
        <v>8</v>
      </c>
      <c r="J1270" s="19">
        <f>WEEKNUM(tblRidershipData[[#This Row],[MeasurementDate]])</f>
        <v>40</v>
      </c>
      <c r="K1270" s="19">
        <f>MONTH(tblRidershipData[[#This Row],[MeasurementDate]])</f>
        <v>10</v>
      </c>
    </row>
    <row r="1271" spans="1:11" x14ac:dyDescent="0.25">
      <c r="A1271" s="31">
        <v>43740</v>
      </c>
      <c r="B1271" t="s">
        <v>4</v>
      </c>
      <c r="C1271" s="31">
        <v>6551</v>
      </c>
      <c r="D1271" t="s">
        <v>95</v>
      </c>
      <c r="E1271" t="s">
        <v>109</v>
      </c>
      <c r="F1271">
        <v>1</v>
      </c>
      <c r="G1271" t="s">
        <v>73</v>
      </c>
      <c r="H1271" t="s">
        <v>110</v>
      </c>
      <c r="I1271">
        <v>4</v>
      </c>
      <c r="J1271" s="19">
        <f>WEEKNUM(tblRidershipData[[#This Row],[MeasurementDate]])</f>
        <v>40</v>
      </c>
      <c r="K1271" s="19">
        <f>MONTH(tblRidershipData[[#This Row],[MeasurementDate]])</f>
        <v>10</v>
      </c>
    </row>
    <row r="1272" spans="1:11" x14ac:dyDescent="0.25">
      <c r="A1272" s="31">
        <v>43740</v>
      </c>
      <c r="B1272" t="s">
        <v>4</v>
      </c>
      <c r="C1272" s="31">
        <v>6551</v>
      </c>
      <c r="D1272" t="s">
        <v>95</v>
      </c>
      <c r="E1272" t="s">
        <v>109</v>
      </c>
      <c r="F1272">
        <v>2</v>
      </c>
      <c r="G1272" t="s">
        <v>52</v>
      </c>
      <c r="H1272" t="s">
        <v>110</v>
      </c>
      <c r="I1272">
        <v>20</v>
      </c>
      <c r="J1272" s="19">
        <f>WEEKNUM(tblRidershipData[[#This Row],[MeasurementDate]])</f>
        <v>40</v>
      </c>
      <c r="K1272" s="19">
        <f>MONTH(tblRidershipData[[#This Row],[MeasurementDate]])</f>
        <v>10</v>
      </c>
    </row>
    <row r="1273" spans="1:11" x14ac:dyDescent="0.25">
      <c r="A1273" s="31">
        <v>43740</v>
      </c>
      <c r="B1273" t="s">
        <v>4</v>
      </c>
      <c r="C1273" s="31">
        <v>6551</v>
      </c>
      <c r="D1273" t="s">
        <v>95</v>
      </c>
      <c r="E1273" t="s">
        <v>109</v>
      </c>
      <c r="F1273">
        <v>2</v>
      </c>
      <c r="G1273" t="s">
        <v>59</v>
      </c>
      <c r="H1273" t="s">
        <v>110</v>
      </c>
      <c r="I1273">
        <v>15</v>
      </c>
      <c r="J1273" s="19">
        <f>WEEKNUM(tblRidershipData[[#This Row],[MeasurementDate]])</f>
        <v>40</v>
      </c>
      <c r="K1273" s="19">
        <f>MONTH(tblRidershipData[[#This Row],[MeasurementDate]])</f>
        <v>10</v>
      </c>
    </row>
    <row r="1274" spans="1:11" x14ac:dyDescent="0.25">
      <c r="A1274" s="31">
        <v>43740</v>
      </c>
      <c r="B1274" t="s">
        <v>4</v>
      </c>
      <c r="C1274" s="31">
        <v>6551</v>
      </c>
      <c r="D1274" t="s">
        <v>95</v>
      </c>
      <c r="E1274" t="s">
        <v>109</v>
      </c>
      <c r="F1274">
        <v>2</v>
      </c>
      <c r="G1274" t="s">
        <v>69</v>
      </c>
      <c r="H1274" t="s">
        <v>110</v>
      </c>
      <c r="I1274">
        <v>1</v>
      </c>
      <c r="J1274" s="19">
        <f>WEEKNUM(tblRidershipData[[#This Row],[MeasurementDate]])</f>
        <v>40</v>
      </c>
      <c r="K1274" s="19">
        <f>MONTH(tblRidershipData[[#This Row],[MeasurementDate]])</f>
        <v>10</v>
      </c>
    </row>
    <row r="1275" spans="1:11" x14ac:dyDescent="0.25">
      <c r="A1275" s="31">
        <v>43740</v>
      </c>
      <c r="B1275" t="s">
        <v>4</v>
      </c>
      <c r="C1275" s="31">
        <v>6551</v>
      </c>
      <c r="D1275" t="s">
        <v>95</v>
      </c>
      <c r="E1275" t="s">
        <v>111</v>
      </c>
      <c r="F1275">
        <v>1</v>
      </c>
      <c r="G1275" t="s">
        <v>52</v>
      </c>
      <c r="H1275" t="s">
        <v>112</v>
      </c>
      <c r="I1275">
        <v>12</v>
      </c>
      <c r="J1275" s="19">
        <f>WEEKNUM(tblRidershipData[[#This Row],[MeasurementDate]])</f>
        <v>40</v>
      </c>
      <c r="K1275" s="19">
        <f>MONTH(tblRidershipData[[#This Row],[MeasurementDate]])</f>
        <v>10</v>
      </c>
    </row>
    <row r="1276" spans="1:11" x14ac:dyDescent="0.25">
      <c r="A1276" s="31">
        <v>43740</v>
      </c>
      <c r="B1276" t="s">
        <v>4</v>
      </c>
      <c r="C1276" s="31">
        <v>6551</v>
      </c>
      <c r="D1276" t="s">
        <v>95</v>
      </c>
      <c r="E1276" t="s">
        <v>111</v>
      </c>
      <c r="F1276">
        <v>1</v>
      </c>
      <c r="G1276" t="s">
        <v>54</v>
      </c>
      <c r="H1276" t="s">
        <v>112</v>
      </c>
      <c r="I1276">
        <v>3</v>
      </c>
      <c r="J1276" s="19">
        <f>WEEKNUM(tblRidershipData[[#This Row],[MeasurementDate]])</f>
        <v>40</v>
      </c>
      <c r="K1276" s="19">
        <f>MONTH(tblRidershipData[[#This Row],[MeasurementDate]])</f>
        <v>10</v>
      </c>
    </row>
    <row r="1277" spans="1:11" x14ac:dyDescent="0.25">
      <c r="A1277" s="31">
        <v>43740</v>
      </c>
      <c r="B1277" t="s">
        <v>4</v>
      </c>
      <c r="C1277" s="31">
        <v>6551</v>
      </c>
      <c r="D1277" t="s">
        <v>95</v>
      </c>
      <c r="E1277" t="s">
        <v>111</v>
      </c>
      <c r="F1277">
        <v>1</v>
      </c>
      <c r="G1277" t="s">
        <v>59</v>
      </c>
      <c r="H1277" t="s">
        <v>112</v>
      </c>
      <c r="I1277">
        <v>7</v>
      </c>
      <c r="J1277" s="19">
        <f>WEEKNUM(tblRidershipData[[#This Row],[MeasurementDate]])</f>
        <v>40</v>
      </c>
      <c r="K1277" s="19">
        <f>MONTH(tblRidershipData[[#This Row],[MeasurementDate]])</f>
        <v>10</v>
      </c>
    </row>
    <row r="1278" spans="1:11" x14ac:dyDescent="0.25">
      <c r="A1278" s="31">
        <v>43740</v>
      </c>
      <c r="B1278" t="s">
        <v>4</v>
      </c>
      <c r="C1278" s="31">
        <v>6551</v>
      </c>
      <c r="D1278" t="s">
        <v>95</v>
      </c>
      <c r="E1278" t="s">
        <v>111</v>
      </c>
      <c r="F1278">
        <v>1</v>
      </c>
      <c r="G1278" t="s">
        <v>64</v>
      </c>
      <c r="H1278" t="s">
        <v>112</v>
      </c>
      <c r="I1278">
        <v>4</v>
      </c>
      <c r="J1278" s="19">
        <f>WEEKNUM(tblRidershipData[[#This Row],[MeasurementDate]])</f>
        <v>40</v>
      </c>
      <c r="K1278" s="19">
        <f>MONTH(tblRidershipData[[#This Row],[MeasurementDate]])</f>
        <v>10</v>
      </c>
    </row>
    <row r="1279" spans="1:11" x14ac:dyDescent="0.25">
      <c r="A1279" s="31">
        <v>43740</v>
      </c>
      <c r="B1279" t="s">
        <v>4</v>
      </c>
      <c r="C1279" s="31">
        <v>6551</v>
      </c>
      <c r="D1279" t="s">
        <v>95</v>
      </c>
      <c r="E1279" t="s">
        <v>111</v>
      </c>
      <c r="F1279">
        <v>1</v>
      </c>
      <c r="G1279" t="s">
        <v>67</v>
      </c>
      <c r="H1279" t="s">
        <v>112</v>
      </c>
      <c r="I1279">
        <v>6</v>
      </c>
      <c r="J1279" s="19">
        <f>WEEKNUM(tblRidershipData[[#This Row],[MeasurementDate]])</f>
        <v>40</v>
      </c>
      <c r="K1279" s="19">
        <f>MONTH(tblRidershipData[[#This Row],[MeasurementDate]])</f>
        <v>10</v>
      </c>
    </row>
    <row r="1280" spans="1:11" x14ac:dyDescent="0.25">
      <c r="A1280" s="31">
        <v>43740</v>
      </c>
      <c r="B1280" t="s">
        <v>4</v>
      </c>
      <c r="C1280" s="31">
        <v>6551</v>
      </c>
      <c r="D1280" t="s">
        <v>95</v>
      </c>
      <c r="E1280" t="s">
        <v>111</v>
      </c>
      <c r="F1280">
        <v>1</v>
      </c>
      <c r="G1280" t="s">
        <v>72</v>
      </c>
      <c r="H1280" t="s">
        <v>112</v>
      </c>
      <c r="I1280">
        <v>9</v>
      </c>
      <c r="J1280" s="19">
        <f>WEEKNUM(tblRidershipData[[#This Row],[MeasurementDate]])</f>
        <v>40</v>
      </c>
      <c r="K1280" s="19">
        <f>MONTH(tblRidershipData[[#This Row],[MeasurementDate]])</f>
        <v>10</v>
      </c>
    </row>
    <row r="1281" spans="1:11" x14ac:dyDescent="0.25">
      <c r="A1281" s="31">
        <v>43740</v>
      </c>
      <c r="B1281" t="s">
        <v>4</v>
      </c>
      <c r="C1281" s="31">
        <v>6551</v>
      </c>
      <c r="D1281" t="s">
        <v>95</v>
      </c>
      <c r="E1281" t="s">
        <v>111</v>
      </c>
      <c r="F1281">
        <v>1</v>
      </c>
      <c r="G1281" t="s">
        <v>73</v>
      </c>
      <c r="H1281" t="s">
        <v>112</v>
      </c>
      <c r="I1281">
        <v>19</v>
      </c>
      <c r="J1281" s="19">
        <f>WEEKNUM(tblRidershipData[[#This Row],[MeasurementDate]])</f>
        <v>40</v>
      </c>
      <c r="K1281" s="19">
        <f>MONTH(tblRidershipData[[#This Row],[MeasurementDate]])</f>
        <v>10</v>
      </c>
    </row>
    <row r="1282" spans="1:11" x14ac:dyDescent="0.25">
      <c r="A1282" s="31">
        <v>43740</v>
      </c>
      <c r="B1282" t="s">
        <v>4</v>
      </c>
      <c r="C1282" s="31">
        <v>6551</v>
      </c>
      <c r="D1282" t="s">
        <v>95</v>
      </c>
      <c r="E1282" t="s">
        <v>111</v>
      </c>
      <c r="F1282">
        <v>1</v>
      </c>
      <c r="G1282" t="s">
        <v>74</v>
      </c>
      <c r="H1282" t="s">
        <v>112</v>
      </c>
      <c r="I1282">
        <v>23</v>
      </c>
      <c r="J1282" s="19">
        <f>WEEKNUM(tblRidershipData[[#This Row],[MeasurementDate]])</f>
        <v>40</v>
      </c>
      <c r="K1282" s="19">
        <f>MONTH(tblRidershipData[[#This Row],[MeasurementDate]])</f>
        <v>10</v>
      </c>
    </row>
    <row r="1283" spans="1:11" x14ac:dyDescent="0.25">
      <c r="A1283" s="31">
        <v>43740</v>
      </c>
      <c r="B1283" t="s">
        <v>4</v>
      </c>
      <c r="C1283" s="31">
        <v>6551</v>
      </c>
      <c r="D1283" t="s">
        <v>95</v>
      </c>
      <c r="E1283" t="s">
        <v>109</v>
      </c>
      <c r="F1283">
        <v>1</v>
      </c>
      <c r="G1283" t="s">
        <v>44</v>
      </c>
      <c r="H1283" t="s">
        <v>112</v>
      </c>
      <c r="I1283">
        <v>4</v>
      </c>
      <c r="J1283" s="19">
        <f>WEEKNUM(tblRidershipData[[#This Row],[MeasurementDate]])</f>
        <v>40</v>
      </c>
      <c r="K1283" s="19">
        <f>MONTH(tblRidershipData[[#This Row],[MeasurementDate]])</f>
        <v>10</v>
      </c>
    </row>
    <row r="1284" spans="1:11" x14ac:dyDescent="0.25">
      <c r="A1284" s="31">
        <v>43740</v>
      </c>
      <c r="B1284" t="s">
        <v>4</v>
      </c>
      <c r="C1284" s="31">
        <v>6551</v>
      </c>
      <c r="D1284" t="s">
        <v>95</v>
      </c>
      <c r="E1284" t="s">
        <v>109</v>
      </c>
      <c r="F1284">
        <v>1</v>
      </c>
      <c r="G1284" t="s">
        <v>45</v>
      </c>
      <c r="H1284" t="s">
        <v>112</v>
      </c>
      <c r="I1284">
        <v>5</v>
      </c>
      <c r="J1284" s="19">
        <f>WEEKNUM(tblRidershipData[[#This Row],[MeasurementDate]])</f>
        <v>40</v>
      </c>
      <c r="K1284" s="19">
        <f>MONTH(tblRidershipData[[#This Row],[MeasurementDate]])</f>
        <v>10</v>
      </c>
    </row>
    <row r="1285" spans="1:11" x14ac:dyDescent="0.25">
      <c r="A1285" s="31">
        <v>43740</v>
      </c>
      <c r="B1285" t="s">
        <v>4</v>
      </c>
      <c r="C1285" s="31">
        <v>6551</v>
      </c>
      <c r="D1285" t="s">
        <v>95</v>
      </c>
      <c r="E1285" t="s">
        <v>109</v>
      </c>
      <c r="F1285">
        <v>1</v>
      </c>
      <c r="G1285" t="s">
        <v>46</v>
      </c>
      <c r="H1285" t="s">
        <v>112</v>
      </c>
      <c r="I1285">
        <v>3</v>
      </c>
      <c r="J1285" s="19">
        <f>WEEKNUM(tblRidershipData[[#This Row],[MeasurementDate]])</f>
        <v>40</v>
      </c>
      <c r="K1285" s="19">
        <f>MONTH(tblRidershipData[[#This Row],[MeasurementDate]])</f>
        <v>10</v>
      </c>
    </row>
    <row r="1286" spans="1:11" x14ac:dyDescent="0.25">
      <c r="A1286" s="31">
        <v>43740</v>
      </c>
      <c r="B1286" t="s">
        <v>4</v>
      </c>
      <c r="C1286" s="31">
        <v>6551</v>
      </c>
      <c r="D1286" t="s">
        <v>95</v>
      </c>
      <c r="E1286" t="s">
        <v>109</v>
      </c>
      <c r="F1286">
        <v>1</v>
      </c>
      <c r="G1286" t="s">
        <v>47</v>
      </c>
      <c r="H1286" t="s">
        <v>112</v>
      </c>
      <c r="I1286">
        <v>1</v>
      </c>
      <c r="J1286" s="19">
        <f>WEEKNUM(tblRidershipData[[#This Row],[MeasurementDate]])</f>
        <v>40</v>
      </c>
      <c r="K1286" s="19">
        <f>MONTH(tblRidershipData[[#This Row],[MeasurementDate]])</f>
        <v>10</v>
      </c>
    </row>
    <row r="1287" spans="1:11" x14ac:dyDescent="0.25">
      <c r="A1287" s="31">
        <v>43740</v>
      </c>
      <c r="B1287" t="s">
        <v>4</v>
      </c>
      <c r="C1287" s="31">
        <v>6551</v>
      </c>
      <c r="D1287" t="s">
        <v>95</v>
      </c>
      <c r="E1287" t="s">
        <v>109</v>
      </c>
      <c r="F1287">
        <v>1</v>
      </c>
      <c r="G1287" t="s">
        <v>48</v>
      </c>
      <c r="H1287" t="s">
        <v>112</v>
      </c>
      <c r="I1287">
        <v>4</v>
      </c>
      <c r="J1287" s="19">
        <f>WEEKNUM(tblRidershipData[[#This Row],[MeasurementDate]])</f>
        <v>40</v>
      </c>
      <c r="K1287" s="19">
        <f>MONTH(tblRidershipData[[#This Row],[MeasurementDate]])</f>
        <v>10</v>
      </c>
    </row>
    <row r="1288" spans="1:11" x14ac:dyDescent="0.25">
      <c r="A1288" s="31">
        <v>43740</v>
      </c>
      <c r="B1288" t="s">
        <v>4</v>
      </c>
      <c r="C1288" s="31">
        <v>6551</v>
      </c>
      <c r="D1288" t="s">
        <v>95</v>
      </c>
      <c r="E1288" t="s">
        <v>109</v>
      </c>
      <c r="F1288">
        <v>1</v>
      </c>
      <c r="G1288" t="s">
        <v>50</v>
      </c>
      <c r="H1288" t="s">
        <v>112</v>
      </c>
      <c r="I1288">
        <v>7</v>
      </c>
      <c r="J1288" s="19">
        <f>WEEKNUM(tblRidershipData[[#This Row],[MeasurementDate]])</f>
        <v>40</v>
      </c>
      <c r="K1288" s="19">
        <f>MONTH(tblRidershipData[[#This Row],[MeasurementDate]])</f>
        <v>10</v>
      </c>
    </row>
    <row r="1289" spans="1:11" x14ac:dyDescent="0.25">
      <c r="A1289" s="31">
        <v>43740</v>
      </c>
      <c r="B1289" t="s">
        <v>4</v>
      </c>
      <c r="C1289" s="31">
        <v>6551</v>
      </c>
      <c r="D1289" t="s">
        <v>95</v>
      </c>
      <c r="E1289" t="s">
        <v>109</v>
      </c>
      <c r="F1289">
        <v>1</v>
      </c>
      <c r="G1289" t="s">
        <v>52</v>
      </c>
      <c r="H1289" t="s">
        <v>112</v>
      </c>
      <c r="I1289">
        <v>2</v>
      </c>
      <c r="J1289" s="19">
        <f>WEEKNUM(tblRidershipData[[#This Row],[MeasurementDate]])</f>
        <v>40</v>
      </c>
      <c r="K1289" s="19">
        <f>MONTH(tblRidershipData[[#This Row],[MeasurementDate]])</f>
        <v>10</v>
      </c>
    </row>
    <row r="1290" spans="1:11" x14ac:dyDescent="0.25">
      <c r="A1290" s="31">
        <v>43740</v>
      </c>
      <c r="B1290" t="s">
        <v>4</v>
      </c>
      <c r="C1290" s="31">
        <v>6551</v>
      </c>
      <c r="D1290" t="s">
        <v>95</v>
      </c>
      <c r="E1290" t="s">
        <v>109</v>
      </c>
      <c r="F1290">
        <v>1</v>
      </c>
      <c r="G1290" t="s">
        <v>56</v>
      </c>
      <c r="H1290" t="s">
        <v>112</v>
      </c>
      <c r="I1290">
        <v>4</v>
      </c>
      <c r="J1290" s="19">
        <f>WEEKNUM(tblRidershipData[[#This Row],[MeasurementDate]])</f>
        <v>40</v>
      </c>
      <c r="K1290" s="19">
        <f>MONTH(tblRidershipData[[#This Row],[MeasurementDate]])</f>
        <v>10</v>
      </c>
    </row>
    <row r="1291" spans="1:11" x14ac:dyDescent="0.25">
      <c r="A1291" s="31">
        <v>43740</v>
      </c>
      <c r="B1291" t="s">
        <v>4</v>
      </c>
      <c r="C1291" s="31">
        <v>6551</v>
      </c>
      <c r="D1291" t="s">
        <v>95</v>
      </c>
      <c r="E1291" t="s">
        <v>109</v>
      </c>
      <c r="F1291">
        <v>1</v>
      </c>
      <c r="G1291" t="s">
        <v>58</v>
      </c>
      <c r="H1291" t="s">
        <v>112</v>
      </c>
      <c r="I1291">
        <v>1</v>
      </c>
      <c r="J1291" s="19">
        <f>WEEKNUM(tblRidershipData[[#This Row],[MeasurementDate]])</f>
        <v>40</v>
      </c>
      <c r="K1291" s="19">
        <f>MONTH(tblRidershipData[[#This Row],[MeasurementDate]])</f>
        <v>10</v>
      </c>
    </row>
    <row r="1292" spans="1:11" x14ac:dyDescent="0.25">
      <c r="A1292" s="31">
        <v>43740</v>
      </c>
      <c r="B1292" t="s">
        <v>4</v>
      </c>
      <c r="C1292" s="31">
        <v>6551</v>
      </c>
      <c r="D1292" t="s">
        <v>95</v>
      </c>
      <c r="E1292" t="s">
        <v>109</v>
      </c>
      <c r="F1292">
        <v>1</v>
      </c>
      <c r="G1292" t="s">
        <v>60</v>
      </c>
      <c r="H1292" t="s">
        <v>112</v>
      </c>
      <c r="I1292">
        <v>6</v>
      </c>
      <c r="J1292" s="19">
        <f>WEEKNUM(tblRidershipData[[#This Row],[MeasurementDate]])</f>
        <v>40</v>
      </c>
      <c r="K1292" s="19">
        <f>MONTH(tblRidershipData[[#This Row],[MeasurementDate]])</f>
        <v>10</v>
      </c>
    </row>
    <row r="1293" spans="1:11" x14ac:dyDescent="0.25">
      <c r="A1293" s="31">
        <v>43740</v>
      </c>
      <c r="B1293" t="s">
        <v>4</v>
      </c>
      <c r="C1293" s="31">
        <v>6551</v>
      </c>
      <c r="D1293" t="s">
        <v>95</v>
      </c>
      <c r="E1293" t="s">
        <v>109</v>
      </c>
      <c r="F1293">
        <v>1</v>
      </c>
      <c r="G1293" t="s">
        <v>62</v>
      </c>
      <c r="H1293" t="s">
        <v>112</v>
      </c>
      <c r="I1293">
        <v>1</v>
      </c>
      <c r="J1293" s="19">
        <f>WEEKNUM(tblRidershipData[[#This Row],[MeasurementDate]])</f>
        <v>40</v>
      </c>
      <c r="K1293" s="19">
        <f>MONTH(tblRidershipData[[#This Row],[MeasurementDate]])</f>
        <v>10</v>
      </c>
    </row>
    <row r="1294" spans="1:11" x14ac:dyDescent="0.25">
      <c r="A1294" s="31">
        <v>43740</v>
      </c>
      <c r="B1294" t="s">
        <v>4</v>
      </c>
      <c r="C1294" s="31">
        <v>6551</v>
      </c>
      <c r="D1294" t="s">
        <v>95</v>
      </c>
      <c r="E1294" t="s">
        <v>109</v>
      </c>
      <c r="F1294">
        <v>1</v>
      </c>
      <c r="G1294" t="s">
        <v>63</v>
      </c>
      <c r="H1294" t="s">
        <v>112</v>
      </c>
      <c r="I1294">
        <v>1</v>
      </c>
      <c r="J1294" s="19">
        <f>WEEKNUM(tblRidershipData[[#This Row],[MeasurementDate]])</f>
        <v>40</v>
      </c>
      <c r="K1294" s="19">
        <f>MONTH(tblRidershipData[[#This Row],[MeasurementDate]])</f>
        <v>10</v>
      </c>
    </row>
    <row r="1295" spans="1:11" x14ac:dyDescent="0.25">
      <c r="A1295" s="31">
        <v>43740</v>
      </c>
      <c r="B1295" t="s">
        <v>4</v>
      </c>
      <c r="C1295" s="31">
        <v>6551</v>
      </c>
      <c r="D1295" t="s">
        <v>95</v>
      </c>
      <c r="E1295" t="s">
        <v>109</v>
      </c>
      <c r="F1295">
        <v>1</v>
      </c>
      <c r="G1295" t="s">
        <v>64</v>
      </c>
      <c r="H1295" t="s">
        <v>112</v>
      </c>
      <c r="I1295">
        <v>3</v>
      </c>
      <c r="J1295" s="19">
        <f>WEEKNUM(tblRidershipData[[#This Row],[MeasurementDate]])</f>
        <v>40</v>
      </c>
      <c r="K1295" s="19">
        <f>MONTH(tblRidershipData[[#This Row],[MeasurementDate]])</f>
        <v>10</v>
      </c>
    </row>
    <row r="1296" spans="1:11" x14ac:dyDescent="0.25">
      <c r="A1296" s="31">
        <v>43740</v>
      </c>
      <c r="B1296" t="s">
        <v>4</v>
      </c>
      <c r="C1296" s="31">
        <v>6551</v>
      </c>
      <c r="D1296" t="s">
        <v>95</v>
      </c>
      <c r="E1296" t="s">
        <v>109</v>
      </c>
      <c r="F1296">
        <v>1</v>
      </c>
      <c r="G1296" t="s">
        <v>67</v>
      </c>
      <c r="H1296" t="s">
        <v>112</v>
      </c>
      <c r="I1296">
        <v>1</v>
      </c>
      <c r="J1296" s="19">
        <f>WEEKNUM(tblRidershipData[[#This Row],[MeasurementDate]])</f>
        <v>40</v>
      </c>
      <c r="K1296" s="19">
        <f>MONTH(tblRidershipData[[#This Row],[MeasurementDate]])</f>
        <v>10</v>
      </c>
    </row>
    <row r="1297" spans="1:11" x14ac:dyDescent="0.25">
      <c r="A1297" s="31">
        <v>43740</v>
      </c>
      <c r="B1297" t="s">
        <v>4</v>
      </c>
      <c r="C1297" s="31">
        <v>6551</v>
      </c>
      <c r="D1297" t="s">
        <v>95</v>
      </c>
      <c r="E1297" t="s">
        <v>109</v>
      </c>
      <c r="F1297">
        <v>1</v>
      </c>
      <c r="G1297" t="s">
        <v>70</v>
      </c>
      <c r="H1297" t="s">
        <v>112</v>
      </c>
      <c r="I1297">
        <v>1</v>
      </c>
      <c r="J1297" s="19">
        <f>WEEKNUM(tblRidershipData[[#This Row],[MeasurementDate]])</f>
        <v>40</v>
      </c>
      <c r="K1297" s="19">
        <f>MONTH(tblRidershipData[[#This Row],[MeasurementDate]])</f>
        <v>10</v>
      </c>
    </row>
    <row r="1298" spans="1:11" x14ac:dyDescent="0.25">
      <c r="A1298" s="31">
        <v>43740</v>
      </c>
      <c r="B1298" t="s">
        <v>4</v>
      </c>
      <c r="C1298" s="31">
        <v>6551</v>
      </c>
      <c r="D1298" t="s">
        <v>95</v>
      </c>
      <c r="E1298" t="s">
        <v>109</v>
      </c>
      <c r="F1298">
        <v>1</v>
      </c>
      <c r="G1298" t="s">
        <v>72</v>
      </c>
      <c r="H1298" t="s">
        <v>112</v>
      </c>
      <c r="I1298">
        <v>3</v>
      </c>
      <c r="J1298" s="19">
        <f>WEEKNUM(tblRidershipData[[#This Row],[MeasurementDate]])</f>
        <v>40</v>
      </c>
      <c r="K1298" s="19">
        <f>MONTH(tblRidershipData[[#This Row],[MeasurementDate]])</f>
        <v>10</v>
      </c>
    </row>
    <row r="1299" spans="1:11" x14ac:dyDescent="0.25">
      <c r="A1299" s="31">
        <v>43740</v>
      </c>
      <c r="B1299" t="s">
        <v>4</v>
      </c>
      <c r="C1299" s="31">
        <v>6551</v>
      </c>
      <c r="D1299" t="s">
        <v>95</v>
      </c>
      <c r="E1299" t="s">
        <v>109</v>
      </c>
      <c r="F1299">
        <v>1</v>
      </c>
      <c r="G1299" t="s">
        <v>73</v>
      </c>
      <c r="H1299" t="s">
        <v>112</v>
      </c>
      <c r="I1299">
        <v>1</v>
      </c>
      <c r="J1299" s="19">
        <f>WEEKNUM(tblRidershipData[[#This Row],[MeasurementDate]])</f>
        <v>40</v>
      </c>
      <c r="K1299" s="19">
        <f>MONTH(tblRidershipData[[#This Row],[MeasurementDate]])</f>
        <v>10</v>
      </c>
    </row>
    <row r="1300" spans="1:11" x14ac:dyDescent="0.25">
      <c r="A1300" s="31">
        <v>43740</v>
      </c>
      <c r="B1300" t="s">
        <v>4</v>
      </c>
      <c r="C1300" s="31">
        <v>6551</v>
      </c>
      <c r="D1300" t="s">
        <v>95</v>
      </c>
      <c r="E1300" t="s">
        <v>109</v>
      </c>
      <c r="F1300">
        <v>2</v>
      </c>
      <c r="G1300" t="s">
        <v>45</v>
      </c>
      <c r="H1300" t="s">
        <v>112</v>
      </c>
      <c r="I1300">
        <v>2</v>
      </c>
      <c r="J1300" s="19">
        <f>WEEKNUM(tblRidershipData[[#This Row],[MeasurementDate]])</f>
        <v>40</v>
      </c>
      <c r="K1300" s="19">
        <f>MONTH(tblRidershipData[[#This Row],[MeasurementDate]])</f>
        <v>10</v>
      </c>
    </row>
    <row r="1301" spans="1:11" x14ac:dyDescent="0.25">
      <c r="A1301" s="31">
        <v>43740</v>
      </c>
      <c r="B1301" t="s">
        <v>4</v>
      </c>
      <c r="C1301" s="31">
        <v>6551</v>
      </c>
      <c r="D1301" t="s">
        <v>95</v>
      </c>
      <c r="E1301" t="s">
        <v>109</v>
      </c>
      <c r="F1301">
        <v>2</v>
      </c>
      <c r="G1301" t="s">
        <v>54</v>
      </c>
      <c r="H1301" t="s">
        <v>112</v>
      </c>
      <c r="I1301">
        <v>4</v>
      </c>
      <c r="J1301" s="19">
        <f>WEEKNUM(tblRidershipData[[#This Row],[MeasurementDate]])</f>
        <v>40</v>
      </c>
      <c r="K1301" s="19">
        <f>MONTH(tblRidershipData[[#This Row],[MeasurementDate]])</f>
        <v>10</v>
      </c>
    </row>
    <row r="1302" spans="1:11" x14ac:dyDescent="0.25">
      <c r="A1302" s="31">
        <v>43740</v>
      </c>
      <c r="B1302" t="s">
        <v>4</v>
      </c>
      <c r="C1302" s="31">
        <v>6551</v>
      </c>
      <c r="D1302" t="s">
        <v>95</v>
      </c>
      <c r="E1302" t="s">
        <v>109</v>
      </c>
      <c r="F1302">
        <v>2</v>
      </c>
      <c r="G1302" t="s">
        <v>56</v>
      </c>
      <c r="H1302" t="s">
        <v>112</v>
      </c>
      <c r="I1302">
        <v>1</v>
      </c>
      <c r="J1302" s="19">
        <f>WEEKNUM(tblRidershipData[[#This Row],[MeasurementDate]])</f>
        <v>40</v>
      </c>
      <c r="K1302" s="19">
        <f>MONTH(tblRidershipData[[#This Row],[MeasurementDate]])</f>
        <v>10</v>
      </c>
    </row>
    <row r="1303" spans="1:11" x14ac:dyDescent="0.25">
      <c r="A1303" s="31">
        <v>43740</v>
      </c>
      <c r="B1303" t="s">
        <v>4</v>
      </c>
      <c r="C1303" s="31">
        <v>6551</v>
      </c>
      <c r="D1303" t="s">
        <v>95</v>
      </c>
      <c r="E1303" t="s">
        <v>109</v>
      </c>
      <c r="F1303">
        <v>2</v>
      </c>
      <c r="G1303" t="s">
        <v>63</v>
      </c>
      <c r="H1303" t="s">
        <v>112</v>
      </c>
      <c r="I1303">
        <v>3</v>
      </c>
      <c r="J1303" s="19">
        <f>WEEKNUM(tblRidershipData[[#This Row],[MeasurementDate]])</f>
        <v>40</v>
      </c>
      <c r="K1303" s="19">
        <f>MONTH(tblRidershipData[[#This Row],[MeasurementDate]])</f>
        <v>10</v>
      </c>
    </row>
    <row r="1304" spans="1:11" x14ac:dyDescent="0.25">
      <c r="A1304" s="31">
        <v>43740</v>
      </c>
      <c r="B1304" t="s">
        <v>4</v>
      </c>
      <c r="C1304" s="31">
        <v>6551</v>
      </c>
      <c r="D1304" t="s">
        <v>95</v>
      </c>
      <c r="E1304" t="s">
        <v>109</v>
      </c>
      <c r="F1304">
        <v>2</v>
      </c>
      <c r="G1304" t="s">
        <v>64</v>
      </c>
      <c r="H1304" t="s">
        <v>112</v>
      </c>
      <c r="I1304">
        <v>3</v>
      </c>
      <c r="J1304" s="19">
        <f>WEEKNUM(tblRidershipData[[#This Row],[MeasurementDate]])</f>
        <v>40</v>
      </c>
      <c r="K1304" s="19">
        <f>MONTH(tblRidershipData[[#This Row],[MeasurementDate]])</f>
        <v>10</v>
      </c>
    </row>
    <row r="1305" spans="1:11" x14ac:dyDescent="0.25">
      <c r="A1305" s="31">
        <v>43740</v>
      </c>
      <c r="B1305" t="s">
        <v>4</v>
      </c>
      <c r="C1305" s="31">
        <v>6551</v>
      </c>
      <c r="D1305" t="s">
        <v>95</v>
      </c>
      <c r="E1305" t="s">
        <v>109</v>
      </c>
      <c r="F1305">
        <v>2</v>
      </c>
      <c r="G1305" t="s">
        <v>67</v>
      </c>
      <c r="H1305" t="s">
        <v>112</v>
      </c>
      <c r="I1305">
        <v>5</v>
      </c>
      <c r="J1305" s="19">
        <f>WEEKNUM(tblRidershipData[[#This Row],[MeasurementDate]])</f>
        <v>40</v>
      </c>
      <c r="K1305" s="19">
        <f>MONTH(tblRidershipData[[#This Row],[MeasurementDate]])</f>
        <v>10</v>
      </c>
    </row>
    <row r="1306" spans="1:11" x14ac:dyDescent="0.25">
      <c r="A1306" s="31">
        <v>43740</v>
      </c>
      <c r="B1306" t="s">
        <v>4</v>
      </c>
      <c r="C1306" s="31">
        <v>6551</v>
      </c>
      <c r="D1306" t="s">
        <v>95</v>
      </c>
      <c r="E1306" t="s">
        <v>109</v>
      </c>
      <c r="F1306">
        <v>2</v>
      </c>
      <c r="G1306" t="s">
        <v>72</v>
      </c>
      <c r="H1306" t="s">
        <v>112</v>
      </c>
      <c r="I1306">
        <v>2</v>
      </c>
      <c r="J1306" s="19">
        <f>WEEKNUM(tblRidershipData[[#This Row],[MeasurementDate]])</f>
        <v>40</v>
      </c>
      <c r="K1306" s="19">
        <f>MONTH(tblRidershipData[[#This Row],[MeasurementDate]])</f>
        <v>10</v>
      </c>
    </row>
    <row r="1307" spans="1:11" x14ac:dyDescent="0.25">
      <c r="A1307" s="31">
        <v>43780</v>
      </c>
      <c r="B1307" t="s">
        <v>2</v>
      </c>
      <c r="C1307" s="31">
        <v>1734</v>
      </c>
      <c r="D1307" t="s">
        <v>101</v>
      </c>
      <c r="E1307" t="s">
        <v>111</v>
      </c>
      <c r="F1307">
        <v>1</v>
      </c>
      <c r="G1307" t="s">
        <v>45</v>
      </c>
      <c r="H1307" t="s">
        <v>110</v>
      </c>
      <c r="I1307">
        <v>4</v>
      </c>
      <c r="J1307" s="19">
        <f>WEEKNUM(tblRidershipData[[#This Row],[MeasurementDate]])</f>
        <v>46</v>
      </c>
      <c r="K1307" s="19">
        <f>MONTH(tblRidershipData[[#This Row],[MeasurementDate]])</f>
        <v>11</v>
      </c>
    </row>
    <row r="1308" spans="1:11" x14ac:dyDescent="0.25">
      <c r="A1308" s="31">
        <v>43780</v>
      </c>
      <c r="B1308" t="s">
        <v>2</v>
      </c>
      <c r="C1308" s="31">
        <v>1734</v>
      </c>
      <c r="D1308" t="s">
        <v>101</v>
      </c>
      <c r="E1308" t="s">
        <v>111</v>
      </c>
      <c r="F1308">
        <v>1</v>
      </c>
      <c r="G1308" t="s">
        <v>56</v>
      </c>
      <c r="H1308" t="s">
        <v>110</v>
      </c>
      <c r="I1308">
        <v>2</v>
      </c>
      <c r="J1308" s="19">
        <f>WEEKNUM(tblRidershipData[[#This Row],[MeasurementDate]])</f>
        <v>46</v>
      </c>
      <c r="K1308" s="19">
        <f>MONTH(tblRidershipData[[#This Row],[MeasurementDate]])</f>
        <v>11</v>
      </c>
    </row>
    <row r="1309" spans="1:11" x14ac:dyDescent="0.25">
      <c r="A1309" s="31">
        <v>43780</v>
      </c>
      <c r="B1309" t="s">
        <v>2</v>
      </c>
      <c r="C1309" s="31">
        <v>1734</v>
      </c>
      <c r="D1309" t="s">
        <v>101</v>
      </c>
      <c r="E1309" t="s">
        <v>111</v>
      </c>
      <c r="F1309">
        <v>1</v>
      </c>
      <c r="G1309" t="s">
        <v>67</v>
      </c>
      <c r="H1309" t="s">
        <v>110</v>
      </c>
      <c r="I1309">
        <v>18</v>
      </c>
      <c r="J1309" s="19">
        <f>WEEKNUM(tblRidershipData[[#This Row],[MeasurementDate]])</f>
        <v>46</v>
      </c>
      <c r="K1309" s="19">
        <f>MONTH(tblRidershipData[[#This Row],[MeasurementDate]])</f>
        <v>11</v>
      </c>
    </row>
    <row r="1310" spans="1:11" x14ac:dyDescent="0.25">
      <c r="A1310" s="31">
        <v>43780</v>
      </c>
      <c r="B1310" t="s">
        <v>2</v>
      </c>
      <c r="C1310" s="31">
        <v>1734</v>
      </c>
      <c r="D1310" t="s">
        <v>101</v>
      </c>
      <c r="E1310" t="s">
        <v>111</v>
      </c>
      <c r="F1310">
        <v>1</v>
      </c>
      <c r="G1310" t="s">
        <v>70</v>
      </c>
      <c r="H1310" t="s">
        <v>110</v>
      </c>
      <c r="I1310">
        <v>1</v>
      </c>
      <c r="J1310" s="19">
        <f>WEEKNUM(tblRidershipData[[#This Row],[MeasurementDate]])</f>
        <v>46</v>
      </c>
      <c r="K1310" s="19">
        <f>MONTH(tblRidershipData[[#This Row],[MeasurementDate]])</f>
        <v>11</v>
      </c>
    </row>
    <row r="1311" spans="1:11" x14ac:dyDescent="0.25">
      <c r="A1311" s="31">
        <v>43780</v>
      </c>
      <c r="B1311" t="s">
        <v>2</v>
      </c>
      <c r="C1311" s="31">
        <v>1734</v>
      </c>
      <c r="D1311" t="s">
        <v>101</v>
      </c>
      <c r="E1311" t="s">
        <v>111</v>
      </c>
      <c r="F1311">
        <v>1</v>
      </c>
      <c r="G1311" t="s">
        <v>73</v>
      </c>
      <c r="H1311" t="s">
        <v>110</v>
      </c>
      <c r="I1311">
        <v>1</v>
      </c>
      <c r="J1311" s="19">
        <f>WEEKNUM(tblRidershipData[[#This Row],[MeasurementDate]])</f>
        <v>46</v>
      </c>
      <c r="K1311" s="19">
        <f>MONTH(tblRidershipData[[#This Row],[MeasurementDate]])</f>
        <v>11</v>
      </c>
    </row>
    <row r="1312" spans="1:11" x14ac:dyDescent="0.25">
      <c r="A1312" s="31">
        <v>43780</v>
      </c>
      <c r="B1312" t="s">
        <v>2</v>
      </c>
      <c r="C1312" s="31">
        <v>1734</v>
      </c>
      <c r="D1312" t="s">
        <v>101</v>
      </c>
      <c r="E1312" t="s">
        <v>111</v>
      </c>
      <c r="F1312">
        <v>2</v>
      </c>
      <c r="G1312" t="s">
        <v>52</v>
      </c>
      <c r="H1312" t="s">
        <v>110</v>
      </c>
      <c r="I1312">
        <v>8</v>
      </c>
      <c r="J1312" s="19">
        <f>WEEKNUM(tblRidershipData[[#This Row],[MeasurementDate]])</f>
        <v>46</v>
      </c>
      <c r="K1312" s="19">
        <f>MONTH(tblRidershipData[[#This Row],[MeasurementDate]])</f>
        <v>11</v>
      </c>
    </row>
    <row r="1313" spans="1:11" x14ac:dyDescent="0.25">
      <c r="A1313" s="31">
        <v>43780</v>
      </c>
      <c r="B1313" t="s">
        <v>2</v>
      </c>
      <c r="C1313" s="31">
        <v>1734</v>
      </c>
      <c r="D1313" t="s">
        <v>101</v>
      </c>
      <c r="E1313" t="s">
        <v>111</v>
      </c>
      <c r="F1313">
        <v>2</v>
      </c>
      <c r="G1313" t="s">
        <v>69</v>
      </c>
      <c r="H1313" t="s">
        <v>110</v>
      </c>
      <c r="I1313">
        <v>8</v>
      </c>
      <c r="J1313" s="19">
        <f>WEEKNUM(tblRidershipData[[#This Row],[MeasurementDate]])</f>
        <v>46</v>
      </c>
      <c r="K1313" s="19">
        <f>MONTH(tblRidershipData[[#This Row],[MeasurementDate]])</f>
        <v>11</v>
      </c>
    </row>
    <row r="1314" spans="1:11" x14ac:dyDescent="0.25">
      <c r="A1314" s="31">
        <v>43780</v>
      </c>
      <c r="B1314" t="s">
        <v>2</v>
      </c>
      <c r="C1314" s="31">
        <v>1734</v>
      </c>
      <c r="D1314" t="s">
        <v>101</v>
      </c>
      <c r="E1314" t="s">
        <v>111</v>
      </c>
      <c r="F1314">
        <v>2</v>
      </c>
      <c r="G1314" t="s">
        <v>70</v>
      </c>
      <c r="H1314" t="s">
        <v>110</v>
      </c>
      <c r="I1314">
        <v>10</v>
      </c>
      <c r="J1314" s="19">
        <f>WEEKNUM(tblRidershipData[[#This Row],[MeasurementDate]])</f>
        <v>46</v>
      </c>
      <c r="K1314" s="19">
        <f>MONTH(tblRidershipData[[#This Row],[MeasurementDate]])</f>
        <v>11</v>
      </c>
    </row>
    <row r="1315" spans="1:11" x14ac:dyDescent="0.25">
      <c r="A1315" s="31">
        <v>43780</v>
      </c>
      <c r="B1315" t="s">
        <v>2</v>
      </c>
      <c r="C1315" s="31">
        <v>1734</v>
      </c>
      <c r="D1315" t="s">
        <v>101</v>
      </c>
      <c r="E1315" t="s">
        <v>111</v>
      </c>
      <c r="F1315">
        <v>2</v>
      </c>
      <c r="G1315" t="s">
        <v>73</v>
      </c>
      <c r="H1315" t="s">
        <v>110</v>
      </c>
      <c r="I1315">
        <v>1</v>
      </c>
      <c r="J1315" s="19">
        <f>WEEKNUM(tblRidershipData[[#This Row],[MeasurementDate]])</f>
        <v>46</v>
      </c>
      <c r="K1315" s="19">
        <f>MONTH(tblRidershipData[[#This Row],[MeasurementDate]])</f>
        <v>11</v>
      </c>
    </row>
    <row r="1316" spans="1:11" x14ac:dyDescent="0.25">
      <c r="A1316" s="31">
        <v>43780</v>
      </c>
      <c r="B1316" t="s">
        <v>2</v>
      </c>
      <c r="C1316" s="31">
        <v>1734</v>
      </c>
      <c r="D1316" t="s">
        <v>101</v>
      </c>
      <c r="E1316" t="s">
        <v>109</v>
      </c>
      <c r="F1316">
        <v>1</v>
      </c>
      <c r="G1316" t="s">
        <v>65</v>
      </c>
      <c r="H1316" t="s">
        <v>110</v>
      </c>
      <c r="I1316">
        <v>7</v>
      </c>
      <c r="J1316" s="19">
        <f>WEEKNUM(tblRidershipData[[#This Row],[MeasurementDate]])</f>
        <v>46</v>
      </c>
      <c r="K1316" s="19">
        <f>MONTH(tblRidershipData[[#This Row],[MeasurementDate]])</f>
        <v>11</v>
      </c>
    </row>
    <row r="1317" spans="1:11" x14ac:dyDescent="0.25">
      <c r="A1317" s="31">
        <v>43780</v>
      </c>
      <c r="B1317" t="s">
        <v>2</v>
      </c>
      <c r="C1317" s="31">
        <v>1734</v>
      </c>
      <c r="D1317" t="s">
        <v>101</v>
      </c>
      <c r="E1317" t="s">
        <v>109</v>
      </c>
      <c r="F1317">
        <v>1</v>
      </c>
      <c r="G1317" t="s">
        <v>72</v>
      </c>
      <c r="H1317" t="s">
        <v>110</v>
      </c>
      <c r="I1317">
        <v>43</v>
      </c>
      <c r="J1317" s="19">
        <f>WEEKNUM(tblRidershipData[[#This Row],[MeasurementDate]])</f>
        <v>46</v>
      </c>
      <c r="K1317" s="19">
        <f>MONTH(tblRidershipData[[#This Row],[MeasurementDate]])</f>
        <v>11</v>
      </c>
    </row>
    <row r="1318" spans="1:11" x14ac:dyDescent="0.25">
      <c r="A1318" s="31">
        <v>43780</v>
      </c>
      <c r="B1318" t="s">
        <v>2</v>
      </c>
      <c r="C1318" s="31">
        <v>1734</v>
      </c>
      <c r="D1318" t="s">
        <v>101</v>
      </c>
      <c r="E1318" t="s">
        <v>109</v>
      </c>
      <c r="F1318">
        <v>2</v>
      </c>
      <c r="G1318" t="s">
        <v>47</v>
      </c>
      <c r="H1318" t="s">
        <v>110</v>
      </c>
      <c r="I1318">
        <v>6</v>
      </c>
      <c r="J1318" s="19">
        <f>WEEKNUM(tblRidershipData[[#This Row],[MeasurementDate]])</f>
        <v>46</v>
      </c>
      <c r="K1318" s="19">
        <f>MONTH(tblRidershipData[[#This Row],[MeasurementDate]])</f>
        <v>11</v>
      </c>
    </row>
    <row r="1319" spans="1:11" x14ac:dyDescent="0.25">
      <c r="A1319" s="31">
        <v>43780</v>
      </c>
      <c r="B1319" t="s">
        <v>2</v>
      </c>
      <c r="C1319" s="31">
        <v>1734</v>
      </c>
      <c r="D1319" t="s">
        <v>101</v>
      </c>
      <c r="E1319" t="s">
        <v>109</v>
      </c>
      <c r="F1319">
        <v>2</v>
      </c>
      <c r="G1319" t="s">
        <v>54</v>
      </c>
      <c r="H1319" t="s">
        <v>110</v>
      </c>
      <c r="I1319">
        <v>19</v>
      </c>
      <c r="J1319" s="19">
        <f>WEEKNUM(tblRidershipData[[#This Row],[MeasurementDate]])</f>
        <v>46</v>
      </c>
      <c r="K1319" s="19">
        <f>MONTH(tblRidershipData[[#This Row],[MeasurementDate]])</f>
        <v>11</v>
      </c>
    </row>
    <row r="1320" spans="1:11" x14ac:dyDescent="0.25">
      <c r="A1320" s="31">
        <v>43780</v>
      </c>
      <c r="B1320" t="s">
        <v>2</v>
      </c>
      <c r="C1320" s="31">
        <v>1734</v>
      </c>
      <c r="D1320" t="s">
        <v>101</v>
      </c>
      <c r="E1320" t="s">
        <v>109</v>
      </c>
      <c r="F1320">
        <v>2</v>
      </c>
      <c r="G1320" t="s">
        <v>62</v>
      </c>
      <c r="H1320" t="s">
        <v>110</v>
      </c>
      <c r="I1320">
        <v>6</v>
      </c>
      <c r="J1320" s="19">
        <f>WEEKNUM(tblRidershipData[[#This Row],[MeasurementDate]])</f>
        <v>46</v>
      </c>
      <c r="K1320" s="19">
        <f>MONTH(tblRidershipData[[#This Row],[MeasurementDate]])</f>
        <v>11</v>
      </c>
    </row>
    <row r="1321" spans="1:11" x14ac:dyDescent="0.25">
      <c r="A1321" s="31">
        <v>43780</v>
      </c>
      <c r="B1321" t="s">
        <v>2</v>
      </c>
      <c r="C1321" s="31">
        <v>1734</v>
      </c>
      <c r="D1321" t="s">
        <v>101</v>
      </c>
      <c r="E1321" t="s">
        <v>109</v>
      </c>
      <c r="F1321">
        <v>2</v>
      </c>
      <c r="G1321" t="s">
        <v>63</v>
      </c>
      <c r="H1321" t="s">
        <v>110</v>
      </c>
      <c r="I1321">
        <v>7</v>
      </c>
      <c r="J1321" s="19">
        <f>WEEKNUM(tblRidershipData[[#This Row],[MeasurementDate]])</f>
        <v>46</v>
      </c>
      <c r="K1321" s="19">
        <f>MONTH(tblRidershipData[[#This Row],[MeasurementDate]])</f>
        <v>11</v>
      </c>
    </row>
    <row r="1322" spans="1:11" x14ac:dyDescent="0.25">
      <c r="A1322" s="31">
        <v>43780</v>
      </c>
      <c r="B1322" t="s">
        <v>2</v>
      </c>
      <c r="C1322" s="31">
        <v>1734</v>
      </c>
      <c r="D1322" t="s">
        <v>101</v>
      </c>
      <c r="E1322" t="s">
        <v>109</v>
      </c>
      <c r="F1322">
        <v>2</v>
      </c>
      <c r="G1322" t="s">
        <v>65</v>
      </c>
      <c r="H1322" t="s">
        <v>110</v>
      </c>
      <c r="I1322">
        <v>13</v>
      </c>
      <c r="J1322" s="19">
        <f>WEEKNUM(tblRidershipData[[#This Row],[MeasurementDate]])</f>
        <v>46</v>
      </c>
      <c r="K1322" s="19">
        <f>MONTH(tblRidershipData[[#This Row],[MeasurementDate]])</f>
        <v>11</v>
      </c>
    </row>
    <row r="1323" spans="1:11" x14ac:dyDescent="0.25">
      <c r="A1323" s="31">
        <v>43780</v>
      </c>
      <c r="B1323" t="s">
        <v>2</v>
      </c>
      <c r="C1323" s="31">
        <v>1734</v>
      </c>
      <c r="D1323" t="s">
        <v>101</v>
      </c>
      <c r="E1323" t="s">
        <v>109</v>
      </c>
      <c r="F1323">
        <v>2</v>
      </c>
      <c r="G1323" t="s">
        <v>67</v>
      </c>
      <c r="H1323" t="s">
        <v>110</v>
      </c>
      <c r="I1323">
        <v>3</v>
      </c>
      <c r="J1323" s="19">
        <f>WEEKNUM(tblRidershipData[[#This Row],[MeasurementDate]])</f>
        <v>46</v>
      </c>
      <c r="K1323" s="19">
        <f>MONTH(tblRidershipData[[#This Row],[MeasurementDate]])</f>
        <v>11</v>
      </c>
    </row>
    <row r="1324" spans="1:11" x14ac:dyDescent="0.25">
      <c r="A1324" s="31">
        <v>43780</v>
      </c>
      <c r="B1324" t="s">
        <v>2</v>
      </c>
      <c r="C1324" s="31">
        <v>1736</v>
      </c>
      <c r="D1324" t="s">
        <v>93</v>
      </c>
      <c r="E1324" t="s">
        <v>111</v>
      </c>
      <c r="F1324">
        <v>1</v>
      </c>
      <c r="G1324" t="s">
        <v>47</v>
      </c>
      <c r="H1324" t="s">
        <v>110</v>
      </c>
      <c r="I1324">
        <v>4</v>
      </c>
      <c r="J1324" s="19">
        <f>WEEKNUM(tblRidershipData[[#This Row],[MeasurementDate]])</f>
        <v>46</v>
      </c>
      <c r="K1324" s="19">
        <f>MONTH(tblRidershipData[[#This Row],[MeasurementDate]])</f>
        <v>11</v>
      </c>
    </row>
    <row r="1325" spans="1:11" x14ac:dyDescent="0.25">
      <c r="A1325" s="31">
        <v>43780</v>
      </c>
      <c r="B1325" t="s">
        <v>2</v>
      </c>
      <c r="C1325" s="31">
        <v>1736</v>
      </c>
      <c r="D1325" t="s">
        <v>93</v>
      </c>
      <c r="E1325" t="s">
        <v>111</v>
      </c>
      <c r="F1325">
        <v>1</v>
      </c>
      <c r="G1325" t="s">
        <v>54</v>
      </c>
      <c r="H1325" t="s">
        <v>110</v>
      </c>
      <c r="I1325">
        <v>6</v>
      </c>
      <c r="J1325" s="19">
        <f>WEEKNUM(tblRidershipData[[#This Row],[MeasurementDate]])</f>
        <v>46</v>
      </c>
      <c r="K1325" s="19">
        <f>MONTH(tblRidershipData[[#This Row],[MeasurementDate]])</f>
        <v>11</v>
      </c>
    </row>
    <row r="1326" spans="1:11" x14ac:dyDescent="0.25">
      <c r="A1326" s="31">
        <v>43780</v>
      </c>
      <c r="B1326" t="s">
        <v>2</v>
      </c>
      <c r="C1326" s="31">
        <v>1736</v>
      </c>
      <c r="D1326" t="s">
        <v>93</v>
      </c>
      <c r="E1326" t="s">
        <v>111</v>
      </c>
      <c r="F1326">
        <v>1</v>
      </c>
      <c r="G1326" t="s">
        <v>63</v>
      </c>
      <c r="H1326" t="s">
        <v>110</v>
      </c>
      <c r="I1326">
        <v>12</v>
      </c>
      <c r="J1326" s="19">
        <f>WEEKNUM(tblRidershipData[[#This Row],[MeasurementDate]])</f>
        <v>46</v>
      </c>
      <c r="K1326" s="19">
        <f>MONTH(tblRidershipData[[#This Row],[MeasurementDate]])</f>
        <v>11</v>
      </c>
    </row>
    <row r="1327" spans="1:11" x14ac:dyDescent="0.25">
      <c r="A1327" s="31">
        <v>43780</v>
      </c>
      <c r="B1327" t="s">
        <v>2</v>
      </c>
      <c r="C1327" s="31">
        <v>1736</v>
      </c>
      <c r="D1327" t="s">
        <v>93</v>
      </c>
      <c r="E1327" t="s">
        <v>111</v>
      </c>
      <c r="F1327">
        <v>1</v>
      </c>
      <c r="G1327" t="s">
        <v>73</v>
      </c>
      <c r="H1327" t="s">
        <v>110</v>
      </c>
      <c r="I1327">
        <v>5</v>
      </c>
      <c r="J1327" s="19">
        <f>WEEKNUM(tblRidershipData[[#This Row],[MeasurementDate]])</f>
        <v>46</v>
      </c>
      <c r="K1327" s="19">
        <f>MONTH(tblRidershipData[[#This Row],[MeasurementDate]])</f>
        <v>11</v>
      </c>
    </row>
    <row r="1328" spans="1:11" x14ac:dyDescent="0.25">
      <c r="A1328" s="31">
        <v>43780</v>
      </c>
      <c r="B1328" t="s">
        <v>2</v>
      </c>
      <c r="C1328" s="31">
        <v>1736</v>
      </c>
      <c r="D1328" t="s">
        <v>93</v>
      </c>
      <c r="E1328" t="s">
        <v>111</v>
      </c>
      <c r="F1328">
        <v>2</v>
      </c>
      <c r="G1328" t="s">
        <v>50</v>
      </c>
      <c r="H1328" t="s">
        <v>110</v>
      </c>
      <c r="I1328">
        <v>2</v>
      </c>
      <c r="J1328" s="19">
        <f>WEEKNUM(tblRidershipData[[#This Row],[MeasurementDate]])</f>
        <v>46</v>
      </c>
      <c r="K1328" s="19">
        <f>MONTH(tblRidershipData[[#This Row],[MeasurementDate]])</f>
        <v>11</v>
      </c>
    </row>
    <row r="1329" spans="1:11" x14ac:dyDescent="0.25">
      <c r="A1329" s="31">
        <v>43780</v>
      </c>
      <c r="B1329" t="s">
        <v>2</v>
      </c>
      <c r="C1329" s="31">
        <v>1736</v>
      </c>
      <c r="D1329" t="s">
        <v>93</v>
      </c>
      <c r="E1329" t="s">
        <v>109</v>
      </c>
      <c r="F1329">
        <v>1</v>
      </c>
      <c r="G1329" t="s">
        <v>54</v>
      </c>
      <c r="H1329" t="s">
        <v>110</v>
      </c>
      <c r="I1329">
        <v>10</v>
      </c>
      <c r="J1329" s="19">
        <f>WEEKNUM(tblRidershipData[[#This Row],[MeasurementDate]])</f>
        <v>46</v>
      </c>
      <c r="K1329" s="19">
        <f>MONTH(tblRidershipData[[#This Row],[MeasurementDate]])</f>
        <v>11</v>
      </c>
    </row>
    <row r="1330" spans="1:11" x14ac:dyDescent="0.25">
      <c r="A1330" s="31">
        <v>43780</v>
      </c>
      <c r="B1330" t="s">
        <v>2</v>
      </c>
      <c r="C1330" s="31">
        <v>1736</v>
      </c>
      <c r="D1330" t="s">
        <v>93</v>
      </c>
      <c r="E1330" t="s">
        <v>109</v>
      </c>
      <c r="F1330">
        <v>1</v>
      </c>
      <c r="G1330" t="s">
        <v>67</v>
      </c>
      <c r="H1330" t="s">
        <v>110</v>
      </c>
      <c r="I1330">
        <v>48</v>
      </c>
      <c r="J1330" s="19">
        <f>WEEKNUM(tblRidershipData[[#This Row],[MeasurementDate]])</f>
        <v>46</v>
      </c>
      <c r="K1330" s="19">
        <f>MONTH(tblRidershipData[[#This Row],[MeasurementDate]])</f>
        <v>11</v>
      </c>
    </row>
    <row r="1331" spans="1:11" x14ac:dyDescent="0.25">
      <c r="A1331" s="31">
        <v>43780</v>
      </c>
      <c r="B1331" t="s">
        <v>2</v>
      </c>
      <c r="C1331" s="31">
        <v>1736</v>
      </c>
      <c r="D1331" t="s">
        <v>93</v>
      </c>
      <c r="E1331" t="s">
        <v>109</v>
      </c>
      <c r="F1331">
        <v>1</v>
      </c>
      <c r="G1331" t="s">
        <v>70</v>
      </c>
      <c r="H1331" t="s">
        <v>110</v>
      </c>
      <c r="I1331">
        <v>21</v>
      </c>
      <c r="J1331" s="19">
        <f>WEEKNUM(tblRidershipData[[#This Row],[MeasurementDate]])</f>
        <v>46</v>
      </c>
      <c r="K1331" s="19">
        <f>MONTH(tblRidershipData[[#This Row],[MeasurementDate]])</f>
        <v>11</v>
      </c>
    </row>
    <row r="1332" spans="1:11" x14ac:dyDescent="0.25">
      <c r="A1332" s="31">
        <v>43780</v>
      </c>
      <c r="B1332" t="s">
        <v>2</v>
      </c>
      <c r="C1332" s="31">
        <v>1736</v>
      </c>
      <c r="D1332" t="s">
        <v>93</v>
      </c>
      <c r="E1332" t="s">
        <v>109</v>
      </c>
      <c r="F1332">
        <v>1</v>
      </c>
      <c r="G1332" t="s">
        <v>73</v>
      </c>
      <c r="H1332" t="s">
        <v>110</v>
      </c>
      <c r="I1332">
        <v>40</v>
      </c>
      <c r="J1332" s="19">
        <f>WEEKNUM(tblRidershipData[[#This Row],[MeasurementDate]])</f>
        <v>46</v>
      </c>
      <c r="K1332" s="19">
        <f>MONTH(tblRidershipData[[#This Row],[MeasurementDate]])</f>
        <v>11</v>
      </c>
    </row>
    <row r="1333" spans="1:11" x14ac:dyDescent="0.25">
      <c r="A1333" s="31">
        <v>43780</v>
      </c>
      <c r="B1333" t="s">
        <v>2</v>
      </c>
      <c r="C1333" s="31">
        <v>1736</v>
      </c>
      <c r="D1333" t="s">
        <v>93</v>
      </c>
      <c r="E1333" t="s">
        <v>111</v>
      </c>
      <c r="F1333">
        <v>2</v>
      </c>
      <c r="G1333" t="s">
        <v>52</v>
      </c>
      <c r="H1333" t="s">
        <v>110</v>
      </c>
      <c r="I1333">
        <v>18</v>
      </c>
      <c r="J1333" s="19">
        <f>WEEKNUM(tblRidershipData[[#This Row],[MeasurementDate]])</f>
        <v>46</v>
      </c>
      <c r="K1333" s="19">
        <f>MONTH(tblRidershipData[[#This Row],[MeasurementDate]])</f>
        <v>11</v>
      </c>
    </row>
    <row r="1334" spans="1:11" x14ac:dyDescent="0.25">
      <c r="A1334" s="31">
        <v>43780</v>
      </c>
      <c r="B1334" t="s">
        <v>2</v>
      </c>
      <c r="C1334" s="31">
        <v>1736</v>
      </c>
      <c r="D1334" t="s">
        <v>93</v>
      </c>
      <c r="E1334" t="s">
        <v>111</v>
      </c>
      <c r="F1334">
        <v>2</v>
      </c>
      <c r="G1334" t="s">
        <v>67</v>
      </c>
      <c r="H1334" t="s">
        <v>110</v>
      </c>
      <c r="I1334">
        <v>4</v>
      </c>
      <c r="J1334" s="19">
        <f>WEEKNUM(tblRidershipData[[#This Row],[MeasurementDate]])</f>
        <v>46</v>
      </c>
      <c r="K1334" s="19">
        <f>MONTH(tblRidershipData[[#This Row],[MeasurementDate]])</f>
        <v>11</v>
      </c>
    </row>
    <row r="1335" spans="1:11" x14ac:dyDescent="0.25">
      <c r="A1335" s="31">
        <v>43780</v>
      </c>
      <c r="B1335" t="s">
        <v>2</v>
      </c>
      <c r="C1335" s="31">
        <v>1736</v>
      </c>
      <c r="D1335" t="s">
        <v>93</v>
      </c>
      <c r="E1335" t="s">
        <v>111</v>
      </c>
      <c r="F1335">
        <v>2</v>
      </c>
      <c r="G1335" t="s">
        <v>72</v>
      </c>
      <c r="H1335" t="s">
        <v>110</v>
      </c>
      <c r="I1335">
        <v>5</v>
      </c>
      <c r="J1335" s="19">
        <f>WEEKNUM(tblRidershipData[[#This Row],[MeasurementDate]])</f>
        <v>46</v>
      </c>
      <c r="K1335" s="19">
        <f>MONTH(tblRidershipData[[#This Row],[MeasurementDate]])</f>
        <v>11</v>
      </c>
    </row>
    <row r="1336" spans="1:11" x14ac:dyDescent="0.25">
      <c r="A1336" s="31">
        <v>43780</v>
      </c>
      <c r="B1336" t="s">
        <v>2</v>
      </c>
      <c r="C1336" s="31">
        <v>1751</v>
      </c>
      <c r="D1336" t="s">
        <v>102</v>
      </c>
      <c r="E1336" t="s">
        <v>111</v>
      </c>
      <c r="F1336">
        <v>1</v>
      </c>
      <c r="G1336" t="s">
        <v>59</v>
      </c>
      <c r="H1336" t="s">
        <v>112</v>
      </c>
      <c r="I1336">
        <v>3</v>
      </c>
      <c r="J1336" s="19">
        <f>WEEKNUM(tblRidershipData[[#This Row],[MeasurementDate]])</f>
        <v>46</v>
      </c>
      <c r="K1336" s="19">
        <f>MONTH(tblRidershipData[[#This Row],[MeasurementDate]])</f>
        <v>11</v>
      </c>
    </row>
    <row r="1337" spans="1:11" x14ac:dyDescent="0.25">
      <c r="A1337" s="31">
        <v>43780</v>
      </c>
      <c r="B1337" t="s">
        <v>2</v>
      </c>
      <c r="C1337" s="31">
        <v>1751</v>
      </c>
      <c r="D1337" t="s">
        <v>102</v>
      </c>
      <c r="E1337" t="s">
        <v>111</v>
      </c>
      <c r="F1337">
        <v>1</v>
      </c>
      <c r="G1337" t="s">
        <v>67</v>
      </c>
      <c r="H1337" t="s">
        <v>112</v>
      </c>
      <c r="I1337">
        <v>6</v>
      </c>
      <c r="J1337" s="19">
        <f>WEEKNUM(tblRidershipData[[#This Row],[MeasurementDate]])</f>
        <v>46</v>
      </c>
      <c r="K1337" s="19">
        <f>MONTH(tblRidershipData[[#This Row],[MeasurementDate]])</f>
        <v>11</v>
      </c>
    </row>
    <row r="1338" spans="1:11" x14ac:dyDescent="0.25">
      <c r="A1338" s="31">
        <v>43780</v>
      </c>
      <c r="B1338" t="s">
        <v>2</v>
      </c>
      <c r="C1338" s="31">
        <v>1751</v>
      </c>
      <c r="D1338" t="s">
        <v>102</v>
      </c>
      <c r="E1338" t="s">
        <v>111</v>
      </c>
      <c r="F1338">
        <v>1</v>
      </c>
      <c r="G1338" t="s">
        <v>69</v>
      </c>
      <c r="H1338" t="s">
        <v>112</v>
      </c>
      <c r="I1338">
        <v>8</v>
      </c>
      <c r="J1338" s="19">
        <f>WEEKNUM(tblRidershipData[[#This Row],[MeasurementDate]])</f>
        <v>46</v>
      </c>
      <c r="K1338" s="19">
        <f>MONTH(tblRidershipData[[#This Row],[MeasurementDate]])</f>
        <v>11</v>
      </c>
    </row>
    <row r="1339" spans="1:11" x14ac:dyDescent="0.25">
      <c r="A1339" s="31">
        <v>43780</v>
      </c>
      <c r="B1339" t="s">
        <v>2</v>
      </c>
      <c r="C1339" s="31">
        <v>1751</v>
      </c>
      <c r="D1339" t="s">
        <v>102</v>
      </c>
      <c r="E1339" t="s">
        <v>111</v>
      </c>
      <c r="F1339">
        <v>1</v>
      </c>
      <c r="G1339" t="s">
        <v>70</v>
      </c>
      <c r="H1339" t="s">
        <v>112</v>
      </c>
      <c r="I1339">
        <v>21</v>
      </c>
      <c r="J1339" s="19">
        <f>WEEKNUM(tblRidershipData[[#This Row],[MeasurementDate]])</f>
        <v>46</v>
      </c>
      <c r="K1339" s="19">
        <f>MONTH(tblRidershipData[[#This Row],[MeasurementDate]])</f>
        <v>11</v>
      </c>
    </row>
    <row r="1340" spans="1:11" x14ac:dyDescent="0.25">
      <c r="A1340" s="31">
        <v>43780</v>
      </c>
      <c r="B1340" t="s">
        <v>2</v>
      </c>
      <c r="C1340" s="31">
        <v>1751</v>
      </c>
      <c r="D1340" t="s">
        <v>102</v>
      </c>
      <c r="E1340" t="s">
        <v>109</v>
      </c>
      <c r="F1340">
        <v>1</v>
      </c>
      <c r="G1340" t="s">
        <v>44</v>
      </c>
      <c r="H1340" t="s">
        <v>112</v>
      </c>
      <c r="I1340">
        <v>7</v>
      </c>
      <c r="J1340" s="19">
        <f>WEEKNUM(tblRidershipData[[#This Row],[MeasurementDate]])</f>
        <v>46</v>
      </c>
      <c r="K1340" s="19">
        <f>MONTH(tblRidershipData[[#This Row],[MeasurementDate]])</f>
        <v>11</v>
      </c>
    </row>
    <row r="1341" spans="1:11" x14ac:dyDescent="0.25">
      <c r="A1341" s="31">
        <v>43780</v>
      </c>
      <c r="B1341" t="s">
        <v>2</v>
      </c>
      <c r="C1341" s="31">
        <v>1751</v>
      </c>
      <c r="D1341" t="s">
        <v>102</v>
      </c>
      <c r="E1341" t="s">
        <v>109</v>
      </c>
      <c r="F1341">
        <v>1</v>
      </c>
      <c r="G1341" t="s">
        <v>46</v>
      </c>
      <c r="H1341" t="s">
        <v>112</v>
      </c>
      <c r="I1341">
        <v>13</v>
      </c>
      <c r="J1341" s="19">
        <f>WEEKNUM(tblRidershipData[[#This Row],[MeasurementDate]])</f>
        <v>46</v>
      </c>
      <c r="K1341" s="19">
        <f>MONTH(tblRidershipData[[#This Row],[MeasurementDate]])</f>
        <v>11</v>
      </c>
    </row>
    <row r="1342" spans="1:11" x14ac:dyDescent="0.25">
      <c r="A1342" s="31">
        <v>43780</v>
      </c>
      <c r="B1342" t="s">
        <v>2</v>
      </c>
      <c r="C1342" s="31">
        <v>1751</v>
      </c>
      <c r="D1342" t="s">
        <v>102</v>
      </c>
      <c r="E1342" t="s">
        <v>109</v>
      </c>
      <c r="F1342">
        <v>1</v>
      </c>
      <c r="G1342" t="s">
        <v>47</v>
      </c>
      <c r="H1342" t="s">
        <v>112</v>
      </c>
      <c r="I1342">
        <v>3</v>
      </c>
      <c r="J1342" s="19">
        <f>WEEKNUM(tblRidershipData[[#This Row],[MeasurementDate]])</f>
        <v>46</v>
      </c>
      <c r="K1342" s="19">
        <f>MONTH(tblRidershipData[[#This Row],[MeasurementDate]])</f>
        <v>11</v>
      </c>
    </row>
    <row r="1343" spans="1:11" x14ac:dyDescent="0.25">
      <c r="A1343" s="31">
        <v>43780</v>
      </c>
      <c r="B1343" t="s">
        <v>2</v>
      </c>
      <c r="C1343" s="31">
        <v>1751</v>
      </c>
      <c r="D1343" t="s">
        <v>102</v>
      </c>
      <c r="E1343" t="s">
        <v>109</v>
      </c>
      <c r="F1343">
        <v>1</v>
      </c>
      <c r="G1343" t="s">
        <v>48</v>
      </c>
      <c r="H1343" t="s">
        <v>112</v>
      </c>
      <c r="I1343">
        <v>1</v>
      </c>
      <c r="J1343" s="19">
        <f>WEEKNUM(tblRidershipData[[#This Row],[MeasurementDate]])</f>
        <v>46</v>
      </c>
      <c r="K1343" s="19">
        <f>MONTH(tblRidershipData[[#This Row],[MeasurementDate]])</f>
        <v>11</v>
      </c>
    </row>
    <row r="1344" spans="1:11" x14ac:dyDescent="0.25">
      <c r="A1344" s="31">
        <v>43780</v>
      </c>
      <c r="B1344" t="s">
        <v>2</v>
      </c>
      <c r="C1344" s="31">
        <v>1751</v>
      </c>
      <c r="D1344" t="s">
        <v>102</v>
      </c>
      <c r="E1344" t="s">
        <v>109</v>
      </c>
      <c r="F1344">
        <v>1</v>
      </c>
      <c r="G1344" t="s">
        <v>49</v>
      </c>
      <c r="H1344" t="s">
        <v>112</v>
      </c>
      <c r="I1344">
        <v>2</v>
      </c>
      <c r="J1344" s="19">
        <f>WEEKNUM(tblRidershipData[[#This Row],[MeasurementDate]])</f>
        <v>46</v>
      </c>
      <c r="K1344" s="19">
        <f>MONTH(tblRidershipData[[#This Row],[MeasurementDate]])</f>
        <v>11</v>
      </c>
    </row>
    <row r="1345" spans="1:11" x14ac:dyDescent="0.25">
      <c r="A1345" s="31">
        <v>43780</v>
      </c>
      <c r="B1345" t="s">
        <v>2</v>
      </c>
      <c r="C1345" s="31">
        <v>1751</v>
      </c>
      <c r="D1345" t="s">
        <v>102</v>
      </c>
      <c r="E1345" t="s">
        <v>109</v>
      </c>
      <c r="F1345">
        <v>1</v>
      </c>
      <c r="G1345" t="s">
        <v>50</v>
      </c>
      <c r="H1345" t="s">
        <v>112</v>
      </c>
      <c r="I1345">
        <v>2</v>
      </c>
      <c r="J1345" s="19">
        <f>WEEKNUM(tblRidershipData[[#This Row],[MeasurementDate]])</f>
        <v>46</v>
      </c>
      <c r="K1345" s="19">
        <f>MONTH(tblRidershipData[[#This Row],[MeasurementDate]])</f>
        <v>11</v>
      </c>
    </row>
    <row r="1346" spans="1:11" x14ac:dyDescent="0.25">
      <c r="A1346" s="31">
        <v>43780</v>
      </c>
      <c r="B1346" t="s">
        <v>2</v>
      </c>
      <c r="C1346" s="31">
        <v>1751</v>
      </c>
      <c r="D1346" t="s">
        <v>102</v>
      </c>
      <c r="E1346" t="s">
        <v>109</v>
      </c>
      <c r="F1346">
        <v>1</v>
      </c>
      <c r="G1346" t="s">
        <v>54</v>
      </c>
      <c r="H1346" t="s">
        <v>112</v>
      </c>
      <c r="I1346">
        <v>2</v>
      </c>
      <c r="J1346" s="19">
        <f>WEEKNUM(tblRidershipData[[#This Row],[MeasurementDate]])</f>
        <v>46</v>
      </c>
      <c r="K1346" s="19">
        <f>MONTH(tblRidershipData[[#This Row],[MeasurementDate]])</f>
        <v>11</v>
      </c>
    </row>
    <row r="1347" spans="1:11" x14ac:dyDescent="0.25">
      <c r="A1347" s="31">
        <v>43780</v>
      </c>
      <c r="B1347" t="s">
        <v>2</v>
      </c>
      <c r="C1347" s="31">
        <v>1751</v>
      </c>
      <c r="D1347" t="s">
        <v>102</v>
      </c>
      <c r="E1347" t="s">
        <v>109</v>
      </c>
      <c r="F1347">
        <v>1</v>
      </c>
      <c r="G1347" t="s">
        <v>56</v>
      </c>
      <c r="H1347" t="s">
        <v>112</v>
      </c>
      <c r="I1347">
        <v>3</v>
      </c>
      <c r="J1347" s="19">
        <f>WEEKNUM(tblRidershipData[[#This Row],[MeasurementDate]])</f>
        <v>46</v>
      </c>
      <c r="K1347" s="19">
        <f>MONTH(tblRidershipData[[#This Row],[MeasurementDate]])</f>
        <v>11</v>
      </c>
    </row>
    <row r="1348" spans="1:11" x14ac:dyDescent="0.25">
      <c r="A1348" s="31">
        <v>43780</v>
      </c>
      <c r="B1348" t="s">
        <v>2</v>
      </c>
      <c r="C1348" s="31">
        <v>1751</v>
      </c>
      <c r="D1348" t="s">
        <v>102</v>
      </c>
      <c r="E1348" t="s">
        <v>109</v>
      </c>
      <c r="F1348">
        <v>1</v>
      </c>
      <c r="G1348" t="s">
        <v>59</v>
      </c>
      <c r="H1348" t="s">
        <v>112</v>
      </c>
      <c r="I1348">
        <v>6</v>
      </c>
      <c r="J1348" s="19">
        <f>WEEKNUM(tblRidershipData[[#This Row],[MeasurementDate]])</f>
        <v>46</v>
      </c>
      <c r="K1348" s="19">
        <f>MONTH(tblRidershipData[[#This Row],[MeasurementDate]])</f>
        <v>11</v>
      </c>
    </row>
    <row r="1349" spans="1:11" x14ac:dyDescent="0.25">
      <c r="A1349" s="31">
        <v>43780</v>
      </c>
      <c r="B1349" t="s">
        <v>2</v>
      </c>
      <c r="C1349" s="31">
        <v>1751</v>
      </c>
      <c r="D1349" t="s">
        <v>102</v>
      </c>
      <c r="E1349" t="s">
        <v>109</v>
      </c>
      <c r="F1349">
        <v>1</v>
      </c>
      <c r="G1349" t="s">
        <v>69</v>
      </c>
      <c r="H1349" t="s">
        <v>112</v>
      </c>
      <c r="I1349">
        <v>6</v>
      </c>
      <c r="J1349" s="19">
        <f>WEEKNUM(tblRidershipData[[#This Row],[MeasurementDate]])</f>
        <v>46</v>
      </c>
      <c r="K1349" s="19">
        <f>MONTH(tblRidershipData[[#This Row],[MeasurementDate]])</f>
        <v>11</v>
      </c>
    </row>
    <row r="1350" spans="1:11" x14ac:dyDescent="0.25">
      <c r="A1350" s="31">
        <v>43780</v>
      </c>
      <c r="B1350" t="s">
        <v>2</v>
      </c>
      <c r="C1350" s="31">
        <v>1751</v>
      </c>
      <c r="D1350" t="s">
        <v>102</v>
      </c>
      <c r="E1350" t="s">
        <v>109</v>
      </c>
      <c r="F1350">
        <v>1</v>
      </c>
      <c r="G1350" t="s">
        <v>70</v>
      </c>
      <c r="H1350" t="s">
        <v>112</v>
      </c>
      <c r="I1350">
        <v>8</v>
      </c>
      <c r="J1350" s="19">
        <f>WEEKNUM(tblRidershipData[[#This Row],[MeasurementDate]])</f>
        <v>46</v>
      </c>
      <c r="K1350" s="19">
        <f>MONTH(tblRidershipData[[#This Row],[MeasurementDate]])</f>
        <v>11</v>
      </c>
    </row>
    <row r="1351" spans="1:11" x14ac:dyDescent="0.25">
      <c r="A1351" s="31">
        <v>43780</v>
      </c>
      <c r="B1351" t="s">
        <v>2</v>
      </c>
      <c r="C1351" s="31">
        <v>1751</v>
      </c>
      <c r="D1351" t="s">
        <v>102</v>
      </c>
      <c r="E1351" t="s">
        <v>109</v>
      </c>
      <c r="F1351">
        <v>1</v>
      </c>
      <c r="G1351" t="s">
        <v>71</v>
      </c>
      <c r="H1351" t="s">
        <v>112</v>
      </c>
      <c r="I1351">
        <v>4</v>
      </c>
      <c r="J1351" s="19">
        <f>WEEKNUM(tblRidershipData[[#This Row],[MeasurementDate]])</f>
        <v>46</v>
      </c>
      <c r="K1351" s="19">
        <f>MONTH(tblRidershipData[[#This Row],[MeasurementDate]])</f>
        <v>11</v>
      </c>
    </row>
    <row r="1352" spans="1:11" x14ac:dyDescent="0.25">
      <c r="A1352" s="31">
        <v>43780</v>
      </c>
      <c r="B1352" t="s">
        <v>2</v>
      </c>
      <c r="C1352" s="31">
        <v>1751</v>
      </c>
      <c r="D1352" t="s">
        <v>102</v>
      </c>
      <c r="E1352" t="s">
        <v>109</v>
      </c>
      <c r="F1352">
        <v>1</v>
      </c>
      <c r="G1352" t="s">
        <v>72</v>
      </c>
      <c r="H1352" t="s">
        <v>112</v>
      </c>
      <c r="I1352">
        <v>4</v>
      </c>
      <c r="J1352" s="19">
        <f>WEEKNUM(tblRidershipData[[#This Row],[MeasurementDate]])</f>
        <v>46</v>
      </c>
      <c r="K1352" s="19">
        <f>MONTH(tblRidershipData[[#This Row],[MeasurementDate]])</f>
        <v>11</v>
      </c>
    </row>
    <row r="1353" spans="1:11" x14ac:dyDescent="0.25">
      <c r="A1353" s="31">
        <v>43780</v>
      </c>
      <c r="B1353" t="s">
        <v>2</v>
      </c>
      <c r="C1353" s="31">
        <v>4301</v>
      </c>
      <c r="D1353" t="s">
        <v>91</v>
      </c>
      <c r="E1353" t="s">
        <v>111</v>
      </c>
      <c r="F1353">
        <v>1</v>
      </c>
      <c r="G1353" t="s">
        <v>49</v>
      </c>
      <c r="H1353" t="s">
        <v>110</v>
      </c>
      <c r="I1353">
        <v>1</v>
      </c>
      <c r="J1353" s="19">
        <f>WEEKNUM(tblRidershipData[[#This Row],[MeasurementDate]])</f>
        <v>46</v>
      </c>
      <c r="K1353" s="19">
        <f>MONTH(tblRidershipData[[#This Row],[MeasurementDate]])</f>
        <v>11</v>
      </c>
    </row>
    <row r="1354" spans="1:11" x14ac:dyDescent="0.25">
      <c r="A1354" s="31">
        <v>43780</v>
      </c>
      <c r="B1354" t="s">
        <v>2</v>
      </c>
      <c r="C1354" s="31">
        <v>4301</v>
      </c>
      <c r="D1354" t="s">
        <v>91</v>
      </c>
      <c r="E1354" t="s">
        <v>111</v>
      </c>
      <c r="F1354">
        <v>1</v>
      </c>
      <c r="G1354" t="s">
        <v>56</v>
      </c>
      <c r="H1354" t="s">
        <v>110</v>
      </c>
      <c r="I1354">
        <v>8</v>
      </c>
      <c r="J1354" s="19">
        <f>WEEKNUM(tblRidershipData[[#This Row],[MeasurementDate]])</f>
        <v>46</v>
      </c>
      <c r="K1354" s="19">
        <f>MONTH(tblRidershipData[[#This Row],[MeasurementDate]])</f>
        <v>11</v>
      </c>
    </row>
    <row r="1355" spans="1:11" x14ac:dyDescent="0.25">
      <c r="A1355" s="31">
        <v>43780</v>
      </c>
      <c r="B1355" t="s">
        <v>2</v>
      </c>
      <c r="C1355" s="31">
        <v>4301</v>
      </c>
      <c r="D1355" t="s">
        <v>91</v>
      </c>
      <c r="E1355" t="s">
        <v>111</v>
      </c>
      <c r="F1355">
        <v>1</v>
      </c>
      <c r="G1355" t="s">
        <v>57</v>
      </c>
      <c r="H1355" t="s">
        <v>110</v>
      </c>
      <c r="I1355">
        <v>3</v>
      </c>
      <c r="J1355" s="19">
        <f>WEEKNUM(tblRidershipData[[#This Row],[MeasurementDate]])</f>
        <v>46</v>
      </c>
      <c r="K1355" s="19">
        <f>MONTH(tblRidershipData[[#This Row],[MeasurementDate]])</f>
        <v>11</v>
      </c>
    </row>
    <row r="1356" spans="1:11" x14ac:dyDescent="0.25">
      <c r="A1356" s="31">
        <v>43780</v>
      </c>
      <c r="B1356" t="s">
        <v>2</v>
      </c>
      <c r="C1356" s="31">
        <v>4301</v>
      </c>
      <c r="D1356" t="s">
        <v>91</v>
      </c>
      <c r="E1356" t="s">
        <v>111</v>
      </c>
      <c r="F1356">
        <v>1</v>
      </c>
      <c r="G1356" t="s">
        <v>72</v>
      </c>
      <c r="H1356" t="s">
        <v>110</v>
      </c>
      <c r="I1356">
        <v>2</v>
      </c>
      <c r="J1356" s="19">
        <f>WEEKNUM(tblRidershipData[[#This Row],[MeasurementDate]])</f>
        <v>46</v>
      </c>
      <c r="K1356" s="19">
        <f>MONTH(tblRidershipData[[#This Row],[MeasurementDate]])</f>
        <v>11</v>
      </c>
    </row>
    <row r="1357" spans="1:11" x14ac:dyDescent="0.25">
      <c r="A1357" s="31">
        <v>43780</v>
      </c>
      <c r="B1357" t="s">
        <v>2</v>
      </c>
      <c r="C1357" s="31">
        <v>4301</v>
      </c>
      <c r="D1357" t="s">
        <v>91</v>
      </c>
      <c r="E1357" t="s">
        <v>109</v>
      </c>
      <c r="F1357">
        <v>1</v>
      </c>
      <c r="G1357" t="s">
        <v>54</v>
      </c>
      <c r="H1357" t="s">
        <v>110</v>
      </c>
      <c r="I1357">
        <v>3</v>
      </c>
      <c r="J1357" s="19">
        <f>WEEKNUM(tblRidershipData[[#This Row],[MeasurementDate]])</f>
        <v>46</v>
      </c>
      <c r="K1357" s="19">
        <f>MONTH(tblRidershipData[[#This Row],[MeasurementDate]])</f>
        <v>11</v>
      </c>
    </row>
    <row r="1358" spans="1:11" x14ac:dyDescent="0.25">
      <c r="A1358" s="31">
        <v>43780</v>
      </c>
      <c r="B1358" t="s">
        <v>2</v>
      </c>
      <c r="C1358" s="31">
        <v>4301</v>
      </c>
      <c r="D1358" t="s">
        <v>91</v>
      </c>
      <c r="E1358" t="s">
        <v>109</v>
      </c>
      <c r="F1358">
        <v>1</v>
      </c>
      <c r="G1358" t="s">
        <v>62</v>
      </c>
      <c r="H1358" t="s">
        <v>110</v>
      </c>
      <c r="I1358">
        <v>1</v>
      </c>
      <c r="J1358" s="19">
        <f>WEEKNUM(tblRidershipData[[#This Row],[MeasurementDate]])</f>
        <v>46</v>
      </c>
      <c r="K1358" s="19">
        <f>MONTH(tblRidershipData[[#This Row],[MeasurementDate]])</f>
        <v>11</v>
      </c>
    </row>
    <row r="1359" spans="1:11" x14ac:dyDescent="0.25">
      <c r="A1359" s="31">
        <v>43780</v>
      </c>
      <c r="B1359" t="s">
        <v>2</v>
      </c>
      <c r="C1359" s="31">
        <v>4301</v>
      </c>
      <c r="D1359" t="s">
        <v>91</v>
      </c>
      <c r="E1359" t="s">
        <v>109</v>
      </c>
      <c r="F1359">
        <v>1</v>
      </c>
      <c r="G1359" t="s">
        <v>64</v>
      </c>
      <c r="H1359" t="s">
        <v>110</v>
      </c>
      <c r="I1359">
        <v>16</v>
      </c>
      <c r="J1359" s="19">
        <f>WEEKNUM(tblRidershipData[[#This Row],[MeasurementDate]])</f>
        <v>46</v>
      </c>
      <c r="K1359" s="19">
        <f>MONTH(tblRidershipData[[#This Row],[MeasurementDate]])</f>
        <v>11</v>
      </c>
    </row>
    <row r="1360" spans="1:11" x14ac:dyDescent="0.25">
      <c r="A1360" s="31">
        <v>43780</v>
      </c>
      <c r="B1360" t="s">
        <v>2</v>
      </c>
      <c r="C1360" s="31">
        <v>4301</v>
      </c>
      <c r="D1360" t="s">
        <v>91</v>
      </c>
      <c r="E1360" t="s">
        <v>109</v>
      </c>
      <c r="F1360">
        <v>1</v>
      </c>
      <c r="G1360" t="s">
        <v>67</v>
      </c>
      <c r="H1360" t="s">
        <v>110</v>
      </c>
      <c r="I1360">
        <v>3</v>
      </c>
      <c r="J1360" s="19">
        <f>WEEKNUM(tblRidershipData[[#This Row],[MeasurementDate]])</f>
        <v>46</v>
      </c>
      <c r="K1360" s="19">
        <f>MONTH(tblRidershipData[[#This Row],[MeasurementDate]])</f>
        <v>11</v>
      </c>
    </row>
    <row r="1361" spans="1:11" x14ac:dyDescent="0.25">
      <c r="A1361" s="31">
        <v>43780</v>
      </c>
      <c r="B1361" t="s">
        <v>2</v>
      </c>
      <c r="C1361" s="31">
        <v>4301</v>
      </c>
      <c r="D1361" t="s">
        <v>91</v>
      </c>
      <c r="E1361" t="s">
        <v>109</v>
      </c>
      <c r="F1361">
        <v>1</v>
      </c>
      <c r="G1361" t="s">
        <v>73</v>
      </c>
      <c r="H1361" t="s">
        <v>110</v>
      </c>
      <c r="I1361">
        <v>32</v>
      </c>
      <c r="J1361" s="19">
        <f>WEEKNUM(tblRidershipData[[#This Row],[MeasurementDate]])</f>
        <v>46</v>
      </c>
      <c r="K1361" s="19">
        <f>MONTH(tblRidershipData[[#This Row],[MeasurementDate]])</f>
        <v>11</v>
      </c>
    </row>
    <row r="1362" spans="1:11" x14ac:dyDescent="0.25">
      <c r="A1362" s="31">
        <v>43780</v>
      </c>
      <c r="B1362" t="s">
        <v>2</v>
      </c>
      <c r="C1362" s="31">
        <v>4301</v>
      </c>
      <c r="D1362" t="s">
        <v>91</v>
      </c>
      <c r="E1362" t="s">
        <v>109</v>
      </c>
      <c r="F1362">
        <v>1</v>
      </c>
      <c r="G1362" t="s">
        <v>74</v>
      </c>
      <c r="H1362" t="s">
        <v>110</v>
      </c>
      <c r="I1362">
        <v>21</v>
      </c>
      <c r="J1362" s="19">
        <f>WEEKNUM(tblRidershipData[[#This Row],[MeasurementDate]])</f>
        <v>46</v>
      </c>
      <c r="K1362" s="19">
        <f>MONTH(tblRidershipData[[#This Row],[MeasurementDate]])</f>
        <v>11</v>
      </c>
    </row>
    <row r="1363" spans="1:11" x14ac:dyDescent="0.25">
      <c r="A1363" s="31">
        <v>43780</v>
      </c>
      <c r="B1363" t="s">
        <v>2</v>
      </c>
      <c r="C1363" s="31">
        <v>4301</v>
      </c>
      <c r="D1363" t="s">
        <v>91</v>
      </c>
      <c r="E1363" t="s">
        <v>111</v>
      </c>
      <c r="F1363">
        <v>1</v>
      </c>
      <c r="G1363" t="s">
        <v>52</v>
      </c>
      <c r="H1363" t="s">
        <v>112</v>
      </c>
      <c r="I1363">
        <v>8</v>
      </c>
      <c r="J1363" s="19">
        <f>WEEKNUM(tblRidershipData[[#This Row],[MeasurementDate]])</f>
        <v>46</v>
      </c>
      <c r="K1363" s="19">
        <f>MONTH(tblRidershipData[[#This Row],[MeasurementDate]])</f>
        <v>11</v>
      </c>
    </row>
    <row r="1364" spans="1:11" x14ac:dyDescent="0.25">
      <c r="A1364" s="31">
        <v>43780</v>
      </c>
      <c r="B1364" t="s">
        <v>2</v>
      </c>
      <c r="C1364" s="31">
        <v>4301</v>
      </c>
      <c r="D1364" t="s">
        <v>91</v>
      </c>
      <c r="E1364" t="s">
        <v>111</v>
      </c>
      <c r="F1364">
        <v>1</v>
      </c>
      <c r="G1364" t="s">
        <v>54</v>
      </c>
      <c r="H1364" t="s">
        <v>112</v>
      </c>
      <c r="I1364">
        <v>2</v>
      </c>
      <c r="J1364" s="19">
        <f>WEEKNUM(tblRidershipData[[#This Row],[MeasurementDate]])</f>
        <v>46</v>
      </c>
      <c r="K1364" s="19">
        <f>MONTH(tblRidershipData[[#This Row],[MeasurementDate]])</f>
        <v>11</v>
      </c>
    </row>
    <row r="1365" spans="1:11" x14ac:dyDescent="0.25">
      <c r="A1365" s="31">
        <v>43780</v>
      </c>
      <c r="B1365" t="s">
        <v>2</v>
      </c>
      <c r="C1365" s="31">
        <v>4301</v>
      </c>
      <c r="D1365" t="s">
        <v>91</v>
      </c>
      <c r="E1365" t="s">
        <v>111</v>
      </c>
      <c r="F1365">
        <v>1</v>
      </c>
      <c r="G1365" t="s">
        <v>71</v>
      </c>
      <c r="H1365" t="s">
        <v>112</v>
      </c>
      <c r="I1365">
        <v>3</v>
      </c>
      <c r="J1365" s="19">
        <f>WEEKNUM(tblRidershipData[[#This Row],[MeasurementDate]])</f>
        <v>46</v>
      </c>
      <c r="K1365" s="19">
        <f>MONTH(tblRidershipData[[#This Row],[MeasurementDate]])</f>
        <v>11</v>
      </c>
    </row>
    <row r="1366" spans="1:11" x14ac:dyDescent="0.25">
      <c r="A1366" s="31">
        <v>43780</v>
      </c>
      <c r="B1366" t="s">
        <v>2</v>
      </c>
      <c r="C1366" s="31">
        <v>4301</v>
      </c>
      <c r="D1366" t="s">
        <v>91</v>
      </c>
      <c r="E1366" t="s">
        <v>111</v>
      </c>
      <c r="F1366">
        <v>1</v>
      </c>
      <c r="G1366" t="s">
        <v>72</v>
      </c>
      <c r="H1366" t="s">
        <v>112</v>
      </c>
      <c r="I1366">
        <v>1</v>
      </c>
      <c r="J1366" s="19">
        <f>WEEKNUM(tblRidershipData[[#This Row],[MeasurementDate]])</f>
        <v>46</v>
      </c>
      <c r="K1366" s="19">
        <f>MONTH(tblRidershipData[[#This Row],[MeasurementDate]])</f>
        <v>11</v>
      </c>
    </row>
    <row r="1367" spans="1:11" x14ac:dyDescent="0.25">
      <c r="A1367" s="31">
        <v>43780</v>
      </c>
      <c r="B1367" t="s">
        <v>2</v>
      </c>
      <c r="C1367" s="31">
        <v>4301</v>
      </c>
      <c r="D1367" t="s">
        <v>91</v>
      </c>
      <c r="E1367" t="s">
        <v>109</v>
      </c>
      <c r="F1367">
        <v>1</v>
      </c>
      <c r="G1367" t="s">
        <v>45</v>
      </c>
      <c r="H1367" t="s">
        <v>112</v>
      </c>
      <c r="I1367">
        <v>15</v>
      </c>
      <c r="J1367" s="19">
        <f>WEEKNUM(tblRidershipData[[#This Row],[MeasurementDate]])</f>
        <v>46</v>
      </c>
      <c r="K1367" s="19">
        <f>MONTH(tblRidershipData[[#This Row],[MeasurementDate]])</f>
        <v>11</v>
      </c>
    </row>
    <row r="1368" spans="1:11" x14ac:dyDescent="0.25">
      <c r="A1368" s="31">
        <v>43780</v>
      </c>
      <c r="B1368" t="s">
        <v>2</v>
      </c>
      <c r="C1368" s="31">
        <v>4301</v>
      </c>
      <c r="D1368" t="s">
        <v>91</v>
      </c>
      <c r="E1368" t="s">
        <v>109</v>
      </c>
      <c r="F1368">
        <v>1</v>
      </c>
      <c r="G1368" t="s">
        <v>47</v>
      </c>
      <c r="H1368" t="s">
        <v>112</v>
      </c>
      <c r="I1368">
        <v>4</v>
      </c>
      <c r="J1368" s="19">
        <f>WEEKNUM(tblRidershipData[[#This Row],[MeasurementDate]])</f>
        <v>46</v>
      </c>
      <c r="K1368" s="19">
        <f>MONTH(tblRidershipData[[#This Row],[MeasurementDate]])</f>
        <v>11</v>
      </c>
    </row>
    <row r="1369" spans="1:11" x14ac:dyDescent="0.25">
      <c r="A1369" s="31">
        <v>43780</v>
      </c>
      <c r="B1369" t="s">
        <v>2</v>
      </c>
      <c r="C1369" s="31">
        <v>4301</v>
      </c>
      <c r="D1369" t="s">
        <v>91</v>
      </c>
      <c r="E1369" t="s">
        <v>109</v>
      </c>
      <c r="F1369">
        <v>1</v>
      </c>
      <c r="G1369" t="s">
        <v>57</v>
      </c>
      <c r="H1369" t="s">
        <v>112</v>
      </c>
      <c r="I1369">
        <v>4</v>
      </c>
      <c r="J1369" s="19">
        <f>WEEKNUM(tblRidershipData[[#This Row],[MeasurementDate]])</f>
        <v>46</v>
      </c>
      <c r="K1369" s="19">
        <f>MONTH(tblRidershipData[[#This Row],[MeasurementDate]])</f>
        <v>11</v>
      </c>
    </row>
    <row r="1370" spans="1:11" x14ac:dyDescent="0.25">
      <c r="A1370" s="31">
        <v>43780</v>
      </c>
      <c r="B1370" t="s">
        <v>2</v>
      </c>
      <c r="C1370" s="31">
        <v>4301</v>
      </c>
      <c r="D1370" t="s">
        <v>91</v>
      </c>
      <c r="E1370" t="s">
        <v>109</v>
      </c>
      <c r="F1370">
        <v>1</v>
      </c>
      <c r="G1370" t="s">
        <v>58</v>
      </c>
      <c r="H1370" t="s">
        <v>112</v>
      </c>
      <c r="I1370">
        <v>2</v>
      </c>
      <c r="J1370" s="19">
        <f>WEEKNUM(tblRidershipData[[#This Row],[MeasurementDate]])</f>
        <v>46</v>
      </c>
      <c r="K1370" s="19">
        <f>MONTH(tblRidershipData[[#This Row],[MeasurementDate]])</f>
        <v>11</v>
      </c>
    </row>
    <row r="1371" spans="1:11" x14ac:dyDescent="0.25">
      <c r="A1371" s="31">
        <v>43780</v>
      </c>
      <c r="B1371" t="s">
        <v>2</v>
      </c>
      <c r="C1371" s="31">
        <v>4301</v>
      </c>
      <c r="D1371" t="s">
        <v>91</v>
      </c>
      <c r="E1371" t="s">
        <v>109</v>
      </c>
      <c r="F1371">
        <v>1</v>
      </c>
      <c r="G1371" t="s">
        <v>62</v>
      </c>
      <c r="H1371" t="s">
        <v>112</v>
      </c>
      <c r="I1371">
        <v>9</v>
      </c>
      <c r="J1371" s="19">
        <f>WEEKNUM(tblRidershipData[[#This Row],[MeasurementDate]])</f>
        <v>46</v>
      </c>
      <c r="K1371" s="19">
        <f>MONTH(tblRidershipData[[#This Row],[MeasurementDate]])</f>
        <v>11</v>
      </c>
    </row>
    <row r="1372" spans="1:11" x14ac:dyDescent="0.25">
      <c r="A1372" s="31">
        <v>43780</v>
      </c>
      <c r="B1372" t="s">
        <v>2</v>
      </c>
      <c r="C1372" s="31">
        <v>4301</v>
      </c>
      <c r="D1372" t="s">
        <v>91</v>
      </c>
      <c r="E1372" t="s">
        <v>109</v>
      </c>
      <c r="F1372">
        <v>1</v>
      </c>
      <c r="G1372" t="s">
        <v>64</v>
      </c>
      <c r="H1372" t="s">
        <v>112</v>
      </c>
      <c r="I1372">
        <v>20</v>
      </c>
      <c r="J1372" s="19">
        <f>WEEKNUM(tblRidershipData[[#This Row],[MeasurementDate]])</f>
        <v>46</v>
      </c>
      <c r="K1372" s="19">
        <f>MONTH(tblRidershipData[[#This Row],[MeasurementDate]])</f>
        <v>11</v>
      </c>
    </row>
    <row r="1373" spans="1:11" x14ac:dyDescent="0.25">
      <c r="A1373" s="31">
        <v>43780</v>
      </c>
      <c r="B1373" t="s">
        <v>2</v>
      </c>
      <c r="C1373" s="31">
        <v>4301</v>
      </c>
      <c r="D1373" t="s">
        <v>91</v>
      </c>
      <c r="E1373" t="s">
        <v>109</v>
      </c>
      <c r="F1373">
        <v>1</v>
      </c>
      <c r="G1373" t="s">
        <v>67</v>
      </c>
      <c r="H1373" t="s">
        <v>112</v>
      </c>
      <c r="I1373">
        <v>11</v>
      </c>
      <c r="J1373" s="19">
        <f>WEEKNUM(tblRidershipData[[#This Row],[MeasurementDate]])</f>
        <v>46</v>
      </c>
      <c r="K1373" s="19">
        <f>MONTH(tblRidershipData[[#This Row],[MeasurementDate]])</f>
        <v>11</v>
      </c>
    </row>
    <row r="1374" spans="1:11" x14ac:dyDescent="0.25">
      <c r="A1374" s="31">
        <v>43780</v>
      </c>
      <c r="B1374" t="s">
        <v>2</v>
      </c>
      <c r="C1374" s="31">
        <v>4301</v>
      </c>
      <c r="D1374" t="s">
        <v>91</v>
      </c>
      <c r="E1374" t="s">
        <v>109</v>
      </c>
      <c r="F1374">
        <v>1</v>
      </c>
      <c r="G1374" t="s">
        <v>72</v>
      </c>
      <c r="H1374" t="s">
        <v>112</v>
      </c>
      <c r="I1374">
        <v>6</v>
      </c>
      <c r="J1374" s="19">
        <f>WEEKNUM(tblRidershipData[[#This Row],[MeasurementDate]])</f>
        <v>46</v>
      </c>
      <c r="K1374" s="19">
        <f>MONTH(tblRidershipData[[#This Row],[MeasurementDate]])</f>
        <v>11</v>
      </c>
    </row>
    <row r="1375" spans="1:11" x14ac:dyDescent="0.25">
      <c r="A1375" s="31">
        <v>43780</v>
      </c>
      <c r="B1375" t="s">
        <v>2</v>
      </c>
      <c r="C1375" s="31">
        <v>4301</v>
      </c>
      <c r="D1375" t="s">
        <v>91</v>
      </c>
      <c r="E1375" t="s">
        <v>109</v>
      </c>
      <c r="F1375">
        <v>1</v>
      </c>
      <c r="G1375" t="s">
        <v>73</v>
      </c>
      <c r="H1375" t="s">
        <v>112</v>
      </c>
      <c r="I1375">
        <v>5</v>
      </c>
      <c r="J1375" s="19">
        <f>WEEKNUM(tblRidershipData[[#This Row],[MeasurementDate]])</f>
        <v>46</v>
      </c>
      <c r="K1375" s="19">
        <f>MONTH(tblRidershipData[[#This Row],[MeasurementDate]])</f>
        <v>11</v>
      </c>
    </row>
    <row r="1376" spans="1:11" x14ac:dyDescent="0.25">
      <c r="A1376" s="31">
        <v>43780</v>
      </c>
      <c r="B1376" t="s">
        <v>2</v>
      </c>
      <c r="C1376" s="31">
        <v>4301</v>
      </c>
      <c r="D1376" t="s">
        <v>91</v>
      </c>
      <c r="E1376" t="s">
        <v>109</v>
      </c>
      <c r="F1376">
        <v>2</v>
      </c>
      <c r="G1376" t="s">
        <v>45</v>
      </c>
      <c r="H1376" t="s">
        <v>112</v>
      </c>
      <c r="I1376">
        <v>2</v>
      </c>
      <c r="J1376" s="19">
        <f>WEEKNUM(tblRidershipData[[#This Row],[MeasurementDate]])</f>
        <v>46</v>
      </c>
      <c r="K1376" s="19">
        <f>MONTH(tblRidershipData[[#This Row],[MeasurementDate]])</f>
        <v>11</v>
      </c>
    </row>
    <row r="1377" spans="1:11" x14ac:dyDescent="0.25">
      <c r="A1377" s="31">
        <v>43780</v>
      </c>
      <c r="B1377" t="s">
        <v>2</v>
      </c>
      <c r="C1377" s="31">
        <v>4301</v>
      </c>
      <c r="D1377" t="s">
        <v>91</v>
      </c>
      <c r="E1377" t="s">
        <v>109</v>
      </c>
      <c r="F1377">
        <v>2</v>
      </c>
      <c r="G1377" t="s">
        <v>47</v>
      </c>
      <c r="H1377" t="s">
        <v>112</v>
      </c>
      <c r="I1377">
        <v>4</v>
      </c>
      <c r="J1377" s="19">
        <f>WEEKNUM(tblRidershipData[[#This Row],[MeasurementDate]])</f>
        <v>46</v>
      </c>
      <c r="K1377" s="19">
        <f>MONTH(tblRidershipData[[#This Row],[MeasurementDate]])</f>
        <v>11</v>
      </c>
    </row>
    <row r="1378" spans="1:11" x14ac:dyDescent="0.25">
      <c r="A1378" s="31">
        <v>43780</v>
      </c>
      <c r="B1378" t="s">
        <v>2</v>
      </c>
      <c r="C1378" s="31">
        <v>4504</v>
      </c>
      <c r="D1378" t="s">
        <v>96</v>
      </c>
      <c r="E1378" t="s">
        <v>111</v>
      </c>
      <c r="F1378">
        <v>1</v>
      </c>
      <c r="G1378" t="s">
        <v>45</v>
      </c>
      <c r="H1378" t="s">
        <v>110</v>
      </c>
      <c r="I1378">
        <v>2</v>
      </c>
      <c r="J1378" s="19">
        <f>WEEKNUM(tblRidershipData[[#This Row],[MeasurementDate]])</f>
        <v>46</v>
      </c>
      <c r="K1378" s="19">
        <f>MONTH(tblRidershipData[[#This Row],[MeasurementDate]])</f>
        <v>11</v>
      </c>
    </row>
    <row r="1379" spans="1:11" x14ac:dyDescent="0.25">
      <c r="A1379" s="31">
        <v>43780</v>
      </c>
      <c r="B1379" t="s">
        <v>2</v>
      </c>
      <c r="C1379" s="31">
        <v>4504</v>
      </c>
      <c r="D1379" t="s">
        <v>96</v>
      </c>
      <c r="E1379" t="s">
        <v>111</v>
      </c>
      <c r="F1379">
        <v>1</v>
      </c>
      <c r="G1379" t="s">
        <v>47</v>
      </c>
      <c r="H1379" t="s">
        <v>110</v>
      </c>
      <c r="I1379">
        <v>10</v>
      </c>
      <c r="J1379" s="19">
        <f>WEEKNUM(tblRidershipData[[#This Row],[MeasurementDate]])</f>
        <v>46</v>
      </c>
      <c r="K1379" s="19">
        <f>MONTH(tblRidershipData[[#This Row],[MeasurementDate]])</f>
        <v>11</v>
      </c>
    </row>
    <row r="1380" spans="1:11" x14ac:dyDescent="0.25">
      <c r="A1380" s="31">
        <v>43780</v>
      </c>
      <c r="B1380" t="s">
        <v>2</v>
      </c>
      <c r="C1380" s="31">
        <v>4504</v>
      </c>
      <c r="D1380" t="s">
        <v>96</v>
      </c>
      <c r="E1380" t="s">
        <v>111</v>
      </c>
      <c r="F1380">
        <v>1</v>
      </c>
      <c r="G1380" t="s">
        <v>54</v>
      </c>
      <c r="H1380" t="s">
        <v>110</v>
      </c>
      <c r="I1380">
        <v>1</v>
      </c>
      <c r="J1380" s="19">
        <f>WEEKNUM(tblRidershipData[[#This Row],[MeasurementDate]])</f>
        <v>46</v>
      </c>
      <c r="K1380" s="19">
        <f>MONTH(tblRidershipData[[#This Row],[MeasurementDate]])</f>
        <v>11</v>
      </c>
    </row>
    <row r="1381" spans="1:11" x14ac:dyDescent="0.25">
      <c r="A1381" s="31">
        <v>43780</v>
      </c>
      <c r="B1381" t="s">
        <v>2</v>
      </c>
      <c r="C1381" s="31">
        <v>4504</v>
      </c>
      <c r="D1381" t="s">
        <v>96</v>
      </c>
      <c r="E1381" t="s">
        <v>111</v>
      </c>
      <c r="F1381">
        <v>1</v>
      </c>
      <c r="G1381" t="s">
        <v>58</v>
      </c>
      <c r="H1381" t="s">
        <v>110</v>
      </c>
      <c r="I1381">
        <v>2</v>
      </c>
      <c r="J1381" s="19">
        <f>WEEKNUM(tblRidershipData[[#This Row],[MeasurementDate]])</f>
        <v>46</v>
      </c>
      <c r="K1381" s="19">
        <f>MONTH(tblRidershipData[[#This Row],[MeasurementDate]])</f>
        <v>11</v>
      </c>
    </row>
    <row r="1382" spans="1:11" x14ac:dyDescent="0.25">
      <c r="A1382" s="31">
        <v>43780</v>
      </c>
      <c r="B1382" t="s">
        <v>2</v>
      </c>
      <c r="C1382" s="31">
        <v>4504</v>
      </c>
      <c r="D1382" t="s">
        <v>96</v>
      </c>
      <c r="E1382" t="s">
        <v>111</v>
      </c>
      <c r="F1382">
        <v>1</v>
      </c>
      <c r="G1382" t="s">
        <v>62</v>
      </c>
      <c r="H1382" t="s">
        <v>110</v>
      </c>
      <c r="I1382">
        <v>5</v>
      </c>
      <c r="J1382" s="19">
        <f>WEEKNUM(tblRidershipData[[#This Row],[MeasurementDate]])</f>
        <v>46</v>
      </c>
      <c r="K1382" s="19">
        <f>MONTH(tblRidershipData[[#This Row],[MeasurementDate]])</f>
        <v>11</v>
      </c>
    </row>
    <row r="1383" spans="1:11" x14ac:dyDescent="0.25">
      <c r="A1383" s="31">
        <v>43780</v>
      </c>
      <c r="B1383" t="s">
        <v>2</v>
      </c>
      <c r="C1383" s="31">
        <v>4504</v>
      </c>
      <c r="D1383" t="s">
        <v>96</v>
      </c>
      <c r="E1383" t="s">
        <v>111</v>
      </c>
      <c r="F1383">
        <v>1</v>
      </c>
      <c r="G1383" t="s">
        <v>64</v>
      </c>
      <c r="H1383" t="s">
        <v>110</v>
      </c>
      <c r="I1383">
        <v>4</v>
      </c>
      <c r="J1383" s="19">
        <f>WEEKNUM(tblRidershipData[[#This Row],[MeasurementDate]])</f>
        <v>46</v>
      </c>
      <c r="K1383" s="19">
        <f>MONTH(tblRidershipData[[#This Row],[MeasurementDate]])</f>
        <v>11</v>
      </c>
    </row>
    <row r="1384" spans="1:11" x14ac:dyDescent="0.25">
      <c r="A1384" s="31">
        <v>43780</v>
      </c>
      <c r="B1384" t="s">
        <v>2</v>
      </c>
      <c r="C1384" s="31">
        <v>4504</v>
      </c>
      <c r="D1384" t="s">
        <v>96</v>
      </c>
      <c r="E1384" t="s">
        <v>111</v>
      </c>
      <c r="F1384">
        <v>1</v>
      </c>
      <c r="G1384" t="s">
        <v>73</v>
      </c>
      <c r="H1384" t="s">
        <v>110</v>
      </c>
      <c r="I1384">
        <v>3</v>
      </c>
      <c r="J1384" s="19">
        <f>WEEKNUM(tblRidershipData[[#This Row],[MeasurementDate]])</f>
        <v>46</v>
      </c>
      <c r="K1384" s="19">
        <f>MONTH(tblRidershipData[[#This Row],[MeasurementDate]])</f>
        <v>11</v>
      </c>
    </row>
    <row r="1385" spans="1:11" x14ac:dyDescent="0.25">
      <c r="A1385" s="31">
        <v>43780</v>
      </c>
      <c r="B1385" t="s">
        <v>2</v>
      </c>
      <c r="C1385" s="31">
        <v>4504</v>
      </c>
      <c r="D1385" t="s">
        <v>96</v>
      </c>
      <c r="E1385" t="s">
        <v>111</v>
      </c>
      <c r="F1385">
        <v>1</v>
      </c>
      <c r="G1385" t="s">
        <v>77</v>
      </c>
      <c r="H1385" t="s">
        <v>110</v>
      </c>
      <c r="I1385">
        <v>1</v>
      </c>
      <c r="J1385" s="19">
        <f>WEEKNUM(tblRidershipData[[#This Row],[MeasurementDate]])</f>
        <v>46</v>
      </c>
      <c r="K1385" s="19">
        <f>MONTH(tblRidershipData[[#This Row],[MeasurementDate]])</f>
        <v>11</v>
      </c>
    </row>
    <row r="1386" spans="1:11" x14ac:dyDescent="0.25">
      <c r="A1386" s="31">
        <v>43780</v>
      </c>
      <c r="B1386" t="s">
        <v>2</v>
      </c>
      <c r="C1386" s="31">
        <v>4504</v>
      </c>
      <c r="D1386" t="s">
        <v>96</v>
      </c>
      <c r="E1386" t="s">
        <v>109</v>
      </c>
      <c r="F1386">
        <v>1</v>
      </c>
      <c r="G1386" t="s">
        <v>56</v>
      </c>
      <c r="H1386" t="s">
        <v>110</v>
      </c>
      <c r="I1386">
        <v>12</v>
      </c>
      <c r="J1386" s="19">
        <f>WEEKNUM(tblRidershipData[[#This Row],[MeasurementDate]])</f>
        <v>46</v>
      </c>
      <c r="K1386" s="19">
        <f>MONTH(tblRidershipData[[#This Row],[MeasurementDate]])</f>
        <v>11</v>
      </c>
    </row>
    <row r="1387" spans="1:11" x14ac:dyDescent="0.25">
      <c r="A1387" s="31">
        <v>43780</v>
      </c>
      <c r="B1387" t="s">
        <v>2</v>
      </c>
      <c r="C1387" s="31">
        <v>4504</v>
      </c>
      <c r="D1387" t="s">
        <v>96</v>
      </c>
      <c r="E1387" t="s">
        <v>109</v>
      </c>
      <c r="F1387">
        <v>1</v>
      </c>
      <c r="G1387" t="s">
        <v>59</v>
      </c>
      <c r="H1387" t="s">
        <v>110</v>
      </c>
      <c r="I1387">
        <v>11</v>
      </c>
      <c r="J1387" s="19">
        <f>WEEKNUM(tblRidershipData[[#This Row],[MeasurementDate]])</f>
        <v>46</v>
      </c>
      <c r="K1387" s="19">
        <f>MONTH(tblRidershipData[[#This Row],[MeasurementDate]])</f>
        <v>11</v>
      </c>
    </row>
    <row r="1388" spans="1:11" x14ac:dyDescent="0.25">
      <c r="A1388" s="31">
        <v>43780</v>
      </c>
      <c r="B1388" t="s">
        <v>2</v>
      </c>
      <c r="C1388" s="31">
        <v>4504</v>
      </c>
      <c r="D1388" t="s">
        <v>96</v>
      </c>
      <c r="E1388" t="s">
        <v>109</v>
      </c>
      <c r="F1388">
        <v>1</v>
      </c>
      <c r="G1388" t="s">
        <v>64</v>
      </c>
      <c r="H1388" t="s">
        <v>110</v>
      </c>
      <c r="I1388">
        <v>5</v>
      </c>
      <c r="J1388" s="19">
        <f>WEEKNUM(tblRidershipData[[#This Row],[MeasurementDate]])</f>
        <v>46</v>
      </c>
      <c r="K1388" s="19">
        <f>MONTH(tblRidershipData[[#This Row],[MeasurementDate]])</f>
        <v>11</v>
      </c>
    </row>
    <row r="1389" spans="1:11" x14ac:dyDescent="0.25">
      <c r="A1389" s="31">
        <v>43780</v>
      </c>
      <c r="B1389" t="s">
        <v>2</v>
      </c>
      <c r="C1389" s="31">
        <v>4504</v>
      </c>
      <c r="D1389" t="s">
        <v>96</v>
      </c>
      <c r="E1389" t="s">
        <v>109</v>
      </c>
      <c r="F1389">
        <v>1</v>
      </c>
      <c r="G1389" t="s">
        <v>72</v>
      </c>
      <c r="H1389" t="s">
        <v>110</v>
      </c>
      <c r="I1389">
        <v>1</v>
      </c>
      <c r="J1389" s="19">
        <f>WEEKNUM(tblRidershipData[[#This Row],[MeasurementDate]])</f>
        <v>46</v>
      </c>
      <c r="K1389" s="19">
        <f>MONTH(tblRidershipData[[#This Row],[MeasurementDate]])</f>
        <v>11</v>
      </c>
    </row>
    <row r="1390" spans="1:11" x14ac:dyDescent="0.25">
      <c r="A1390" s="31">
        <v>43780</v>
      </c>
      <c r="B1390" t="s">
        <v>2</v>
      </c>
      <c r="C1390" s="31">
        <v>4504</v>
      </c>
      <c r="D1390" t="s">
        <v>96</v>
      </c>
      <c r="E1390" t="s">
        <v>111</v>
      </c>
      <c r="F1390">
        <v>2</v>
      </c>
      <c r="G1390" t="s">
        <v>52</v>
      </c>
      <c r="H1390" t="s">
        <v>112</v>
      </c>
      <c r="I1390">
        <v>17</v>
      </c>
      <c r="J1390" s="19">
        <f>WEEKNUM(tblRidershipData[[#This Row],[MeasurementDate]])</f>
        <v>46</v>
      </c>
      <c r="K1390" s="19">
        <f>MONTH(tblRidershipData[[#This Row],[MeasurementDate]])</f>
        <v>11</v>
      </c>
    </row>
    <row r="1391" spans="1:11" x14ac:dyDescent="0.25">
      <c r="A1391" s="31">
        <v>43780</v>
      </c>
      <c r="B1391" t="s">
        <v>2</v>
      </c>
      <c r="C1391" s="31">
        <v>4504</v>
      </c>
      <c r="D1391" t="s">
        <v>96</v>
      </c>
      <c r="E1391" t="s">
        <v>111</v>
      </c>
      <c r="F1391">
        <v>2</v>
      </c>
      <c r="G1391" t="s">
        <v>54</v>
      </c>
      <c r="H1391" t="s">
        <v>112</v>
      </c>
      <c r="I1391">
        <v>4</v>
      </c>
      <c r="J1391" s="19">
        <f>WEEKNUM(tblRidershipData[[#This Row],[MeasurementDate]])</f>
        <v>46</v>
      </c>
      <c r="K1391" s="19">
        <f>MONTH(tblRidershipData[[#This Row],[MeasurementDate]])</f>
        <v>11</v>
      </c>
    </row>
    <row r="1392" spans="1:11" x14ac:dyDescent="0.25">
      <c r="A1392" s="31">
        <v>43780</v>
      </c>
      <c r="B1392" t="s">
        <v>2</v>
      </c>
      <c r="C1392" s="31">
        <v>4504</v>
      </c>
      <c r="D1392" t="s">
        <v>96</v>
      </c>
      <c r="E1392" t="s">
        <v>111</v>
      </c>
      <c r="F1392">
        <v>2</v>
      </c>
      <c r="G1392" t="s">
        <v>72</v>
      </c>
      <c r="H1392" t="s">
        <v>112</v>
      </c>
      <c r="I1392">
        <v>7</v>
      </c>
      <c r="J1392" s="19">
        <f>WEEKNUM(tblRidershipData[[#This Row],[MeasurementDate]])</f>
        <v>46</v>
      </c>
      <c r="K1392" s="19">
        <f>MONTH(tblRidershipData[[#This Row],[MeasurementDate]])</f>
        <v>11</v>
      </c>
    </row>
    <row r="1393" spans="1:11" x14ac:dyDescent="0.25">
      <c r="A1393" s="31">
        <v>43780</v>
      </c>
      <c r="B1393" t="s">
        <v>2</v>
      </c>
      <c r="C1393" s="31">
        <v>4504</v>
      </c>
      <c r="D1393" t="s">
        <v>96</v>
      </c>
      <c r="E1393" t="s">
        <v>109</v>
      </c>
      <c r="F1393">
        <v>2</v>
      </c>
      <c r="G1393" t="s">
        <v>45</v>
      </c>
      <c r="H1393" t="s">
        <v>112</v>
      </c>
      <c r="I1393">
        <v>3</v>
      </c>
      <c r="J1393" s="19">
        <f>WEEKNUM(tblRidershipData[[#This Row],[MeasurementDate]])</f>
        <v>46</v>
      </c>
      <c r="K1393" s="19">
        <f>MONTH(tblRidershipData[[#This Row],[MeasurementDate]])</f>
        <v>11</v>
      </c>
    </row>
    <row r="1394" spans="1:11" x14ac:dyDescent="0.25">
      <c r="A1394" s="31">
        <v>43780</v>
      </c>
      <c r="B1394" t="s">
        <v>2</v>
      </c>
      <c r="C1394" s="31">
        <v>4504</v>
      </c>
      <c r="D1394" t="s">
        <v>96</v>
      </c>
      <c r="E1394" t="s">
        <v>109</v>
      </c>
      <c r="F1394">
        <v>2</v>
      </c>
      <c r="G1394" t="s">
        <v>47</v>
      </c>
      <c r="H1394" t="s">
        <v>112</v>
      </c>
      <c r="I1394">
        <v>2</v>
      </c>
      <c r="J1394" s="19">
        <f>WEEKNUM(tblRidershipData[[#This Row],[MeasurementDate]])</f>
        <v>46</v>
      </c>
      <c r="K1394" s="19">
        <f>MONTH(tblRidershipData[[#This Row],[MeasurementDate]])</f>
        <v>11</v>
      </c>
    </row>
    <row r="1395" spans="1:11" x14ac:dyDescent="0.25">
      <c r="A1395" s="31">
        <v>43780</v>
      </c>
      <c r="B1395" t="s">
        <v>2</v>
      </c>
      <c r="C1395" s="31">
        <v>4504</v>
      </c>
      <c r="D1395" t="s">
        <v>96</v>
      </c>
      <c r="E1395" t="s">
        <v>109</v>
      </c>
      <c r="F1395">
        <v>2</v>
      </c>
      <c r="G1395" t="s">
        <v>50</v>
      </c>
      <c r="H1395" t="s">
        <v>112</v>
      </c>
      <c r="I1395">
        <v>7</v>
      </c>
      <c r="J1395" s="19">
        <f>WEEKNUM(tblRidershipData[[#This Row],[MeasurementDate]])</f>
        <v>46</v>
      </c>
      <c r="K1395" s="19">
        <f>MONTH(tblRidershipData[[#This Row],[MeasurementDate]])</f>
        <v>11</v>
      </c>
    </row>
    <row r="1396" spans="1:11" x14ac:dyDescent="0.25">
      <c r="A1396" s="31">
        <v>43780</v>
      </c>
      <c r="B1396" t="s">
        <v>2</v>
      </c>
      <c r="C1396" s="31">
        <v>4504</v>
      </c>
      <c r="D1396" t="s">
        <v>96</v>
      </c>
      <c r="E1396" t="s">
        <v>109</v>
      </c>
      <c r="F1396">
        <v>2</v>
      </c>
      <c r="G1396" t="s">
        <v>54</v>
      </c>
      <c r="H1396" t="s">
        <v>112</v>
      </c>
      <c r="I1396">
        <v>2</v>
      </c>
      <c r="J1396" s="19">
        <f>WEEKNUM(tblRidershipData[[#This Row],[MeasurementDate]])</f>
        <v>46</v>
      </c>
      <c r="K1396" s="19">
        <f>MONTH(tblRidershipData[[#This Row],[MeasurementDate]])</f>
        <v>11</v>
      </c>
    </row>
    <row r="1397" spans="1:11" x14ac:dyDescent="0.25">
      <c r="A1397" s="31">
        <v>43780</v>
      </c>
      <c r="B1397" t="s">
        <v>2</v>
      </c>
      <c r="C1397" s="31">
        <v>4504</v>
      </c>
      <c r="D1397" t="s">
        <v>96</v>
      </c>
      <c r="E1397" t="s">
        <v>109</v>
      </c>
      <c r="F1397">
        <v>2</v>
      </c>
      <c r="G1397" t="s">
        <v>56</v>
      </c>
      <c r="H1397" t="s">
        <v>112</v>
      </c>
      <c r="I1397">
        <v>4</v>
      </c>
      <c r="J1397" s="19">
        <f>WEEKNUM(tblRidershipData[[#This Row],[MeasurementDate]])</f>
        <v>46</v>
      </c>
      <c r="K1397" s="19">
        <f>MONTH(tblRidershipData[[#This Row],[MeasurementDate]])</f>
        <v>11</v>
      </c>
    </row>
    <row r="1398" spans="1:11" x14ac:dyDescent="0.25">
      <c r="A1398" s="31">
        <v>43780</v>
      </c>
      <c r="B1398" t="s">
        <v>2</v>
      </c>
      <c r="C1398" s="31">
        <v>4504</v>
      </c>
      <c r="D1398" t="s">
        <v>96</v>
      </c>
      <c r="E1398" t="s">
        <v>109</v>
      </c>
      <c r="F1398">
        <v>2</v>
      </c>
      <c r="G1398" t="s">
        <v>59</v>
      </c>
      <c r="H1398" t="s">
        <v>112</v>
      </c>
      <c r="I1398">
        <v>1</v>
      </c>
      <c r="J1398" s="19">
        <f>WEEKNUM(tblRidershipData[[#This Row],[MeasurementDate]])</f>
        <v>46</v>
      </c>
      <c r="K1398" s="19">
        <f>MONTH(tblRidershipData[[#This Row],[MeasurementDate]])</f>
        <v>11</v>
      </c>
    </row>
    <row r="1399" spans="1:11" x14ac:dyDescent="0.25">
      <c r="A1399" s="31">
        <v>43780</v>
      </c>
      <c r="B1399" t="s">
        <v>2</v>
      </c>
      <c r="C1399" s="31">
        <v>4504</v>
      </c>
      <c r="D1399" t="s">
        <v>96</v>
      </c>
      <c r="E1399" t="s">
        <v>109</v>
      </c>
      <c r="F1399">
        <v>2</v>
      </c>
      <c r="G1399" t="s">
        <v>63</v>
      </c>
      <c r="H1399" t="s">
        <v>112</v>
      </c>
      <c r="I1399">
        <v>1</v>
      </c>
      <c r="J1399" s="19">
        <f>WEEKNUM(tblRidershipData[[#This Row],[MeasurementDate]])</f>
        <v>46</v>
      </c>
      <c r="K1399" s="19">
        <f>MONTH(tblRidershipData[[#This Row],[MeasurementDate]])</f>
        <v>11</v>
      </c>
    </row>
    <row r="1400" spans="1:11" x14ac:dyDescent="0.25">
      <c r="A1400" s="31">
        <v>43780</v>
      </c>
      <c r="B1400" t="s">
        <v>2</v>
      </c>
      <c r="C1400" s="31">
        <v>4504</v>
      </c>
      <c r="D1400" t="s">
        <v>96</v>
      </c>
      <c r="E1400" t="s">
        <v>109</v>
      </c>
      <c r="F1400">
        <v>2</v>
      </c>
      <c r="G1400" t="s">
        <v>72</v>
      </c>
      <c r="H1400" t="s">
        <v>112</v>
      </c>
      <c r="I1400">
        <v>6</v>
      </c>
      <c r="J1400" s="19">
        <f>WEEKNUM(tblRidershipData[[#This Row],[MeasurementDate]])</f>
        <v>46</v>
      </c>
      <c r="K1400" s="19">
        <f>MONTH(tblRidershipData[[#This Row],[MeasurementDate]])</f>
        <v>11</v>
      </c>
    </row>
    <row r="1401" spans="1:11" x14ac:dyDescent="0.25">
      <c r="A1401" s="31">
        <v>43780</v>
      </c>
      <c r="B1401" t="s">
        <v>2</v>
      </c>
      <c r="C1401" s="31">
        <v>4504</v>
      </c>
      <c r="D1401" t="s">
        <v>96</v>
      </c>
      <c r="E1401" t="s">
        <v>109</v>
      </c>
      <c r="F1401">
        <v>2</v>
      </c>
      <c r="G1401" t="s">
        <v>73</v>
      </c>
      <c r="H1401" t="s">
        <v>112</v>
      </c>
      <c r="I1401">
        <v>1</v>
      </c>
      <c r="J1401" s="19">
        <f>WEEKNUM(tblRidershipData[[#This Row],[MeasurementDate]])</f>
        <v>46</v>
      </c>
      <c r="K1401" s="19">
        <f>MONTH(tblRidershipData[[#This Row],[MeasurementDate]])</f>
        <v>11</v>
      </c>
    </row>
    <row r="1402" spans="1:11" x14ac:dyDescent="0.25">
      <c r="A1402" s="31">
        <v>43780</v>
      </c>
      <c r="B1402" t="s">
        <v>2</v>
      </c>
      <c r="C1402" s="31">
        <v>4504</v>
      </c>
      <c r="D1402" t="s">
        <v>96</v>
      </c>
      <c r="E1402" t="s">
        <v>109</v>
      </c>
      <c r="F1402">
        <v>2</v>
      </c>
      <c r="G1402" t="s">
        <v>77</v>
      </c>
      <c r="H1402" t="s">
        <v>112</v>
      </c>
      <c r="I1402">
        <v>2</v>
      </c>
      <c r="J1402" s="19">
        <f>WEEKNUM(tblRidershipData[[#This Row],[MeasurementDate]])</f>
        <v>46</v>
      </c>
      <c r="K1402" s="19">
        <f>MONTH(tblRidershipData[[#This Row],[MeasurementDate]])</f>
        <v>11</v>
      </c>
    </row>
    <row r="1403" spans="1:11" x14ac:dyDescent="0.25">
      <c r="A1403" s="31">
        <v>43780</v>
      </c>
      <c r="B1403" t="s">
        <v>2</v>
      </c>
      <c r="C1403" s="31">
        <v>4504</v>
      </c>
      <c r="D1403" t="s">
        <v>96</v>
      </c>
      <c r="E1403" t="s">
        <v>109</v>
      </c>
      <c r="F1403">
        <v>2</v>
      </c>
      <c r="G1403" t="s">
        <v>78</v>
      </c>
      <c r="H1403" t="s">
        <v>112</v>
      </c>
      <c r="I1403">
        <v>1</v>
      </c>
      <c r="J1403" s="19">
        <f>WEEKNUM(tblRidershipData[[#This Row],[MeasurementDate]])</f>
        <v>46</v>
      </c>
      <c r="K1403" s="19">
        <f>MONTH(tblRidershipData[[#This Row],[MeasurementDate]])</f>
        <v>11</v>
      </c>
    </row>
    <row r="1404" spans="1:11" x14ac:dyDescent="0.25">
      <c r="A1404" s="31">
        <v>43780</v>
      </c>
      <c r="B1404" t="s">
        <v>2</v>
      </c>
      <c r="C1404" s="31">
        <v>6550</v>
      </c>
      <c r="D1404" t="s">
        <v>92</v>
      </c>
      <c r="E1404" t="s">
        <v>111</v>
      </c>
      <c r="F1404">
        <v>2</v>
      </c>
      <c r="G1404" t="s">
        <v>45</v>
      </c>
      <c r="H1404" t="s">
        <v>110</v>
      </c>
      <c r="I1404">
        <v>8</v>
      </c>
      <c r="J1404" s="19">
        <f>WEEKNUM(tblRidershipData[[#This Row],[MeasurementDate]])</f>
        <v>46</v>
      </c>
      <c r="K1404" s="19">
        <f>MONTH(tblRidershipData[[#This Row],[MeasurementDate]])</f>
        <v>11</v>
      </c>
    </row>
    <row r="1405" spans="1:11" x14ac:dyDescent="0.25">
      <c r="A1405" s="31">
        <v>43780</v>
      </c>
      <c r="B1405" t="s">
        <v>2</v>
      </c>
      <c r="C1405" s="31">
        <v>6550</v>
      </c>
      <c r="D1405" t="s">
        <v>92</v>
      </c>
      <c r="E1405" t="s">
        <v>111</v>
      </c>
      <c r="F1405">
        <v>2</v>
      </c>
      <c r="G1405" t="s">
        <v>47</v>
      </c>
      <c r="H1405" t="s">
        <v>110</v>
      </c>
      <c r="I1405">
        <v>14</v>
      </c>
      <c r="J1405" s="19">
        <f>WEEKNUM(tblRidershipData[[#This Row],[MeasurementDate]])</f>
        <v>46</v>
      </c>
      <c r="K1405" s="19">
        <f>MONTH(tblRidershipData[[#This Row],[MeasurementDate]])</f>
        <v>11</v>
      </c>
    </row>
    <row r="1406" spans="1:11" x14ac:dyDescent="0.25">
      <c r="A1406" s="31">
        <v>43780</v>
      </c>
      <c r="B1406" t="s">
        <v>2</v>
      </c>
      <c r="C1406" s="31">
        <v>6550</v>
      </c>
      <c r="D1406" t="s">
        <v>92</v>
      </c>
      <c r="E1406" t="s">
        <v>111</v>
      </c>
      <c r="F1406">
        <v>2</v>
      </c>
      <c r="G1406" t="s">
        <v>49</v>
      </c>
      <c r="H1406" t="s">
        <v>110</v>
      </c>
      <c r="I1406">
        <v>2</v>
      </c>
      <c r="J1406" s="19">
        <f>WEEKNUM(tblRidershipData[[#This Row],[MeasurementDate]])</f>
        <v>46</v>
      </c>
      <c r="K1406" s="19">
        <f>MONTH(tblRidershipData[[#This Row],[MeasurementDate]])</f>
        <v>11</v>
      </c>
    </row>
    <row r="1407" spans="1:11" x14ac:dyDescent="0.25">
      <c r="A1407" s="31">
        <v>43780</v>
      </c>
      <c r="B1407" t="s">
        <v>2</v>
      </c>
      <c r="C1407" s="31">
        <v>6550</v>
      </c>
      <c r="D1407" t="s">
        <v>92</v>
      </c>
      <c r="E1407" t="s">
        <v>111</v>
      </c>
      <c r="F1407">
        <v>2</v>
      </c>
      <c r="G1407" t="s">
        <v>54</v>
      </c>
      <c r="H1407" t="s">
        <v>110</v>
      </c>
      <c r="I1407">
        <v>15</v>
      </c>
      <c r="J1407" s="19">
        <f>WEEKNUM(tblRidershipData[[#This Row],[MeasurementDate]])</f>
        <v>46</v>
      </c>
      <c r="K1407" s="19">
        <f>MONTH(tblRidershipData[[#This Row],[MeasurementDate]])</f>
        <v>11</v>
      </c>
    </row>
    <row r="1408" spans="1:11" x14ac:dyDescent="0.25">
      <c r="A1408" s="31">
        <v>43780</v>
      </c>
      <c r="B1408" t="s">
        <v>2</v>
      </c>
      <c r="C1408" s="31">
        <v>6550</v>
      </c>
      <c r="D1408" t="s">
        <v>92</v>
      </c>
      <c r="E1408" t="s">
        <v>111</v>
      </c>
      <c r="F1408">
        <v>2</v>
      </c>
      <c r="G1408" t="s">
        <v>58</v>
      </c>
      <c r="H1408" t="s">
        <v>110</v>
      </c>
      <c r="I1408">
        <v>6</v>
      </c>
      <c r="J1408" s="19">
        <f>WEEKNUM(tblRidershipData[[#This Row],[MeasurementDate]])</f>
        <v>46</v>
      </c>
      <c r="K1408" s="19">
        <f>MONTH(tblRidershipData[[#This Row],[MeasurementDate]])</f>
        <v>11</v>
      </c>
    </row>
    <row r="1409" spans="1:11" x14ac:dyDescent="0.25">
      <c r="A1409" s="31">
        <v>43780</v>
      </c>
      <c r="B1409" t="s">
        <v>2</v>
      </c>
      <c r="C1409" s="31">
        <v>6550</v>
      </c>
      <c r="D1409" t="s">
        <v>92</v>
      </c>
      <c r="E1409" t="s">
        <v>111</v>
      </c>
      <c r="F1409">
        <v>2</v>
      </c>
      <c r="G1409" t="s">
        <v>59</v>
      </c>
      <c r="H1409" t="s">
        <v>110</v>
      </c>
      <c r="I1409">
        <v>2</v>
      </c>
      <c r="J1409" s="19">
        <f>WEEKNUM(tblRidershipData[[#This Row],[MeasurementDate]])</f>
        <v>46</v>
      </c>
      <c r="K1409" s="19">
        <f>MONTH(tblRidershipData[[#This Row],[MeasurementDate]])</f>
        <v>11</v>
      </c>
    </row>
    <row r="1410" spans="1:11" x14ac:dyDescent="0.25">
      <c r="A1410" s="31">
        <v>43780</v>
      </c>
      <c r="B1410" t="s">
        <v>2</v>
      </c>
      <c r="C1410" s="31">
        <v>6550</v>
      </c>
      <c r="D1410" t="s">
        <v>92</v>
      </c>
      <c r="E1410" t="s">
        <v>111</v>
      </c>
      <c r="F1410">
        <v>2</v>
      </c>
      <c r="G1410" t="s">
        <v>62</v>
      </c>
      <c r="H1410" t="s">
        <v>110</v>
      </c>
      <c r="I1410">
        <v>10</v>
      </c>
      <c r="J1410" s="19">
        <f>WEEKNUM(tblRidershipData[[#This Row],[MeasurementDate]])</f>
        <v>46</v>
      </c>
      <c r="K1410" s="19">
        <f>MONTH(tblRidershipData[[#This Row],[MeasurementDate]])</f>
        <v>11</v>
      </c>
    </row>
    <row r="1411" spans="1:11" x14ac:dyDescent="0.25">
      <c r="A1411" s="31">
        <v>43780</v>
      </c>
      <c r="B1411" t="s">
        <v>2</v>
      </c>
      <c r="C1411" s="31">
        <v>6550</v>
      </c>
      <c r="D1411" t="s">
        <v>92</v>
      </c>
      <c r="E1411" t="s">
        <v>111</v>
      </c>
      <c r="F1411">
        <v>2</v>
      </c>
      <c r="G1411" t="s">
        <v>64</v>
      </c>
      <c r="H1411" t="s">
        <v>110</v>
      </c>
      <c r="I1411">
        <v>9</v>
      </c>
      <c r="J1411" s="19">
        <f>WEEKNUM(tblRidershipData[[#This Row],[MeasurementDate]])</f>
        <v>46</v>
      </c>
      <c r="K1411" s="19">
        <f>MONTH(tblRidershipData[[#This Row],[MeasurementDate]])</f>
        <v>11</v>
      </c>
    </row>
    <row r="1412" spans="1:11" x14ac:dyDescent="0.25">
      <c r="A1412" s="31">
        <v>43780</v>
      </c>
      <c r="B1412" t="s">
        <v>2</v>
      </c>
      <c r="C1412" s="31">
        <v>6550</v>
      </c>
      <c r="D1412" t="s">
        <v>92</v>
      </c>
      <c r="E1412" t="s">
        <v>111</v>
      </c>
      <c r="F1412">
        <v>2</v>
      </c>
      <c r="G1412" t="s">
        <v>67</v>
      </c>
      <c r="H1412" t="s">
        <v>110</v>
      </c>
      <c r="I1412">
        <v>7</v>
      </c>
      <c r="J1412" s="19">
        <f>WEEKNUM(tblRidershipData[[#This Row],[MeasurementDate]])</f>
        <v>46</v>
      </c>
      <c r="K1412" s="19">
        <f>MONTH(tblRidershipData[[#This Row],[MeasurementDate]])</f>
        <v>11</v>
      </c>
    </row>
    <row r="1413" spans="1:11" x14ac:dyDescent="0.25">
      <c r="A1413" s="31">
        <v>43780</v>
      </c>
      <c r="B1413" t="s">
        <v>2</v>
      </c>
      <c r="C1413" s="31">
        <v>6550</v>
      </c>
      <c r="D1413" t="s">
        <v>92</v>
      </c>
      <c r="E1413" t="s">
        <v>111</v>
      </c>
      <c r="F1413">
        <v>2</v>
      </c>
      <c r="G1413" t="s">
        <v>73</v>
      </c>
      <c r="H1413" t="s">
        <v>110</v>
      </c>
      <c r="I1413">
        <v>12</v>
      </c>
      <c r="J1413" s="19">
        <f>WEEKNUM(tblRidershipData[[#This Row],[MeasurementDate]])</f>
        <v>46</v>
      </c>
      <c r="K1413" s="19">
        <f>MONTH(tblRidershipData[[#This Row],[MeasurementDate]])</f>
        <v>11</v>
      </c>
    </row>
    <row r="1414" spans="1:11" x14ac:dyDescent="0.25">
      <c r="A1414" s="31">
        <v>43780</v>
      </c>
      <c r="B1414" t="s">
        <v>2</v>
      </c>
      <c r="C1414" s="31">
        <v>6550</v>
      </c>
      <c r="D1414" t="s">
        <v>91</v>
      </c>
      <c r="E1414" t="s">
        <v>109</v>
      </c>
      <c r="F1414">
        <v>2</v>
      </c>
      <c r="G1414" t="s">
        <v>52</v>
      </c>
      <c r="H1414" t="s">
        <v>110</v>
      </c>
      <c r="I1414">
        <v>28</v>
      </c>
      <c r="J1414" s="19">
        <f>WEEKNUM(tblRidershipData[[#This Row],[MeasurementDate]])</f>
        <v>46</v>
      </c>
      <c r="K1414" s="19">
        <f>MONTH(tblRidershipData[[#This Row],[MeasurementDate]])</f>
        <v>11</v>
      </c>
    </row>
    <row r="1415" spans="1:11" x14ac:dyDescent="0.25">
      <c r="A1415" s="31">
        <v>43780</v>
      </c>
      <c r="B1415" t="s">
        <v>2</v>
      </c>
      <c r="C1415" s="31">
        <v>6550</v>
      </c>
      <c r="D1415" t="s">
        <v>91</v>
      </c>
      <c r="E1415" t="s">
        <v>109</v>
      </c>
      <c r="F1415">
        <v>2</v>
      </c>
      <c r="G1415" t="s">
        <v>67</v>
      </c>
      <c r="H1415" t="s">
        <v>110</v>
      </c>
      <c r="I1415">
        <v>21</v>
      </c>
      <c r="J1415" s="19">
        <f>WEEKNUM(tblRidershipData[[#This Row],[MeasurementDate]])</f>
        <v>46</v>
      </c>
      <c r="K1415" s="19">
        <f>MONTH(tblRidershipData[[#This Row],[MeasurementDate]])</f>
        <v>11</v>
      </c>
    </row>
    <row r="1416" spans="1:11" x14ac:dyDescent="0.25">
      <c r="A1416" s="31">
        <v>43780</v>
      </c>
      <c r="B1416" t="s">
        <v>2</v>
      </c>
      <c r="C1416" s="31">
        <v>6553</v>
      </c>
      <c r="D1416" t="s">
        <v>100</v>
      </c>
      <c r="E1416" t="s">
        <v>111</v>
      </c>
      <c r="F1416">
        <v>1</v>
      </c>
      <c r="G1416" t="s">
        <v>43</v>
      </c>
      <c r="H1416" t="s">
        <v>110</v>
      </c>
      <c r="I1416">
        <v>16</v>
      </c>
      <c r="J1416" s="19">
        <f>WEEKNUM(tblRidershipData[[#This Row],[MeasurementDate]])</f>
        <v>46</v>
      </c>
      <c r="K1416" s="19">
        <f>MONTH(tblRidershipData[[#This Row],[MeasurementDate]])</f>
        <v>11</v>
      </c>
    </row>
    <row r="1417" spans="1:11" x14ac:dyDescent="0.25">
      <c r="A1417" s="31">
        <v>43780</v>
      </c>
      <c r="B1417" t="s">
        <v>2</v>
      </c>
      <c r="C1417" s="31">
        <v>6553</v>
      </c>
      <c r="D1417" t="s">
        <v>100</v>
      </c>
      <c r="E1417" t="s">
        <v>111</v>
      </c>
      <c r="F1417">
        <v>1</v>
      </c>
      <c r="G1417" t="s">
        <v>44</v>
      </c>
      <c r="H1417" t="s">
        <v>110</v>
      </c>
      <c r="I1417">
        <v>6</v>
      </c>
      <c r="J1417" s="19">
        <f>WEEKNUM(tblRidershipData[[#This Row],[MeasurementDate]])</f>
        <v>46</v>
      </c>
      <c r="K1417" s="19">
        <f>MONTH(tblRidershipData[[#This Row],[MeasurementDate]])</f>
        <v>11</v>
      </c>
    </row>
    <row r="1418" spans="1:11" x14ac:dyDescent="0.25">
      <c r="A1418" s="31">
        <v>43780</v>
      </c>
      <c r="B1418" t="s">
        <v>2</v>
      </c>
      <c r="C1418" s="31">
        <v>6553</v>
      </c>
      <c r="D1418" t="s">
        <v>100</v>
      </c>
      <c r="E1418" t="s">
        <v>111</v>
      </c>
      <c r="F1418">
        <v>1</v>
      </c>
      <c r="G1418" t="s">
        <v>45</v>
      </c>
      <c r="H1418" t="s">
        <v>110</v>
      </c>
      <c r="I1418">
        <v>3</v>
      </c>
      <c r="J1418" s="19">
        <f>WEEKNUM(tblRidershipData[[#This Row],[MeasurementDate]])</f>
        <v>46</v>
      </c>
      <c r="K1418" s="19">
        <f>MONTH(tblRidershipData[[#This Row],[MeasurementDate]])</f>
        <v>11</v>
      </c>
    </row>
    <row r="1419" spans="1:11" x14ac:dyDescent="0.25">
      <c r="A1419" s="31">
        <v>43780</v>
      </c>
      <c r="B1419" t="s">
        <v>2</v>
      </c>
      <c r="C1419" s="31">
        <v>6553</v>
      </c>
      <c r="D1419" t="s">
        <v>100</v>
      </c>
      <c r="E1419" t="s">
        <v>111</v>
      </c>
      <c r="F1419">
        <v>1</v>
      </c>
      <c r="G1419" t="s">
        <v>46</v>
      </c>
      <c r="H1419" t="s">
        <v>110</v>
      </c>
      <c r="I1419">
        <v>18</v>
      </c>
      <c r="J1419" s="19">
        <f>WEEKNUM(tblRidershipData[[#This Row],[MeasurementDate]])</f>
        <v>46</v>
      </c>
      <c r="K1419" s="19">
        <f>MONTH(tblRidershipData[[#This Row],[MeasurementDate]])</f>
        <v>11</v>
      </c>
    </row>
    <row r="1420" spans="1:11" x14ac:dyDescent="0.25">
      <c r="A1420" s="31">
        <v>43780</v>
      </c>
      <c r="B1420" t="s">
        <v>2</v>
      </c>
      <c r="C1420" s="31">
        <v>6553</v>
      </c>
      <c r="D1420" t="s">
        <v>100</v>
      </c>
      <c r="E1420" t="s">
        <v>111</v>
      </c>
      <c r="F1420">
        <v>1</v>
      </c>
      <c r="G1420" t="s">
        <v>48</v>
      </c>
      <c r="H1420" t="s">
        <v>110</v>
      </c>
      <c r="I1420">
        <v>7</v>
      </c>
      <c r="J1420" s="19">
        <f>WEEKNUM(tblRidershipData[[#This Row],[MeasurementDate]])</f>
        <v>46</v>
      </c>
      <c r="K1420" s="19">
        <f>MONTH(tblRidershipData[[#This Row],[MeasurementDate]])</f>
        <v>11</v>
      </c>
    </row>
    <row r="1421" spans="1:11" x14ac:dyDescent="0.25">
      <c r="A1421" s="31">
        <v>43780</v>
      </c>
      <c r="B1421" t="s">
        <v>2</v>
      </c>
      <c r="C1421" s="31">
        <v>6553</v>
      </c>
      <c r="D1421" t="s">
        <v>100</v>
      </c>
      <c r="E1421" t="s">
        <v>111</v>
      </c>
      <c r="F1421">
        <v>1</v>
      </c>
      <c r="G1421" t="s">
        <v>56</v>
      </c>
      <c r="H1421" t="s">
        <v>110</v>
      </c>
      <c r="I1421">
        <v>2</v>
      </c>
      <c r="J1421" s="19">
        <f>WEEKNUM(tblRidershipData[[#This Row],[MeasurementDate]])</f>
        <v>46</v>
      </c>
      <c r="K1421" s="19">
        <f>MONTH(tblRidershipData[[#This Row],[MeasurementDate]])</f>
        <v>11</v>
      </c>
    </row>
    <row r="1422" spans="1:11" x14ac:dyDescent="0.25">
      <c r="A1422" s="31">
        <v>43780</v>
      </c>
      <c r="B1422" t="s">
        <v>2</v>
      </c>
      <c r="C1422" s="31">
        <v>6553</v>
      </c>
      <c r="D1422" t="s">
        <v>100</v>
      </c>
      <c r="E1422" t="s">
        <v>111</v>
      </c>
      <c r="F1422">
        <v>1</v>
      </c>
      <c r="G1422" t="s">
        <v>67</v>
      </c>
      <c r="H1422" t="s">
        <v>110</v>
      </c>
      <c r="I1422">
        <v>5</v>
      </c>
      <c r="J1422" s="19">
        <f>WEEKNUM(tblRidershipData[[#This Row],[MeasurementDate]])</f>
        <v>46</v>
      </c>
      <c r="K1422" s="19">
        <f>MONTH(tblRidershipData[[#This Row],[MeasurementDate]])</f>
        <v>11</v>
      </c>
    </row>
    <row r="1423" spans="1:11" x14ac:dyDescent="0.25">
      <c r="A1423" s="31">
        <v>43780</v>
      </c>
      <c r="B1423" t="s">
        <v>2</v>
      </c>
      <c r="C1423" s="31">
        <v>6553</v>
      </c>
      <c r="D1423" t="s">
        <v>100</v>
      </c>
      <c r="E1423" t="s">
        <v>111</v>
      </c>
      <c r="F1423">
        <v>1</v>
      </c>
      <c r="G1423" t="s">
        <v>69</v>
      </c>
      <c r="H1423" t="s">
        <v>110</v>
      </c>
      <c r="I1423">
        <v>9</v>
      </c>
      <c r="J1423" s="19">
        <f>WEEKNUM(tblRidershipData[[#This Row],[MeasurementDate]])</f>
        <v>46</v>
      </c>
      <c r="K1423" s="19">
        <f>MONTH(tblRidershipData[[#This Row],[MeasurementDate]])</f>
        <v>11</v>
      </c>
    </row>
    <row r="1424" spans="1:11" x14ac:dyDescent="0.25">
      <c r="A1424" s="31">
        <v>43780</v>
      </c>
      <c r="B1424" t="s">
        <v>2</v>
      </c>
      <c r="C1424" s="31">
        <v>6553</v>
      </c>
      <c r="D1424" t="s">
        <v>100</v>
      </c>
      <c r="E1424" t="s">
        <v>111</v>
      </c>
      <c r="F1424">
        <v>2</v>
      </c>
      <c r="G1424" t="s">
        <v>70</v>
      </c>
      <c r="H1424" t="s">
        <v>110</v>
      </c>
      <c r="I1424">
        <v>3</v>
      </c>
      <c r="J1424" s="19">
        <f>WEEKNUM(tblRidershipData[[#This Row],[MeasurementDate]])</f>
        <v>46</v>
      </c>
      <c r="K1424" s="19">
        <f>MONTH(tblRidershipData[[#This Row],[MeasurementDate]])</f>
        <v>11</v>
      </c>
    </row>
    <row r="1425" spans="1:11" x14ac:dyDescent="0.25">
      <c r="A1425" s="31">
        <v>43780</v>
      </c>
      <c r="B1425" t="s">
        <v>2</v>
      </c>
      <c r="C1425" s="31">
        <v>6553</v>
      </c>
      <c r="D1425" t="s">
        <v>100</v>
      </c>
      <c r="E1425" t="s">
        <v>109</v>
      </c>
      <c r="F1425">
        <v>1</v>
      </c>
      <c r="G1425" t="s">
        <v>52</v>
      </c>
      <c r="H1425" t="s">
        <v>110</v>
      </c>
      <c r="I1425">
        <v>8</v>
      </c>
      <c r="J1425" s="19">
        <f>WEEKNUM(tblRidershipData[[#This Row],[MeasurementDate]])</f>
        <v>46</v>
      </c>
      <c r="K1425" s="19">
        <f>MONTH(tblRidershipData[[#This Row],[MeasurementDate]])</f>
        <v>11</v>
      </c>
    </row>
    <row r="1426" spans="1:11" x14ac:dyDescent="0.25">
      <c r="A1426" s="31">
        <v>43780</v>
      </c>
      <c r="B1426" t="s">
        <v>2</v>
      </c>
      <c r="C1426" s="31">
        <v>6553</v>
      </c>
      <c r="D1426" t="s">
        <v>100</v>
      </c>
      <c r="E1426" t="s">
        <v>109</v>
      </c>
      <c r="F1426">
        <v>1</v>
      </c>
      <c r="G1426" t="s">
        <v>70</v>
      </c>
      <c r="H1426" t="s">
        <v>110</v>
      </c>
      <c r="I1426">
        <v>2</v>
      </c>
      <c r="J1426" s="19">
        <f>WEEKNUM(tblRidershipData[[#This Row],[MeasurementDate]])</f>
        <v>46</v>
      </c>
      <c r="K1426" s="19">
        <f>MONTH(tblRidershipData[[#This Row],[MeasurementDate]])</f>
        <v>11</v>
      </c>
    </row>
    <row r="1427" spans="1:11" x14ac:dyDescent="0.25">
      <c r="A1427" s="31">
        <v>43780</v>
      </c>
      <c r="B1427" t="s">
        <v>2</v>
      </c>
      <c r="C1427" s="31">
        <v>6553</v>
      </c>
      <c r="D1427" t="s">
        <v>100</v>
      </c>
      <c r="E1427" t="s">
        <v>109</v>
      </c>
      <c r="F1427">
        <v>1</v>
      </c>
      <c r="G1427" t="s">
        <v>72</v>
      </c>
      <c r="H1427" t="s">
        <v>110</v>
      </c>
      <c r="I1427">
        <v>1</v>
      </c>
      <c r="J1427" s="19">
        <f>WEEKNUM(tblRidershipData[[#This Row],[MeasurementDate]])</f>
        <v>46</v>
      </c>
      <c r="K1427" s="19">
        <f>MONTH(tblRidershipData[[#This Row],[MeasurementDate]])</f>
        <v>11</v>
      </c>
    </row>
    <row r="1428" spans="1:11" x14ac:dyDescent="0.25">
      <c r="A1428" s="31">
        <v>43780</v>
      </c>
      <c r="B1428" t="s">
        <v>2</v>
      </c>
      <c r="C1428" s="31">
        <v>6553</v>
      </c>
      <c r="D1428" t="s">
        <v>100</v>
      </c>
      <c r="E1428" t="s">
        <v>109</v>
      </c>
      <c r="F1428">
        <v>1</v>
      </c>
      <c r="G1428" t="s">
        <v>73</v>
      </c>
      <c r="H1428" t="s">
        <v>110</v>
      </c>
      <c r="I1428">
        <v>27</v>
      </c>
      <c r="J1428" s="19">
        <f>WEEKNUM(tblRidershipData[[#This Row],[MeasurementDate]])</f>
        <v>46</v>
      </c>
      <c r="K1428" s="19">
        <f>MONTH(tblRidershipData[[#This Row],[MeasurementDate]])</f>
        <v>11</v>
      </c>
    </row>
    <row r="1429" spans="1:11" x14ac:dyDescent="0.25">
      <c r="A1429" s="31">
        <v>43780</v>
      </c>
      <c r="B1429" t="s">
        <v>2</v>
      </c>
      <c r="C1429" s="31">
        <v>6553</v>
      </c>
      <c r="D1429" t="s">
        <v>100</v>
      </c>
      <c r="E1429" t="s">
        <v>111</v>
      </c>
      <c r="F1429">
        <v>1</v>
      </c>
      <c r="G1429" t="s">
        <v>51</v>
      </c>
      <c r="H1429" t="s">
        <v>112</v>
      </c>
      <c r="I1429">
        <v>4</v>
      </c>
      <c r="J1429" s="19">
        <f>WEEKNUM(tblRidershipData[[#This Row],[MeasurementDate]])</f>
        <v>46</v>
      </c>
      <c r="K1429" s="19">
        <f>MONTH(tblRidershipData[[#This Row],[MeasurementDate]])</f>
        <v>11</v>
      </c>
    </row>
    <row r="1430" spans="1:11" x14ac:dyDescent="0.25">
      <c r="A1430" s="31">
        <v>43780</v>
      </c>
      <c r="B1430" t="s">
        <v>2</v>
      </c>
      <c r="C1430" s="31">
        <v>6553</v>
      </c>
      <c r="D1430" t="s">
        <v>100</v>
      </c>
      <c r="E1430" t="s">
        <v>111</v>
      </c>
      <c r="F1430">
        <v>1</v>
      </c>
      <c r="G1430" t="s">
        <v>56</v>
      </c>
      <c r="H1430" t="s">
        <v>112</v>
      </c>
      <c r="I1430">
        <v>3</v>
      </c>
      <c r="J1430" s="19">
        <f>WEEKNUM(tblRidershipData[[#This Row],[MeasurementDate]])</f>
        <v>46</v>
      </c>
      <c r="K1430" s="19">
        <f>MONTH(tblRidershipData[[#This Row],[MeasurementDate]])</f>
        <v>11</v>
      </c>
    </row>
    <row r="1431" spans="1:11" x14ac:dyDescent="0.25">
      <c r="A1431" s="31">
        <v>43780</v>
      </c>
      <c r="B1431" t="s">
        <v>2</v>
      </c>
      <c r="C1431" s="31">
        <v>6553</v>
      </c>
      <c r="D1431" t="s">
        <v>100</v>
      </c>
      <c r="E1431" t="s">
        <v>111</v>
      </c>
      <c r="F1431">
        <v>1</v>
      </c>
      <c r="G1431" t="s">
        <v>64</v>
      </c>
      <c r="H1431" t="s">
        <v>112</v>
      </c>
      <c r="I1431">
        <v>2</v>
      </c>
      <c r="J1431" s="19">
        <f>WEEKNUM(tblRidershipData[[#This Row],[MeasurementDate]])</f>
        <v>46</v>
      </c>
      <c r="K1431" s="19">
        <f>MONTH(tblRidershipData[[#This Row],[MeasurementDate]])</f>
        <v>11</v>
      </c>
    </row>
    <row r="1432" spans="1:11" x14ac:dyDescent="0.25">
      <c r="A1432" s="31">
        <v>43780</v>
      </c>
      <c r="B1432" t="s">
        <v>2</v>
      </c>
      <c r="C1432" s="31">
        <v>6553</v>
      </c>
      <c r="D1432" t="s">
        <v>100</v>
      </c>
      <c r="E1432" t="s">
        <v>111</v>
      </c>
      <c r="F1432">
        <v>1</v>
      </c>
      <c r="G1432" t="s">
        <v>67</v>
      </c>
      <c r="H1432" t="s">
        <v>112</v>
      </c>
      <c r="I1432">
        <v>50</v>
      </c>
      <c r="J1432" s="19">
        <f>WEEKNUM(tblRidershipData[[#This Row],[MeasurementDate]])</f>
        <v>46</v>
      </c>
      <c r="K1432" s="19">
        <f>MONTH(tblRidershipData[[#This Row],[MeasurementDate]])</f>
        <v>11</v>
      </c>
    </row>
    <row r="1433" spans="1:11" x14ac:dyDescent="0.25">
      <c r="A1433" s="31">
        <v>43780</v>
      </c>
      <c r="B1433" t="s">
        <v>2</v>
      </c>
      <c r="C1433" s="31">
        <v>6553</v>
      </c>
      <c r="D1433" t="s">
        <v>100</v>
      </c>
      <c r="E1433" t="s">
        <v>111</v>
      </c>
      <c r="F1433">
        <v>1</v>
      </c>
      <c r="G1433" t="s">
        <v>70</v>
      </c>
      <c r="H1433" t="s">
        <v>112</v>
      </c>
      <c r="I1433">
        <v>1</v>
      </c>
      <c r="J1433" s="19">
        <f>WEEKNUM(tblRidershipData[[#This Row],[MeasurementDate]])</f>
        <v>46</v>
      </c>
      <c r="K1433" s="19">
        <f>MONTH(tblRidershipData[[#This Row],[MeasurementDate]])</f>
        <v>11</v>
      </c>
    </row>
    <row r="1434" spans="1:11" x14ac:dyDescent="0.25">
      <c r="A1434" s="31">
        <v>43780</v>
      </c>
      <c r="B1434" t="s">
        <v>2</v>
      </c>
      <c r="C1434" s="31">
        <v>6553</v>
      </c>
      <c r="D1434" t="s">
        <v>100</v>
      </c>
      <c r="E1434" t="s">
        <v>111</v>
      </c>
      <c r="F1434">
        <v>1</v>
      </c>
      <c r="G1434" t="s">
        <v>73</v>
      </c>
      <c r="H1434" t="s">
        <v>112</v>
      </c>
      <c r="I1434">
        <v>9</v>
      </c>
      <c r="J1434" s="19">
        <f>WEEKNUM(tblRidershipData[[#This Row],[MeasurementDate]])</f>
        <v>46</v>
      </c>
      <c r="K1434" s="19">
        <f>MONTH(tblRidershipData[[#This Row],[MeasurementDate]])</f>
        <v>11</v>
      </c>
    </row>
    <row r="1435" spans="1:11" x14ac:dyDescent="0.25">
      <c r="A1435" s="31">
        <v>43780</v>
      </c>
      <c r="B1435" t="s">
        <v>2</v>
      </c>
      <c r="C1435" s="31">
        <v>6553</v>
      </c>
      <c r="D1435" t="s">
        <v>100</v>
      </c>
      <c r="E1435" t="s">
        <v>109</v>
      </c>
      <c r="F1435">
        <v>1</v>
      </c>
      <c r="G1435" t="s">
        <v>45</v>
      </c>
      <c r="H1435" t="s">
        <v>112</v>
      </c>
      <c r="I1435">
        <v>3</v>
      </c>
      <c r="J1435" s="19">
        <f>WEEKNUM(tblRidershipData[[#This Row],[MeasurementDate]])</f>
        <v>46</v>
      </c>
      <c r="K1435" s="19">
        <f>MONTH(tblRidershipData[[#This Row],[MeasurementDate]])</f>
        <v>11</v>
      </c>
    </row>
    <row r="1436" spans="1:11" x14ac:dyDescent="0.25">
      <c r="A1436" s="31">
        <v>43780</v>
      </c>
      <c r="B1436" t="s">
        <v>2</v>
      </c>
      <c r="C1436" s="31">
        <v>6553</v>
      </c>
      <c r="D1436" t="s">
        <v>100</v>
      </c>
      <c r="E1436" t="s">
        <v>109</v>
      </c>
      <c r="F1436">
        <v>1</v>
      </c>
      <c r="G1436" t="s">
        <v>47</v>
      </c>
      <c r="H1436" t="s">
        <v>112</v>
      </c>
      <c r="I1436">
        <v>1</v>
      </c>
      <c r="J1436" s="19">
        <f>WEEKNUM(tblRidershipData[[#This Row],[MeasurementDate]])</f>
        <v>46</v>
      </c>
      <c r="K1436" s="19">
        <f>MONTH(tblRidershipData[[#This Row],[MeasurementDate]])</f>
        <v>11</v>
      </c>
    </row>
    <row r="1437" spans="1:11" x14ac:dyDescent="0.25">
      <c r="A1437" s="31">
        <v>43780</v>
      </c>
      <c r="B1437" t="s">
        <v>2</v>
      </c>
      <c r="C1437" s="31">
        <v>6553</v>
      </c>
      <c r="D1437" t="s">
        <v>100</v>
      </c>
      <c r="E1437" t="s">
        <v>109</v>
      </c>
      <c r="F1437">
        <v>1</v>
      </c>
      <c r="G1437" t="s">
        <v>49</v>
      </c>
      <c r="H1437" t="s">
        <v>112</v>
      </c>
      <c r="I1437">
        <v>2</v>
      </c>
      <c r="J1437" s="19">
        <f>WEEKNUM(tblRidershipData[[#This Row],[MeasurementDate]])</f>
        <v>46</v>
      </c>
      <c r="K1437" s="19">
        <f>MONTH(tblRidershipData[[#This Row],[MeasurementDate]])</f>
        <v>11</v>
      </c>
    </row>
    <row r="1438" spans="1:11" x14ac:dyDescent="0.25">
      <c r="A1438" s="31">
        <v>43780</v>
      </c>
      <c r="B1438" t="s">
        <v>2</v>
      </c>
      <c r="C1438" s="31">
        <v>6553</v>
      </c>
      <c r="D1438" t="s">
        <v>100</v>
      </c>
      <c r="E1438" t="s">
        <v>109</v>
      </c>
      <c r="F1438">
        <v>1</v>
      </c>
      <c r="G1438" t="s">
        <v>50</v>
      </c>
      <c r="H1438" t="s">
        <v>112</v>
      </c>
      <c r="I1438">
        <v>1</v>
      </c>
      <c r="J1438" s="19">
        <f>WEEKNUM(tblRidershipData[[#This Row],[MeasurementDate]])</f>
        <v>46</v>
      </c>
      <c r="K1438" s="19">
        <f>MONTH(tblRidershipData[[#This Row],[MeasurementDate]])</f>
        <v>11</v>
      </c>
    </row>
    <row r="1439" spans="1:11" x14ac:dyDescent="0.25">
      <c r="A1439" s="31">
        <v>43780</v>
      </c>
      <c r="B1439" t="s">
        <v>2</v>
      </c>
      <c r="C1439" s="31">
        <v>6553</v>
      </c>
      <c r="D1439" t="s">
        <v>100</v>
      </c>
      <c r="E1439" t="s">
        <v>109</v>
      </c>
      <c r="F1439">
        <v>1</v>
      </c>
      <c r="G1439" t="s">
        <v>54</v>
      </c>
      <c r="H1439" t="s">
        <v>112</v>
      </c>
      <c r="I1439">
        <v>28</v>
      </c>
      <c r="J1439" s="19">
        <f>WEEKNUM(tblRidershipData[[#This Row],[MeasurementDate]])</f>
        <v>46</v>
      </c>
      <c r="K1439" s="19">
        <f>MONTH(tblRidershipData[[#This Row],[MeasurementDate]])</f>
        <v>11</v>
      </c>
    </row>
    <row r="1440" spans="1:11" x14ac:dyDescent="0.25">
      <c r="A1440" s="31">
        <v>43780</v>
      </c>
      <c r="B1440" t="s">
        <v>2</v>
      </c>
      <c r="C1440" s="31">
        <v>6553</v>
      </c>
      <c r="D1440" t="s">
        <v>100</v>
      </c>
      <c r="E1440" t="s">
        <v>109</v>
      </c>
      <c r="F1440">
        <v>1</v>
      </c>
      <c r="G1440" t="s">
        <v>56</v>
      </c>
      <c r="H1440" t="s">
        <v>112</v>
      </c>
      <c r="I1440">
        <v>2</v>
      </c>
      <c r="J1440" s="19">
        <f>WEEKNUM(tblRidershipData[[#This Row],[MeasurementDate]])</f>
        <v>46</v>
      </c>
      <c r="K1440" s="19">
        <f>MONTH(tblRidershipData[[#This Row],[MeasurementDate]])</f>
        <v>11</v>
      </c>
    </row>
    <row r="1441" spans="1:11" x14ac:dyDescent="0.25">
      <c r="A1441" s="31">
        <v>43780</v>
      </c>
      <c r="B1441" t="s">
        <v>2</v>
      </c>
      <c r="C1441" s="31">
        <v>6553</v>
      </c>
      <c r="D1441" t="s">
        <v>100</v>
      </c>
      <c r="E1441" t="s">
        <v>109</v>
      </c>
      <c r="F1441">
        <v>1</v>
      </c>
      <c r="G1441" t="s">
        <v>73</v>
      </c>
      <c r="H1441" t="s">
        <v>112</v>
      </c>
      <c r="I1441">
        <v>3</v>
      </c>
      <c r="J1441" s="19">
        <f>WEEKNUM(tblRidershipData[[#This Row],[MeasurementDate]])</f>
        <v>46</v>
      </c>
      <c r="K1441" s="19">
        <f>MONTH(tblRidershipData[[#This Row],[MeasurementDate]])</f>
        <v>11</v>
      </c>
    </row>
    <row r="1442" spans="1:11" x14ac:dyDescent="0.25">
      <c r="A1442" s="31">
        <v>43780</v>
      </c>
      <c r="B1442" t="s">
        <v>2</v>
      </c>
      <c r="C1442" s="31">
        <v>6553</v>
      </c>
      <c r="D1442" t="s">
        <v>100</v>
      </c>
      <c r="E1442" t="s">
        <v>109</v>
      </c>
      <c r="F1442">
        <v>1</v>
      </c>
      <c r="G1442" t="s">
        <v>77</v>
      </c>
      <c r="H1442" t="s">
        <v>112</v>
      </c>
      <c r="I1442">
        <v>1</v>
      </c>
      <c r="J1442" s="19">
        <f>WEEKNUM(tblRidershipData[[#This Row],[MeasurementDate]])</f>
        <v>46</v>
      </c>
      <c r="K1442" s="19">
        <f>MONTH(tblRidershipData[[#This Row],[MeasurementDate]])</f>
        <v>11</v>
      </c>
    </row>
    <row r="1443" spans="1:11" x14ac:dyDescent="0.25">
      <c r="A1443" s="31">
        <v>43780</v>
      </c>
      <c r="B1443" t="s">
        <v>2</v>
      </c>
      <c r="C1443" s="31">
        <v>8311</v>
      </c>
      <c r="D1443" t="s">
        <v>98</v>
      </c>
      <c r="E1443" t="s">
        <v>111</v>
      </c>
      <c r="F1443">
        <v>1</v>
      </c>
      <c r="G1443" t="s">
        <v>43</v>
      </c>
      <c r="H1443" t="s">
        <v>110</v>
      </c>
      <c r="I1443">
        <v>11</v>
      </c>
      <c r="J1443" s="19">
        <f>WEEKNUM(tblRidershipData[[#This Row],[MeasurementDate]])</f>
        <v>46</v>
      </c>
      <c r="K1443" s="19">
        <f>MONTH(tblRidershipData[[#This Row],[MeasurementDate]])</f>
        <v>11</v>
      </c>
    </row>
    <row r="1444" spans="1:11" x14ac:dyDescent="0.25">
      <c r="A1444" s="31">
        <v>43780</v>
      </c>
      <c r="B1444" t="s">
        <v>2</v>
      </c>
      <c r="C1444" s="31">
        <v>8311</v>
      </c>
      <c r="D1444" t="s">
        <v>98</v>
      </c>
      <c r="E1444" t="s">
        <v>111</v>
      </c>
      <c r="F1444">
        <v>1</v>
      </c>
      <c r="G1444" t="s">
        <v>45</v>
      </c>
      <c r="H1444" t="s">
        <v>110</v>
      </c>
      <c r="I1444">
        <v>3</v>
      </c>
      <c r="J1444" s="19">
        <f>WEEKNUM(tblRidershipData[[#This Row],[MeasurementDate]])</f>
        <v>46</v>
      </c>
      <c r="K1444" s="19">
        <f>MONTH(tblRidershipData[[#This Row],[MeasurementDate]])</f>
        <v>11</v>
      </c>
    </row>
    <row r="1445" spans="1:11" x14ac:dyDescent="0.25">
      <c r="A1445" s="31">
        <v>43780</v>
      </c>
      <c r="B1445" t="s">
        <v>2</v>
      </c>
      <c r="C1445" s="31">
        <v>8311</v>
      </c>
      <c r="D1445" t="s">
        <v>98</v>
      </c>
      <c r="E1445" t="s">
        <v>111</v>
      </c>
      <c r="F1445">
        <v>1</v>
      </c>
      <c r="G1445" t="s">
        <v>47</v>
      </c>
      <c r="H1445" t="s">
        <v>110</v>
      </c>
      <c r="I1445">
        <v>4</v>
      </c>
      <c r="J1445" s="19">
        <f>WEEKNUM(tblRidershipData[[#This Row],[MeasurementDate]])</f>
        <v>46</v>
      </c>
      <c r="K1445" s="19">
        <f>MONTH(tblRidershipData[[#This Row],[MeasurementDate]])</f>
        <v>11</v>
      </c>
    </row>
    <row r="1446" spans="1:11" x14ac:dyDescent="0.25">
      <c r="A1446" s="31">
        <v>43780</v>
      </c>
      <c r="B1446" t="s">
        <v>2</v>
      </c>
      <c r="C1446" s="31">
        <v>8311</v>
      </c>
      <c r="D1446" t="s">
        <v>98</v>
      </c>
      <c r="E1446" t="s">
        <v>111</v>
      </c>
      <c r="F1446">
        <v>1</v>
      </c>
      <c r="G1446" t="s">
        <v>55</v>
      </c>
      <c r="H1446" t="s">
        <v>110</v>
      </c>
      <c r="I1446">
        <v>3</v>
      </c>
      <c r="J1446" s="19">
        <f>WEEKNUM(tblRidershipData[[#This Row],[MeasurementDate]])</f>
        <v>46</v>
      </c>
      <c r="K1446" s="19">
        <f>MONTH(tblRidershipData[[#This Row],[MeasurementDate]])</f>
        <v>11</v>
      </c>
    </row>
    <row r="1447" spans="1:11" x14ac:dyDescent="0.25">
      <c r="A1447" s="31">
        <v>43780</v>
      </c>
      <c r="B1447" t="s">
        <v>2</v>
      </c>
      <c r="C1447" s="31">
        <v>8311</v>
      </c>
      <c r="D1447" t="s">
        <v>98</v>
      </c>
      <c r="E1447" t="s">
        <v>111</v>
      </c>
      <c r="F1447">
        <v>1</v>
      </c>
      <c r="G1447" t="s">
        <v>59</v>
      </c>
      <c r="H1447" t="s">
        <v>110</v>
      </c>
      <c r="I1447">
        <v>7</v>
      </c>
      <c r="J1447" s="19">
        <f>WEEKNUM(tblRidershipData[[#This Row],[MeasurementDate]])</f>
        <v>46</v>
      </c>
      <c r="K1447" s="19">
        <f>MONTH(tblRidershipData[[#This Row],[MeasurementDate]])</f>
        <v>11</v>
      </c>
    </row>
    <row r="1448" spans="1:11" x14ac:dyDescent="0.25">
      <c r="A1448" s="31">
        <v>43780</v>
      </c>
      <c r="B1448" t="s">
        <v>2</v>
      </c>
      <c r="C1448" s="31">
        <v>8311</v>
      </c>
      <c r="D1448" t="s">
        <v>98</v>
      </c>
      <c r="E1448" t="s">
        <v>111</v>
      </c>
      <c r="F1448">
        <v>1</v>
      </c>
      <c r="G1448" t="s">
        <v>67</v>
      </c>
      <c r="H1448" t="s">
        <v>110</v>
      </c>
      <c r="I1448">
        <v>3</v>
      </c>
      <c r="J1448" s="19">
        <f>WEEKNUM(tblRidershipData[[#This Row],[MeasurementDate]])</f>
        <v>46</v>
      </c>
      <c r="K1448" s="19">
        <f>MONTH(tblRidershipData[[#This Row],[MeasurementDate]])</f>
        <v>11</v>
      </c>
    </row>
    <row r="1449" spans="1:11" x14ac:dyDescent="0.25">
      <c r="A1449" s="31">
        <v>43780</v>
      </c>
      <c r="B1449" t="s">
        <v>2</v>
      </c>
      <c r="C1449" s="31">
        <v>8311</v>
      </c>
      <c r="D1449" t="s">
        <v>98</v>
      </c>
      <c r="E1449" t="s">
        <v>111</v>
      </c>
      <c r="F1449">
        <v>1</v>
      </c>
      <c r="G1449" t="s">
        <v>69</v>
      </c>
      <c r="H1449" t="s">
        <v>110</v>
      </c>
      <c r="I1449">
        <v>4</v>
      </c>
      <c r="J1449" s="19">
        <f>WEEKNUM(tblRidershipData[[#This Row],[MeasurementDate]])</f>
        <v>46</v>
      </c>
      <c r="K1449" s="19">
        <f>MONTH(tblRidershipData[[#This Row],[MeasurementDate]])</f>
        <v>11</v>
      </c>
    </row>
    <row r="1450" spans="1:11" x14ac:dyDescent="0.25">
      <c r="A1450" s="31">
        <v>43780</v>
      </c>
      <c r="B1450" t="s">
        <v>2</v>
      </c>
      <c r="C1450" s="31">
        <v>8311</v>
      </c>
      <c r="D1450" t="s">
        <v>98</v>
      </c>
      <c r="E1450" t="s">
        <v>111</v>
      </c>
      <c r="F1450">
        <v>2</v>
      </c>
      <c r="G1450" t="s">
        <v>55</v>
      </c>
      <c r="H1450" t="s">
        <v>110</v>
      </c>
      <c r="I1450">
        <v>1</v>
      </c>
      <c r="J1450" s="19">
        <f>WEEKNUM(tblRidershipData[[#This Row],[MeasurementDate]])</f>
        <v>46</v>
      </c>
      <c r="K1450" s="19">
        <f>MONTH(tblRidershipData[[#This Row],[MeasurementDate]])</f>
        <v>11</v>
      </c>
    </row>
    <row r="1451" spans="1:11" x14ac:dyDescent="0.25">
      <c r="A1451" s="31">
        <v>43780</v>
      </c>
      <c r="B1451" t="s">
        <v>2</v>
      </c>
      <c r="C1451" s="31">
        <v>8311</v>
      </c>
      <c r="D1451" t="s">
        <v>98</v>
      </c>
      <c r="E1451" t="s">
        <v>111</v>
      </c>
      <c r="F1451">
        <v>2</v>
      </c>
      <c r="G1451" t="s">
        <v>67</v>
      </c>
      <c r="H1451" t="s">
        <v>110</v>
      </c>
      <c r="I1451">
        <v>3</v>
      </c>
      <c r="J1451" s="19">
        <f>WEEKNUM(tblRidershipData[[#This Row],[MeasurementDate]])</f>
        <v>46</v>
      </c>
      <c r="K1451" s="19">
        <f>MONTH(tblRidershipData[[#This Row],[MeasurementDate]])</f>
        <v>11</v>
      </c>
    </row>
    <row r="1452" spans="1:11" x14ac:dyDescent="0.25">
      <c r="A1452" s="31">
        <v>43780</v>
      </c>
      <c r="B1452" t="s">
        <v>2</v>
      </c>
      <c r="C1452" s="31">
        <v>8311</v>
      </c>
      <c r="D1452" t="s">
        <v>98</v>
      </c>
      <c r="E1452" t="s">
        <v>111</v>
      </c>
      <c r="F1452">
        <v>2</v>
      </c>
      <c r="G1452" t="s">
        <v>69</v>
      </c>
      <c r="H1452" t="s">
        <v>110</v>
      </c>
      <c r="I1452">
        <v>2</v>
      </c>
      <c r="J1452" s="19">
        <f>WEEKNUM(tblRidershipData[[#This Row],[MeasurementDate]])</f>
        <v>46</v>
      </c>
      <c r="K1452" s="19">
        <f>MONTH(tblRidershipData[[#This Row],[MeasurementDate]])</f>
        <v>11</v>
      </c>
    </row>
    <row r="1453" spans="1:11" x14ac:dyDescent="0.25">
      <c r="A1453" s="31">
        <v>43780</v>
      </c>
      <c r="B1453" t="s">
        <v>2</v>
      </c>
      <c r="C1453" s="31">
        <v>8311</v>
      </c>
      <c r="D1453" t="s">
        <v>98</v>
      </c>
      <c r="E1453" t="s">
        <v>109</v>
      </c>
      <c r="F1453">
        <v>1</v>
      </c>
      <c r="G1453" t="s">
        <v>67</v>
      </c>
      <c r="H1453" t="s">
        <v>110</v>
      </c>
      <c r="I1453">
        <v>32</v>
      </c>
      <c r="J1453" s="19">
        <f>WEEKNUM(tblRidershipData[[#This Row],[MeasurementDate]])</f>
        <v>46</v>
      </c>
      <c r="K1453" s="19">
        <f>MONTH(tblRidershipData[[#This Row],[MeasurementDate]])</f>
        <v>11</v>
      </c>
    </row>
    <row r="1454" spans="1:11" x14ac:dyDescent="0.25">
      <c r="A1454" s="31">
        <v>43780</v>
      </c>
      <c r="B1454" t="s">
        <v>2</v>
      </c>
      <c r="C1454" s="31">
        <v>8311</v>
      </c>
      <c r="D1454" t="s">
        <v>98</v>
      </c>
      <c r="E1454" t="s">
        <v>109</v>
      </c>
      <c r="F1454">
        <v>1</v>
      </c>
      <c r="G1454" t="s">
        <v>73</v>
      </c>
      <c r="H1454" t="s">
        <v>110</v>
      </c>
      <c r="I1454">
        <v>34</v>
      </c>
      <c r="J1454" s="19">
        <f>WEEKNUM(tblRidershipData[[#This Row],[MeasurementDate]])</f>
        <v>46</v>
      </c>
      <c r="K1454" s="19">
        <f>MONTH(tblRidershipData[[#This Row],[MeasurementDate]])</f>
        <v>11</v>
      </c>
    </row>
    <row r="1455" spans="1:11" x14ac:dyDescent="0.25">
      <c r="A1455" s="31">
        <v>43780</v>
      </c>
      <c r="B1455" t="s">
        <v>2</v>
      </c>
      <c r="C1455" s="31">
        <v>8311</v>
      </c>
      <c r="D1455" t="s">
        <v>98</v>
      </c>
      <c r="E1455" t="s">
        <v>109</v>
      </c>
      <c r="F1455">
        <v>2</v>
      </c>
      <c r="G1455" t="s">
        <v>67</v>
      </c>
      <c r="H1455" t="s">
        <v>110</v>
      </c>
      <c r="I1455">
        <v>2</v>
      </c>
      <c r="J1455" s="19">
        <f>WEEKNUM(tblRidershipData[[#This Row],[MeasurementDate]])</f>
        <v>46</v>
      </c>
      <c r="K1455" s="19">
        <f>MONTH(tblRidershipData[[#This Row],[MeasurementDate]])</f>
        <v>11</v>
      </c>
    </row>
    <row r="1456" spans="1:11" x14ac:dyDescent="0.25">
      <c r="A1456" s="31">
        <v>43780</v>
      </c>
      <c r="B1456" t="s">
        <v>2</v>
      </c>
      <c r="C1456" s="31">
        <v>8311</v>
      </c>
      <c r="D1456" t="s">
        <v>98</v>
      </c>
      <c r="E1456" t="s">
        <v>109</v>
      </c>
      <c r="F1456">
        <v>2</v>
      </c>
      <c r="G1456" t="s">
        <v>73</v>
      </c>
      <c r="H1456" t="s">
        <v>110</v>
      </c>
      <c r="I1456">
        <v>5</v>
      </c>
      <c r="J1456" s="19">
        <f>WEEKNUM(tblRidershipData[[#This Row],[MeasurementDate]])</f>
        <v>46</v>
      </c>
      <c r="K1456" s="19">
        <f>MONTH(tblRidershipData[[#This Row],[MeasurementDate]])</f>
        <v>11</v>
      </c>
    </row>
    <row r="1457" spans="1:11" x14ac:dyDescent="0.25">
      <c r="A1457" s="31">
        <v>43780</v>
      </c>
      <c r="B1457" t="s">
        <v>2</v>
      </c>
      <c r="C1457" s="31">
        <v>8311</v>
      </c>
      <c r="D1457" t="s">
        <v>98</v>
      </c>
      <c r="E1457" t="s">
        <v>111</v>
      </c>
      <c r="F1457">
        <v>1</v>
      </c>
      <c r="G1457" t="s">
        <v>52</v>
      </c>
      <c r="H1457" t="s">
        <v>112</v>
      </c>
      <c r="I1457">
        <v>5</v>
      </c>
      <c r="J1457" s="19">
        <f>WEEKNUM(tblRidershipData[[#This Row],[MeasurementDate]])</f>
        <v>46</v>
      </c>
      <c r="K1457" s="19">
        <f>MONTH(tblRidershipData[[#This Row],[MeasurementDate]])</f>
        <v>11</v>
      </c>
    </row>
    <row r="1458" spans="1:11" x14ac:dyDescent="0.25">
      <c r="A1458" s="31">
        <v>43780</v>
      </c>
      <c r="B1458" t="s">
        <v>2</v>
      </c>
      <c r="C1458" s="31">
        <v>8311</v>
      </c>
      <c r="D1458" t="s">
        <v>98</v>
      </c>
      <c r="E1458" t="s">
        <v>111</v>
      </c>
      <c r="F1458">
        <v>1</v>
      </c>
      <c r="G1458" t="s">
        <v>55</v>
      </c>
      <c r="H1458" t="s">
        <v>112</v>
      </c>
      <c r="I1458">
        <v>2</v>
      </c>
      <c r="J1458" s="19">
        <f>WEEKNUM(tblRidershipData[[#This Row],[MeasurementDate]])</f>
        <v>46</v>
      </c>
      <c r="K1458" s="19">
        <f>MONTH(tblRidershipData[[#This Row],[MeasurementDate]])</f>
        <v>11</v>
      </c>
    </row>
    <row r="1459" spans="1:11" x14ac:dyDescent="0.25">
      <c r="A1459" s="31">
        <v>43780</v>
      </c>
      <c r="B1459" t="s">
        <v>2</v>
      </c>
      <c r="C1459" s="31">
        <v>8311</v>
      </c>
      <c r="D1459" t="s">
        <v>98</v>
      </c>
      <c r="E1459" t="s">
        <v>111</v>
      </c>
      <c r="F1459">
        <v>1</v>
      </c>
      <c r="G1459" t="s">
        <v>67</v>
      </c>
      <c r="H1459" t="s">
        <v>112</v>
      </c>
      <c r="I1459">
        <v>23</v>
      </c>
      <c r="J1459" s="19">
        <f>WEEKNUM(tblRidershipData[[#This Row],[MeasurementDate]])</f>
        <v>46</v>
      </c>
      <c r="K1459" s="19">
        <f>MONTH(tblRidershipData[[#This Row],[MeasurementDate]])</f>
        <v>11</v>
      </c>
    </row>
    <row r="1460" spans="1:11" x14ac:dyDescent="0.25">
      <c r="A1460" s="31">
        <v>43780</v>
      </c>
      <c r="B1460" t="s">
        <v>2</v>
      </c>
      <c r="C1460" s="31">
        <v>8311</v>
      </c>
      <c r="D1460" t="s">
        <v>98</v>
      </c>
      <c r="E1460" t="s">
        <v>111</v>
      </c>
      <c r="F1460">
        <v>1</v>
      </c>
      <c r="G1460" t="s">
        <v>73</v>
      </c>
      <c r="H1460" t="s">
        <v>112</v>
      </c>
      <c r="I1460">
        <v>8</v>
      </c>
      <c r="J1460" s="19">
        <f>WEEKNUM(tblRidershipData[[#This Row],[MeasurementDate]])</f>
        <v>46</v>
      </c>
      <c r="K1460" s="19">
        <f>MONTH(tblRidershipData[[#This Row],[MeasurementDate]])</f>
        <v>11</v>
      </c>
    </row>
    <row r="1461" spans="1:11" x14ac:dyDescent="0.25">
      <c r="A1461" s="31">
        <v>43780</v>
      </c>
      <c r="B1461" t="s">
        <v>2</v>
      </c>
      <c r="C1461" s="31">
        <v>8311</v>
      </c>
      <c r="D1461" t="s">
        <v>98</v>
      </c>
      <c r="E1461" t="s">
        <v>111</v>
      </c>
      <c r="F1461">
        <v>2</v>
      </c>
      <c r="G1461" t="s">
        <v>73</v>
      </c>
      <c r="H1461" t="s">
        <v>112</v>
      </c>
      <c r="I1461">
        <v>3</v>
      </c>
      <c r="J1461" s="19">
        <f>WEEKNUM(tblRidershipData[[#This Row],[MeasurementDate]])</f>
        <v>46</v>
      </c>
      <c r="K1461" s="19">
        <f>MONTH(tblRidershipData[[#This Row],[MeasurementDate]])</f>
        <v>11</v>
      </c>
    </row>
    <row r="1462" spans="1:11" x14ac:dyDescent="0.25">
      <c r="A1462" s="31">
        <v>43780</v>
      </c>
      <c r="B1462" t="s">
        <v>2</v>
      </c>
      <c r="C1462" s="31">
        <v>8311</v>
      </c>
      <c r="D1462" t="s">
        <v>98</v>
      </c>
      <c r="E1462" t="s">
        <v>109</v>
      </c>
      <c r="F1462">
        <v>1</v>
      </c>
      <c r="G1462" t="s">
        <v>46</v>
      </c>
      <c r="H1462" t="s">
        <v>112</v>
      </c>
      <c r="I1462">
        <v>29</v>
      </c>
      <c r="J1462" s="19">
        <f>WEEKNUM(tblRidershipData[[#This Row],[MeasurementDate]])</f>
        <v>46</v>
      </c>
      <c r="K1462" s="19">
        <f>MONTH(tblRidershipData[[#This Row],[MeasurementDate]])</f>
        <v>11</v>
      </c>
    </row>
    <row r="1463" spans="1:11" x14ac:dyDescent="0.25">
      <c r="A1463" s="31">
        <v>43780</v>
      </c>
      <c r="B1463" t="s">
        <v>2</v>
      </c>
      <c r="C1463" s="31">
        <v>8311</v>
      </c>
      <c r="D1463" t="s">
        <v>98</v>
      </c>
      <c r="E1463" t="s">
        <v>109</v>
      </c>
      <c r="F1463">
        <v>1</v>
      </c>
      <c r="G1463" t="s">
        <v>50</v>
      </c>
      <c r="H1463" t="s">
        <v>112</v>
      </c>
      <c r="I1463">
        <v>1</v>
      </c>
      <c r="J1463" s="19">
        <f>WEEKNUM(tblRidershipData[[#This Row],[MeasurementDate]])</f>
        <v>46</v>
      </c>
      <c r="K1463" s="19">
        <f>MONTH(tblRidershipData[[#This Row],[MeasurementDate]])</f>
        <v>11</v>
      </c>
    </row>
    <row r="1464" spans="1:11" x14ac:dyDescent="0.25">
      <c r="A1464" s="31">
        <v>43780</v>
      </c>
      <c r="B1464" t="s">
        <v>2</v>
      </c>
      <c r="C1464" s="31">
        <v>8311</v>
      </c>
      <c r="D1464" t="s">
        <v>98</v>
      </c>
      <c r="E1464" t="s">
        <v>109</v>
      </c>
      <c r="F1464">
        <v>1</v>
      </c>
      <c r="G1464" t="s">
        <v>62</v>
      </c>
      <c r="H1464" t="s">
        <v>112</v>
      </c>
      <c r="I1464">
        <v>6</v>
      </c>
      <c r="J1464" s="19">
        <f>WEEKNUM(tblRidershipData[[#This Row],[MeasurementDate]])</f>
        <v>46</v>
      </c>
      <c r="K1464" s="19">
        <f>MONTH(tblRidershipData[[#This Row],[MeasurementDate]])</f>
        <v>11</v>
      </c>
    </row>
    <row r="1465" spans="1:11" x14ac:dyDescent="0.25">
      <c r="A1465" s="31">
        <v>43780</v>
      </c>
      <c r="B1465" t="s">
        <v>2</v>
      </c>
      <c r="C1465" s="31">
        <v>8311</v>
      </c>
      <c r="D1465" t="s">
        <v>98</v>
      </c>
      <c r="E1465" t="s">
        <v>109</v>
      </c>
      <c r="F1465">
        <v>1</v>
      </c>
      <c r="G1465" t="s">
        <v>63</v>
      </c>
      <c r="H1465" t="s">
        <v>112</v>
      </c>
      <c r="I1465">
        <v>2</v>
      </c>
      <c r="J1465" s="19">
        <f>WEEKNUM(tblRidershipData[[#This Row],[MeasurementDate]])</f>
        <v>46</v>
      </c>
      <c r="K1465" s="19">
        <f>MONTH(tblRidershipData[[#This Row],[MeasurementDate]])</f>
        <v>11</v>
      </c>
    </row>
    <row r="1466" spans="1:11" x14ac:dyDescent="0.25">
      <c r="A1466" s="31">
        <v>43780</v>
      </c>
      <c r="B1466" t="s">
        <v>2</v>
      </c>
      <c r="C1466" s="31">
        <v>8311</v>
      </c>
      <c r="D1466" t="s">
        <v>98</v>
      </c>
      <c r="E1466" t="s">
        <v>109</v>
      </c>
      <c r="F1466">
        <v>1</v>
      </c>
      <c r="G1466" t="s">
        <v>64</v>
      </c>
      <c r="H1466" t="s">
        <v>112</v>
      </c>
      <c r="I1466">
        <v>6</v>
      </c>
      <c r="J1466" s="19">
        <f>WEEKNUM(tblRidershipData[[#This Row],[MeasurementDate]])</f>
        <v>46</v>
      </c>
      <c r="K1466" s="19">
        <f>MONTH(tblRidershipData[[#This Row],[MeasurementDate]])</f>
        <v>11</v>
      </c>
    </row>
    <row r="1467" spans="1:11" x14ac:dyDescent="0.25">
      <c r="A1467" s="31">
        <v>43780</v>
      </c>
      <c r="B1467" t="s">
        <v>2</v>
      </c>
      <c r="C1467" s="31">
        <v>8311</v>
      </c>
      <c r="D1467" t="s">
        <v>98</v>
      </c>
      <c r="E1467" t="s">
        <v>109</v>
      </c>
      <c r="F1467">
        <v>1</v>
      </c>
      <c r="G1467" t="s">
        <v>67</v>
      </c>
      <c r="H1467" t="s">
        <v>112</v>
      </c>
      <c r="I1467">
        <v>11</v>
      </c>
      <c r="J1467" s="19">
        <f>WEEKNUM(tblRidershipData[[#This Row],[MeasurementDate]])</f>
        <v>46</v>
      </c>
      <c r="K1467" s="19">
        <f>MONTH(tblRidershipData[[#This Row],[MeasurementDate]])</f>
        <v>11</v>
      </c>
    </row>
    <row r="1468" spans="1:11" x14ac:dyDescent="0.25">
      <c r="A1468" s="31">
        <v>43780</v>
      </c>
      <c r="B1468" t="s">
        <v>2</v>
      </c>
      <c r="C1468" s="31">
        <v>8311</v>
      </c>
      <c r="D1468" t="s">
        <v>98</v>
      </c>
      <c r="E1468" t="s">
        <v>109</v>
      </c>
      <c r="F1468">
        <v>1</v>
      </c>
      <c r="G1468" t="s">
        <v>72</v>
      </c>
      <c r="H1468" t="s">
        <v>112</v>
      </c>
      <c r="I1468">
        <v>14</v>
      </c>
      <c r="J1468" s="19">
        <f>WEEKNUM(tblRidershipData[[#This Row],[MeasurementDate]])</f>
        <v>46</v>
      </c>
      <c r="K1468" s="19">
        <f>MONTH(tblRidershipData[[#This Row],[MeasurementDate]])</f>
        <v>11</v>
      </c>
    </row>
    <row r="1469" spans="1:11" x14ac:dyDescent="0.25">
      <c r="A1469" s="31">
        <v>43780</v>
      </c>
      <c r="B1469" t="s">
        <v>2</v>
      </c>
      <c r="C1469" s="31">
        <v>8311</v>
      </c>
      <c r="D1469" t="s">
        <v>98</v>
      </c>
      <c r="E1469" t="s">
        <v>109</v>
      </c>
      <c r="F1469">
        <v>1</v>
      </c>
      <c r="G1469" t="s">
        <v>73</v>
      </c>
      <c r="H1469" t="s">
        <v>112</v>
      </c>
      <c r="I1469">
        <v>4</v>
      </c>
      <c r="J1469" s="19">
        <f>WEEKNUM(tblRidershipData[[#This Row],[MeasurementDate]])</f>
        <v>46</v>
      </c>
      <c r="K1469" s="19">
        <f>MONTH(tblRidershipData[[#This Row],[MeasurementDate]])</f>
        <v>11</v>
      </c>
    </row>
    <row r="1470" spans="1:11" x14ac:dyDescent="0.25">
      <c r="A1470" s="31">
        <v>43780</v>
      </c>
      <c r="B1470" t="s">
        <v>2</v>
      </c>
      <c r="C1470" s="31">
        <v>9305</v>
      </c>
      <c r="D1470" t="s">
        <v>97</v>
      </c>
      <c r="E1470" t="s">
        <v>111</v>
      </c>
      <c r="F1470">
        <v>1</v>
      </c>
      <c r="G1470" t="s">
        <v>45</v>
      </c>
      <c r="H1470" t="s">
        <v>110</v>
      </c>
      <c r="I1470">
        <v>4</v>
      </c>
      <c r="J1470" s="19">
        <f>WEEKNUM(tblRidershipData[[#This Row],[MeasurementDate]])</f>
        <v>46</v>
      </c>
      <c r="K1470" s="19">
        <f>MONTH(tblRidershipData[[#This Row],[MeasurementDate]])</f>
        <v>11</v>
      </c>
    </row>
    <row r="1471" spans="1:11" x14ac:dyDescent="0.25">
      <c r="A1471" s="31">
        <v>43780</v>
      </c>
      <c r="B1471" t="s">
        <v>2</v>
      </c>
      <c r="C1471" s="31">
        <v>9305</v>
      </c>
      <c r="D1471" t="s">
        <v>97</v>
      </c>
      <c r="E1471" t="s">
        <v>111</v>
      </c>
      <c r="F1471">
        <v>1</v>
      </c>
      <c r="G1471" t="s">
        <v>48</v>
      </c>
      <c r="H1471" t="s">
        <v>110</v>
      </c>
      <c r="I1471">
        <v>7</v>
      </c>
      <c r="J1471" s="19">
        <f>WEEKNUM(tblRidershipData[[#This Row],[MeasurementDate]])</f>
        <v>46</v>
      </c>
      <c r="K1471" s="19">
        <f>MONTH(tblRidershipData[[#This Row],[MeasurementDate]])</f>
        <v>11</v>
      </c>
    </row>
    <row r="1472" spans="1:11" x14ac:dyDescent="0.25">
      <c r="A1472" s="31">
        <v>43780</v>
      </c>
      <c r="B1472" t="s">
        <v>2</v>
      </c>
      <c r="C1472" s="31">
        <v>9305</v>
      </c>
      <c r="D1472" t="s">
        <v>97</v>
      </c>
      <c r="E1472" t="s">
        <v>111</v>
      </c>
      <c r="F1472">
        <v>1</v>
      </c>
      <c r="G1472" t="s">
        <v>50</v>
      </c>
      <c r="H1472" t="s">
        <v>110</v>
      </c>
      <c r="I1472">
        <v>2</v>
      </c>
      <c r="J1472" s="19">
        <f>WEEKNUM(tblRidershipData[[#This Row],[MeasurementDate]])</f>
        <v>46</v>
      </c>
      <c r="K1472" s="19">
        <f>MONTH(tblRidershipData[[#This Row],[MeasurementDate]])</f>
        <v>11</v>
      </c>
    </row>
    <row r="1473" spans="1:11" x14ac:dyDescent="0.25">
      <c r="A1473" s="31">
        <v>43780</v>
      </c>
      <c r="B1473" t="s">
        <v>2</v>
      </c>
      <c r="C1473" s="31">
        <v>9305</v>
      </c>
      <c r="D1473" t="s">
        <v>97</v>
      </c>
      <c r="E1473" t="s">
        <v>111</v>
      </c>
      <c r="F1473">
        <v>1</v>
      </c>
      <c r="G1473" t="s">
        <v>54</v>
      </c>
      <c r="H1473" t="s">
        <v>110</v>
      </c>
      <c r="I1473">
        <v>22</v>
      </c>
      <c r="J1473" s="19">
        <f>WEEKNUM(tblRidershipData[[#This Row],[MeasurementDate]])</f>
        <v>46</v>
      </c>
      <c r="K1473" s="19">
        <f>MONTH(tblRidershipData[[#This Row],[MeasurementDate]])</f>
        <v>11</v>
      </c>
    </row>
    <row r="1474" spans="1:11" x14ac:dyDescent="0.25">
      <c r="A1474" s="31">
        <v>43780</v>
      </c>
      <c r="B1474" t="s">
        <v>2</v>
      </c>
      <c r="C1474" s="31">
        <v>9305</v>
      </c>
      <c r="D1474" t="s">
        <v>97</v>
      </c>
      <c r="E1474" t="s">
        <v>111</v>
      </c>
      <c r="F1474">
        <v>1</v>
      </c>
      <c r="G1474" t="s">
        <v>56</v>
      </c>
      <c r="H1474" t="s">
        <v>110</v>
      </c>
      <c r="I1474">
        <v>16</v>
      </c>
      <c r="J1474" s="19">
        <f>WEEKNUM(tblRidershipData[[#This Row],[MeasurementDate]])</f>
        <v>46</v>
      </c>
      <c r="K1474" s="19">
        <f>MONTH(tblRidershipData[[#This Row],[MeasurementDate]])</f>
        <v>11</v>
      </c>
    </row>
    <row r="1475" spans="1:11" x14ac:dyDescent="0.25">
      <c r="A1475" s="31">
        <v>43780</v>
      </c>
      <c r="B1475" t="s">
        <v>2</v>
      </c>
      <c r="C1475" s="31">
        <v>9305</v>
      </c>
      <c r="D1475" t="s">
        <v>97</v>
      </c>
      <c r="E1475" t="s">
        <v>109</v>
      </c>
      <c r="F1475">
        <v>1</v>
      </c>
      <c r="G1475" t="s">
        <v>52</v>
      </c>
      <c r="H1475" t="s">
        <v>110</v>
      </c>
      <c r="I1475">
        <v>62</v>
      </c>
      <c r="J1475" s="19">
        <f>WEEKNUM(tblRidershipData[[#This Row],[MeasurementDate]])</f>
        <v>46</v>
      </c>
      <c r="K1475" s="19">
        <f>MONTH(tblRidershipData[[#This Row],[MeasurementDate]])</f>
        <v>11</v>
      </c>
    </row>
    <row r="1476" spans="1:11" x14ac:dyDescent="0.25">
      <c r="A1476" s="31">
        <v>43780</v>
      </c>
      <c r="B1476" t="s">
        <v>2</v>
      </c>
      <c r="C1476" s="31">
        <v>9305</v>
      </c>
      <c r="D1476" t="s">
        <v>97</v>
      </c>
      <c r="E1476" t="s">
        <v>109</v>
      </c>
      <c r="F1476">
        <v>1</v>
      </c>
      <c r="G1476" t="s">
        <v>55</v>
      </c>
      <c r="H1476" t="s">
        <v>110</v>
      </c>
      <c r="I1476">
        <v>6</v>
      </c>
      <c r="J1476" s="19">
        <f>WEEKNUM(tblRidershipData[[#This Row],[MeasurementDate]])</f>
        <v>46</v>
      </c>
      <c r="K1476" s="19">
        <f>MONTH(tblRidershipData[[#This Row],[MeasurementDate]])</f>
        <v>11</v>
      </c>
    </row>
    <row r="1477" spans="1:11" x14ac:dyDescent="0.25">
      <c r="A1477" s="31">
        <v>43780</v>
      </c>
      <c r="B1477" t="s">
        <v>2</v>
      </c>
      <c r="C1477" s="31">
        <v>9305</v>
      </c>
      <c r="D1477" t="s">
        <v>97</v>
      </c>
      <c r="E1477" t="s">
        <v>109</v>
      </c>
      <c r="F1477">
        <v>1</v>
      </c>
      <c r="G1477" t="s">
        <v>56</v>
      </c>
      <c r="H1477" t="s">
        <v>110</v>
      </c>
      <c r="I1477">
        <v>3</v>
      </c>
      <c r="J1477" s="19">
        <f>WEEKNUM(tblRidershipData[[#This Row],[MeasurementDate]])</f>
        <v>46</v>
      </c>
      <c r="K1477" s="19">
        <f>MONTH(tblRidershipData[[#This Row],[MeasurementDate]])</f>
        <v>11</v>
      </c>
    </row>
    <row r="1478" spans="1:11" x14ac:dyDescent="0.25">
      <c r="A1478" s="31">
        <v>43780</v>
      </c>
      <c r="B1478" t="s">
        <v>2</v>
      </c>
      <c r="C1478" s="31">
        <v>9305</v>
      </c>
      <c r="D1478" t="s">
        <v>97</v>
      </c>
      <c r="E1478" t="s">
        <v>111</v>
      </c>
      <c r="F1478">
        <v>1</v>
      </c>
      <c r="G1478" t="s">
        <v>52</v>
      </c>
      <c r="H1478" t="s">
        <v>112</v>
      </c>
      <c r="I1478">
        <v>12</v>
      </c>
      <c r="J1478" s="19">
        <f>WEEKNUM(tblRidershipData[[#This Row],[MeasurementDate]])</f>
        <v>46</v>
      </c>
      <c r="K1478" s="19">
        <f>MONTH(tblRidershipData[[#This Row],[MeasurementDate]])</f>
        <v>11</v>
      </c>
    </row>
    <row r="1479" spans="1:11" x14ac:dyDescent="0.25">
      <c r="A1479" s="31">
        <v>43780</v>
      </c>
      <c r="B1479" t="s">
        <v>2</v>
      </c>
      <c r="C1479" s="31">
        <v>9305</v>
      </c>
      <c r="D1479" t="s">
        <v>97</v>
      </c>
      <c r="E1479" t="s">
        <v>111</v>
      </c>
      <c r="F1479">
        <v>1</v>
      </c>
      <c r="G1479" t="s">
        <v>72</v>
      </c>
      <c r="H1479" t="s">
        <v>112</v>
      </c>
      <c r="I1479">
        <v>3</v>
      </c>
      <c r="J1479" s="19">
        <f>WEEKNUM(tblRidershipData[[#This Row],[MeasurementDate]])</f>
        <v>46</v>
      </c>
      <c r="K1479" s="19">
        <f>MONTH(tblRidershipData[[#This Row],[MeasurementDate]])</f>
        <v>11</v>
      </c>
    </row>
    <row r="1480" spans="1:11" x14ac:dyDescent="0.25">
      <c r="A1480" s="31">
        <v>43780</v>
      </c>
      <c r="B1480" t="s">
        <v>2</v>
      </c>
      <c r="C1480" s="31">
        <v>9305</v>
      </c>
      <c r="D1480" t="s">
        <v>97</v>
      </c>
      <c r="E1480" t="s">
        <v>111</v>
      </c>
      <c r="F1480">
        <v>1</v>
      </c>
      <c r="G1480" t="s">
        <v>74</v>
      </c>
      <c r="H1480" t="s">
        <v>112</v>
      </c>
      <c r="I1480">
        <v>4</v>
      </c>
      <c r="J1480" s="19">
        <f>WEEKNUM(tblRidershipData[[#This Row],[MeasurementDate]])</f>
        <v>46</v>
      </c>
      <c r="K1480" s="19">
        <f>MONTH(tblRidershipData[[#This Row],[MeasurementDate]])</f>
        <v>11</v>
      </c>
    </row>
    <row r="1481" spans="1:11" x14ac:dyDescent="0.25">
      <c r="A1481" s="31">
        <v>43780</v>
      </c>
      <c r="B1481" t="s">
        <v>2</v>
      </c>
      <c r="C1481" s="31">
        <v>9305</v>
      </c>
      <c r="D1481" t="s">
        <v>97</v>
      </c>
      <c r="E1481" t="s">
        <v>111</v>
      </c>
      <c r="F1481">
        <v>2</v>
      </c>
      <c r="G1481" t="s">
        <v>54</v>
      </c>
      <c r="H1481" t="s">
        <v>112</v>
      </c>
      <c r="I1481">
        <v>1</v>
      </c>
      <c r="J1481" s="19">
        <f>WEEKNUM(tblRidershipData[[#This Row],[MeasurementDate]])</f>
        <v>46</v>
      </c>
      <c r="K1481" s="19">
        <f>MONTH(tblRidershipData[[#This Row],[MeasurementDate]])</f>
        <v>11</v>
      </c>
    </row>
    <row r="1482" spans="1:11" x14ac:dyDescent="0.25">
      <c r="A1482" s="31">
        <v>43780</v>
      </c>
      <c r="B1482" t="s">
        <v>2</v>
      </c>
      <c r="C1482" s="31">
        <v>9305</v>
      </c>
      <c r="D1482" t="s">
        <v>97</v>
      </c>
      <c r="E1482" t="s">
        <v>111</v>
      </c>
      <c r="F1482">
        <v>2</v>
      </c>
      <c r="G1482" t="s">
        <v>59</v>
      </c>
      <c r="H1482" t="s">
        <v>112</v>
      </c>
      <c r="I1482">
        <v>2</v>
      </c>
      <c r="J1482" s="19">
        <f>WEEKNUM(tblRidershipData[[#This Row],[MeasurementDate]])</f>
        <v>46</v>
      </c>
      <c r="K1482" s="19">
        <f>MONTH(tblRidershipData[[#This Row],[MeasurementDate]])</f>
        <v>11</v>
      </c>
    </row>
    <row r="1483" spans="1:11" x14ac:dyDescent="0.25">
      <c r="A1483" s="31">
        <v>43780</v>
      </c>
      <c r="B1483" t="s">
        <v>2</v>
      </c>
      <c r="C1483" s="31">
        <v>9305</v>
      </c>
      <c r="D1483" t="s">
        <v>97</v>
      </c>
      <c r="E1483" t="s">
        <v>111</v>
      </c>
      <c r="F1483">
        <v>2</v>
      </c>
      <c r="G1483" t="s">
        <v>64</v>
      </c>
      <c r="H1483" t="s">
        <v>112</v>
      </c>
      <c r="I1483">
        <v>9</v>
      </c>
      <c r="J1483" s="19">
        <f>WEEKNUM(tblRidershipData[[#This Row],[MeasurementDate]])</f>
        <v>46</v>
      </c>
      <c r="K1483" s="19">
        <f>MONTH(tblRidershipData[[#This Row],[MeasurementDate]])</f>
        <v>11</v>
      </c>
    </row>
    <row r="1484" spans="1:11" x14ac:dyDescent="0.25">
      <c r="A1484" s="31">
        <v>43780</v>
      </c>
      <c r="B1484" t="s">
        <v>2</v>
      </c>
      <c r="C1484" s="31">
        <v>9305</v>
      </c>
      <c r="D1484" t="s">
        <v>97</v>
      </c>
      <c r="E1484" t="s">
        <v>111</v>
      </c>
      <c r="F1484">
        <v>2</v>
      </c>
      <c r="G1484" t="s">
        <v>70</v>
      </c>
      <c r="H1484" t="s">
        <v>112</v>
      </c>
      <c r="I1484">
        <v>6</v>
      </c>
      <c r="J1484" s="19">
        <f>WEEKNUM(tblRidershipData[[#This Row],[MeasurementDate]])</f>
        <v>46</v>
      </c>
      <c r="K1484" s="19">
        <f>MONTH(tblRidershipData[[#This Row],[MeasurementDate]])</f>
        <v>11</v>
      </c>
    </row>
    <row r="1485" spans="1:11" x14ac:dyDescent="0.25">
      <c r="A1485" s="31">
        <v>43780</v>
      </c>
      <c r="B1485" t="s">
        <v>2</v>
      </c>
      <c r="C1485" s="31">
        <v>9305</v>
      </c>
      <c r="D1485" t="s">
        <v>97</v>
      </c>
      <c r="E1485" t="s">
        <v>111</v>
      </c>
      <c r="F1485">
        <v>2</v>
      </c>
      <c r="G1485" t="s">
        <v>73</v>
      </c>
      <c r="H1485" t="s">
        <v>112</v>
      </c>
      <c r="I1485">
        <v>18</v>
      </c>
      <c r="J1485" s="19">
        <f>WEEKNUM(tblRidershipData[[#This Row],[MeasurementDate]])</f>
        <v>46</v>
      </c>
      <c r="K1485" s="19">
        <f>MONTH(tblRidershipData[[#This Row],[MeasurementDate]])</f>
        <v>11</v>
      </c>
    </row>
    <row r="1486" spans="1:11" x14ac:dyDescent="0.25">
      <c r="A1486" s="31">
        <v>43780</v>
      </c>
      <c r="B1486" t="s">
        <v>2</v>
      </c>
      <c r="C1486" s="31">
        <v>9305</v>
      </c>
      <c r="D1486" t="s">
        <v>97</v>
      </c>
      <c r="E1486" t="s">
        <v>109</v>
      </c>
      <c r="F1486">
        <v>1</v>
      </c>
      <c r="G1486" t="s">
        <v>43</v>
      </c>
      <c r="H1486" t="s">
        <v>112</v>
      </c>
      <c r="I1486">
        <v>5</v>
      </c>
      <c r="J1486" s="19">
        <f>WEEKNUM(tblRidershipData[[#This Row],[MeasurementDate]])</f>
        <v>46</v>
      </c>
      <c r="K1486" s="19">
        <f>MONTH(tblRidershipData[[#This Row],[MeasurementDate]])</f>
        <v>11</v>
      </c>
    </row>
    <row r="1487" spans="1:11" x14ac:dyDescent="0.25">
      <c r="A1487" s="31">
        <v>43780</v>
      </c>
      <c r="B1487" t="s">
        <v>2</v>
      </c>
      <c r="C1487" s="31">
        <v>9305</v>
      </c>
      <c r="D1487" t="s">
        <v>97</v>
      </c>
      <c r="E1487" t="s">
        <v>109</v>
      </c>
      <c r="F1487">
        <v>1</v>
      </c>
      <c r="G1487" t="s">
        <v>45</v>
      </c>
      <c r="H1487" t="s">
        <v>112</v>
      </c>
      <c r="I1487">
        <v>5</v>
      </c>
      <c r="J1487" s="19">
        <f>WEEKNUM(tblRidershipData[[#This Row],[MeasurementDate]])</f>
        <v>46</v>
      </c>
      <c r="K1487" s="19">
        <f>MONTH(tblRidershipData[[#This Row],[MeasurementDate]])</f>
        <v>11</v>
      </c>
    </row>
    <row r="1488" spans="1:11" x14ac:dyDescent="0.25">
      <c r="A1488" s="31">
        <v>43780</v>
      </c>
      <c r="B1488" t="s">
        <v>2</v>
      </c>
      <c r="C1488" s="31">
        <v>9305</v>
      </c>
      <c r="D1488" t="s">
        <v>97</v>
      </c>
      <c r="E1488" t="s">
        <v>109</v>
      </c>
      <c r="F1488">
        <v>1</v>
      </c>
      <c r="G1488" t="s">
        <v>47</v>
      </c>
      <c r="H1488" t="s">
        <v>112</v>
      </c>
      <c r="I1488">
        <v>3</v>
      </c>
      <c r="J1488" s="19">
        <f>WEEKNUM(tblRidershipData[[#This Row],[MeasurementDate]])</f>
        <v>46</v>
      </c>
      <c r="K1488" s="19">
        <f>MONTH(tblRidershipData[[#This Row],[MeasurementDate]])</f>
        <v>11</v>
      </c>
    </row>
    <row r="1489" spans="1:11" x14ac:dyDescent="0.25">
      <c r="A1489" s="31">
        <v>43780</v>
      </c>
      <c r="B1489" t="s">
        <v>2</v>
      </c>
      <c r="C1489" s="31">
        <v>9305</v>
      </c>
      <c r="D1489" t="s">
        <v>97</v>
      </c>
      <c r="E1489" t="s">
        <v>109</v>
      </c>
      <c r="F1489">
        <v>1</v>
      </c>
      <c r="G1489" t="s">
        <v>49</v>
      </c>
      <c r="H1489" t="s">
        <v>112</v>
      </c>
      <c r="I1489">
        <v>6</v>
      </c>
      <c r="J1489" s="19">
        <f>WEEKNUM(tblRidershipData[[#This Row],[MeasurementDate]])</f>
        <v>46</v>
      </c>
      <c r="K1489" s="19">
        <f>MONTH(tblRidershipData[[#This Row],[MeasurementDate]])</f>
        <v>11</v>
      </c>
    </row>
    <row r="1490" spans="1:11" x14ac:dyDescent="0.25">
      <c r="A1490" s="31">
        <v>43780</v>
      </c>
      <c r="B1490" t="s">
        <v>2</v>
      </c>
      <c r="C1490" s="31">
        <v>9305</v>
      </c>
      <c r="D1490" t="s">
        <v>97</v>
      </c>
      <c r="E1490" t="s">
        <v>109</v>
      </c>
      <c r="F1490">
        <v>1</v>
      </c>
      <c r="G1490" t="s">
        <v>54</v>
      </c>
      <c r="H1490" t="s">
        <v>112</v>
      </c>
      <c r="I1490">
        <v>8</v>
      </c>
      <c r="J1490" s="19">
        <f>WEEKNUM(tblRidershipData[[#This Row],[MeasurementDate]])</f>
        <v>46</v>
      </c>
      <c r="K1490" s="19">
        <f>MONTH(tblRidershipData[[#This Row],[MeasurementDate]])</f>
        <v>11</v>
      </c>
    </row>
    <row r="1491" spans="1:11" x14ac:dyDescent="0.25">
      <c r="A1491" s="31">
        <v>43780</v>
      </c>
      <c r="B1491" t="s">
        <v>2</v>
      </c>
      <c r="C1491" s="31">
        <v>9305</v>
      </c>
      <c r="D1491" t="s">
        <v>97</v>
      </c>
      <c r="E1491" t="s">
        <v>109</v>
      </c>
      <c r="F1491">
        <v>1</v>
      </c>
      <c r="G1491" t="s">
        <v>55</v>
      </c>
      <c r="H1491" t="s">
        <v>112</v>
      </c>
      <c r="I1491">
        <v>7</v>
      </c>
      <c r="J1491" s="19">
        <f>WEEKNUM(tblRidershipData[[#This Row],[MeasurementDate]])</f>
        <v>46</v>
      </c>
      <c r="K1491" s="19">
        <f>MONTH(tblRidershipData[[#This Row],[MeasurementDate]])</f>
        <v>11</v>
      </c>
    </row>
    <row r="1492" spans="1:11" x14ac:dyDescent="0.25">
      <c r="A1492" s="31">
        <v>43780</v>
      </c>
      <c r="B1492" t="s">
        <v>2</v>
      </c>
      <c r="C1492" s="31">
        <v>9305</v>
      </c>
      <c r="D1492" t="s">
        <v>97</v>
      </c>
      <c r="E1492" t="s">
        <v>109</v>
      </c>
      <c r="F1492">
        <v>1</v>
      </c>
      <c r="G1492" t="s">
        <v>58</v>
      </c>
      <c r="H1492" t="s">
        <v>112</v>
      </c>
      <c r="I1492">
        <v>1</v>
      </c>
      <c r="J1492" s="19">
        <f>WEEKNUM(tblRidershipData[[#This Row],[MeasurementDate]])</f>
        <v>46</v>
      </c>
      <c r="K1492" s="19">
        <f>MONTH(tblRidershipData[[#This Row],[MeasurementDate]])</f>
        <v>11</v>
      </c>
    </row>
    <row r="1493" spans="1:11" x14ac:dyDescent="0.25">
      <c r="A1493" s="31">
        <v>43780</v>
      </c>
      <c r="B1493" t="s">
        <v>2</v>
      </c>
      <c r="C1493" s="31">
        <v>9305</v>
      </c>
      <c r="D1493" t="s">
        <v>97</v>
      </c>
      <c r="E1493" t="s">
        <v>109</v>
      </c>
      <c r="F1493">
        <v>1</v>
      </c>
      <c r="G1493" t="s">
        <v>59</v>
      </c>
      <c r="H1493" t="s">
        <v>112</v>
      </c>
      <c r="I1493">
        <v>2</v>
      </c>
      <c r="J1493" s="19">
        <f>WEEKNUM(tblRidershipData[[#This Row],[MeasurementDate]])</f>
        <v>46</v>
      </c>
      <c r="K1493" s="19">
        <f>MONTH(tblRidershipData[[#This Row],[MeasurementDate]])</f>
        <v>11</v>
      </c>
    </row>
    <row r="1494" spans="1:11" x14ac:dyDescent="0.25">
      <c r="A1494" s="31">
        <v>43780</v>
      </c>
      <c r="B1494" t="s">
        <v>2</v>
      </c>
      <c r="C1494" s="31">
        <v>9305</v>
      </c>
      <c r="D1494" t="s">
        <v>97</v>
      </c>
      <c r="E1494" t="s">
        <v>109</v>
      </c>
      <c r="F1494">
        <v>1</v>
      </c>
      <c r="G1494" t="s">
        <v>63</v>
      </c>
      <c r="H1494" t="s">
        <v>112</v>
      </c>
      <c r="I1494">
        <v>3</v>
      </c>
      <c r="J1494" s="19">
        <f>WEEKNUM(tblRidershipData[[#This Row],[MeasurementDate]])</f>
        <v>46</v>
      </c>
      <c r="K1494" s="19">
        <f>MONTH(tblRidershipData[[#This Row],[MeasurementDate]])</f>
        <v>11</v>
      </c>
    </row>
    <row r="1495" spans="1:11" x14ac:dyDescent="0.25">
      <c r="A1495" s="31">
        <v>43780</v>
      </c>
      <c r="B1495" t="s">
        <v>2</v>
      </c>
      <c r="C1495" s="31">
        <v>9305</v>
      </c>
      <c r="D1495" t="s">
        <v>97</v>
      </c>
      <c r="E1495" t="s">
        <v>109</v>
      </c>
      <c r="F1495">
        <v>1</v>
      </c>
      <c r="G1495" t="s">
        <v>67</v>
      </c>
      <c r="H1495" t="s">
        <v>112</v>
      </c>
      <c r="I1495">
        <v>19</v>
      </c>
      <c r="J1495" s="19">
        <f>WEEKNUM(tblRidershipData[[#This Row],[MeasurementDate]])</f>
        <v>46</v>
      </c>
      <c r="K1495" s="19">
        <f>MONTH(tblRidershipData[[#This Row],[MeasurementDate]])</f>
        <v>11</v>
      </c>
    </row>
    <row r="1496" spans="1:11" x14ac:dyDescent="0.25">
      <c r="A1496" s="31">
        <v>43780</v>
      </c>
      <c r="B1496" t="s">
        <v>2</v>
      </c>
      <c r="C1496" s="31">
        <v>9305</v>
      </c>
      <c r="D1496" t="s">
        <v>97</v>
      </c>
      <c r="E1496" t="s">
        <v>109</v>
      </c>
      <c r="F1496">
        <v>1</v>
      </c>
      <c r="G1496" t="s">
        <v>72</v>
      </c>
      <c r="H1496" t="s">
        <v>112</v>
      </c>
      <c r="I1496">
        <v>12</v>
      </c>
      <c r="J1496" s="19">
        <f>WEEKNUM(tblRidershipData[[#This Row],[MeasurementDate]])</f>
        <v>46</v>
      </c>
      <c r="K1496" s="19">
        <f>MONTH(tblRidershipData[[#This Row],[MeasurementDate]])</f>
        <v>11</v>
      </c>
    </row>
    <row r="1497" spans="1:11" x14ac:dyDescent="0.25">
      <c r="A1497" s="31">
        <v>43780</v>
      </c>
      <c r="B1497" t="s">
        <v>2</v>
      </c>
      <c r="C1497" s="31">
        <v>9305</v>
      </c>
      <c r="D1497" t="s">
        <v>97</v>
      </c>
      <c r="E1497" t="s">
        <v>109</v>
      </c>
      <c r="F1497">
        <v>2</v>
      </c>
      <c r="G1497" t="s">
        <v>52</v>
      </c>
      <c r="H1497" t="s">
        <v>112</v>
      </c>
      <c r="I1497">
        <v>1</v>
      </c>
      <c r="J1497" s="19">
        <f>WEEKNUM(tblRidershipData[[#This Row],[MeasurementDate]])</f>
        <v>46</v>
      </c>
      <c r="K1497" s="19">
        <f>MONTH(tblRidershipData[[#This Row],[MeasurementDate]])</f>
        <v>11</v>
      </c>
    </row>
    <row r="1498" spans="1:11" x14ac:dyDescent="0.25">
      <c r="A1498" s="31">
        <v>43780</v>
      </c>
      <c r="B1498" t="s">
        <v>2</v>
      </c>
      <c r="C1498" s="31">
        <v>9305</v>
      </c>
      <c r="D1498" t="s">
        <v>97</v>
      </c>
      <c r="E1498" t="s">
        <v>109</v>
      </c>
      <c r="F1498">
        <v>2</v>
      </c>
      <c r="G1498" t="s">
        <v>54</v>
      </c>
      <c r="H1498" t="s">
        <v>112</v>
      </c>
      <c r="I1498">
        <v>1</v>
      </c>
      <c r="J1498" s="19">
        <f>WEEKNUM(tblRidershipData[[#This Row],[MeasurementDate]])</f>
        <v>46</v>
      </c>
      <c r="K1498" s="19">
        <f>MONTH(tblRidershipData[[#This Row],[MeasurementDate]])</f>
        <v>11</v>
      </c>
    </row>
    <row r="1499" spans="1:11" x14ac:dyDescent="0.25">
      <c r="A1499" s="31">
        <v>43780</v>
      </c>
      <c r="B1499" t="s">
        <v>2</v>
      </c>
      <c r="C1499" s="31">
        <v>9305</v>
      </c>
      <c r="D1499" t="s">
        <v>97</v>
      </c>
      <c r="E1499" t="s">
        <v>109</v>
      </c>
      <c r="F1499">
        <v>2</v>
      </c>
      <c r="G1499" t="s">
        <v>62</v>
      </c>
      <c r="H1499" t="s">
        <v>112</v>
      </c>
      <c r="I1499">
        <v>2</v>
      </c>
      <c r="J1499" s="19">
        <f>WEEKNUM(tblRidershipData[[#This Row],[MeasurementDate]])</f>
        <v>46</v>
      </c>
      <c r="K1499" s="19">
        <f>MONTH(tblRidershipData[[#This Row],[MeasurementDate]])</f>
        <v>11</v>
      </c>
    </row>
    <row r="1500" spans="1:11" x14ac:dyDescent="0.25">
      <c r="A1500" s="31">
        <v>43780</v>
      </c>
      <c r="B1500" t="s">
        <v>2</v>
      </c>
      <c r="C1500" s="31">
        <v>9305</v>
      </c>
      <c r="D1500" t="s">
        <v>97</v>
      </c>
      <c r="E1500" t="s">
        <v>109</v>
      </c>
      <c r="F1500">
        <v>2</v>
      </c>
      <c r="G1500" t="s">
        <v>64</v>
      </c>
      <c r="H1500" t="s">
        <v>112</v>
      </c>
      <c r="I1500">
        <v>1</v>
      </c>
      <c r="J1500" s="19">
        <f>WEEKNUM(tblRidershipData[[#This Row],[MeasurementDate]])</f>
        <v>46</v>
      </c>
      <c r="K1500" s="19">
        <f>MONTH(tblRidershipData[[#This Row],[MeasurementDate]])</f>
        <v>11</v>
      </c>
    </row>
    <row r="1501" spans="1:11" x14ac:dyDescent="0.25">
      <c r="A1501" s="31">
        <v>43780</v>
      </c>
      <c r="B1501" t="s">
        <v>2</v>
      </c>
      <c r="C1501" s="31">
        <v>9305</v>
      </c>
      <c r="D1501" t="s">
        <v>97</v>
      </c>
      <c r="E1501" t="s">
        <v>109</v>
      </c>
      <c r="F1501">
        <v>2</v>
      </c>
      <c r="G1501" t="s">
        <v>67</v>
      </c>
      <c r="H1501" t="s">
        <v>112</v>
      </c>
      <c r="I1501">
        <v>2</v>
      </c>
      <c r="J1501" s="19">
        <f>WEEKNUM(tblRidershipData[[#This Row],[MeasurementDate]])</f>
        <v>46</v>
      </c>
      <c r="K1501" s="19">
        <f>MONTH(tblRidershipData[[#This Row],[MeasurementDate]])</f>
        <v>11</v>
      </c>
    </row>
    <row r="1502" spans="1:11" x14ac:dyDescent="0.25">
      <c r="A1502" s="31">
        <v>43780</v>
      </c>
      <c r="B1502" t="s">
        <v>2</v>
      </c>
      <c r="C1502" s="31">
        <v>9320</v>
      </c>
      <c r="D1502" t="s">
        <v>99</v>
      </c>
      <c r="E1502" t="s">
        <v>111</v>
      </c>
      <c r="F1502">
        <v>1</v>
      </c>
      <c r="G1502" t="s">
        <v>45</v>
      </c>
      <c r="H1502" t="s">
        <v>110</v>
      </c>
      <c r="I1502">
        <v>1</v>
      </c>
      <c r="J1502" s="19">
        <f>WEEKNUM(tblRidershipData[[#This Row],[MeasurementDate]])</f>
        <v>46</v>
      </c>
      <c r="K1502" s="19">
        <f>MONTH(tblRidershipData[[#This Row],[MeasurementDate]])</f>
        <v>11</v>
      </c>
    </row>
    <row r="1503" spans="1:11" x14ac:dyDescent="0.25">
      <c r="A1503" s="31">
        <v>43780</v>
      </c>
      <c r="B1503" t="s">
        <v>2</v>
      </c>
      <c r="C1503" s="31">
        <v>9320</v>
      </c>
      <c r="D1503" t="s">
        <v>99</v>
      </c>
      <c r="E1503" t="s">
        <v>109</v>
      </c>
      <c r="F1503">
        <v>1</v>
      </c>
      <c r="G1503" t="s">
        <v>52</v>
      </c>
      <c r="H1503" t="s">
        <v>110</v>
      </c>
      <c r="I1503">
        <v>46</v>
      </c>
      <c r="J1503" s="19">
        <f>WEEKNUM(tblRidershipData[[#This Row],[MeasurementDate]])</f>
        <v>46</v>
      </c>
      <c r="K1503" s="19">
        <f>MONTH(tblRidershipData[[#This Row],[MeasurementDate]])</f>
        <v>11</v>
      </c>
    </row>
    <row r="1504" spans="1:11" x14ac:dyDescent="0.25">
      <c r="A1504" s="31">
        <v>43780</v>
      </c>
      <c r="B1504" t="s">
        <v>2</v>
      </c>
      <c r="C1504" s="31">
        <v>9320</v>
      </c>
      <c r="D1504" t="s">
        <v>99</v>
      </c>
      <c r="E1504" t="s">
        <v>109</v>
      </c>
      <c r="F1504">
        <v>2</v>
      </c>
      <c r="G1504" t="s">
        <v>44</v>
      </c>
      <c r="H1504" t="s">
        <v>110</v>
      </c>
      <c r="I1504">
        <v>7</v>
      </c>
      <c r="J1504" s="19">
        <f>WEEKNUM(tblRidershipData[[#This Row],[MeasurementDate]])</f>
        <v>46</v>
      </c>
      <c r="K1504" s="19">
        <f>MONTH(tblRidershipData[[#This Row],[MeasurementDate]])</f>
        <v>11</v>
      </c>
    </row>
    <row r="1505" spans="1:11" x14ac:dyDescent="0.25">
      <c r="A1505" s="31">
        <v>43780</v>
      </c>
      <c r="B1505" t="s">
        <v>2</v>
      </c>
      <c r="C1505" s="31">
        <v>9320</v>
      </c>
      <c r="D1505" t="s">
        <v>99</v>
      </c>
      <c r="E1505" t="s">
        <v>109</v>
      </c>
      <c r="F1505">
        <v>2</v>
      </c>
      <c r="G1505" t="s">
        <v>52</v>
      </c>
      <c r="H1505" t="s">
        <v>110</v>
      </c>
      <c r="I1505">
        <v>2</v>
      </c>
      <c r="J1505" s="19">
        <f>WEEKNUM(tblRidershipData[[#This Row],[MeasurementDate]])</f>
        <v>46</v>
      </c>
      <c r="K1505" s="19">
        <f>MONTH(tblRidershipData[[#This Row],[MeasurementDate]])</f>
        <v>11</v>
      </c>
    </row>
    <row r="1506" spans="1:11" x14ac:dyDescent="0.25">
      <c r="A1506" s="31">
        <v>43780</v>
      </c>
      <c r="B1506" t="s">
        <v>2</v>
      </c>
      <c r="C1506" s="31">
        <v>9320</v>
      </c>
      <c r="D1506" t="s">
        <v>99</v>
      </c>
      <c r="E1506" t="s">
        <v>111</v>
      </c>
      <c r="F1506">
        <v>1</v>
      </c>
      <c r="G1506" t="s">
        <v>75</v>
      </c>
      <c r="H1506" t="s">
        <v>110</v>
      </c>
      <c r="I1506">
        <v>1</v>
      </c>
      <c r="J1506" s="19">
        <f>WEEKNUM(tblRidershipData[[#This Row],[MeasurementDate]])</f>
        <v>46</v>
      </c>
      <c r="K1506" s="19">
        <f>MONTH(tblRidershipData[[#This Row],[MeasurementDate]])</f>
        <v>11</v>
      </c>
    </row>
    <row r="1507" spans="1:11" x14ac:dyDescent="0.25">
      <c r="A1507" s="31">
        <v>43780</v>
      </c>
      <c r="B1507" t="s">
        <v>2</v>
      </c>
      <c r="C1507" s="31">
        <v>9320</v>
      </c>
      <c r="D1507" t="s">
        <v>99</v>
      </c>
      <c r="E1507" t="s">
        <v>111</v>
      </c>
      <c r="F1507">
        <v>1</v>
      </c>
      <c r="G1507" t="s">
        <v>67</v>
      </c>
      <c r="H1507" t="s">
        <v>112</v>
      </c>
      <c r="I1507">
        <v>6</v>
      </c>
      <c r="J1507" s="19">
        <f>WEEKNUM(tblRidershipData[[#This Row],[MeasurementDate]])</f>
        <v>46</v>
      </c>
      <c r="K1507" s="19">
        <f>MONTH(tblRidershipData[[#This Row],[MeasurementDate]])</f>
        <v>11</v>
      </c>
    </row>
    <row r="1508" spans="1:11" x14ac:dyDescent="0.25">
      <c r="A1508" s="31">
        <v>43780</v>
      </c>
      <c r="B1508" t="s">
        <v>2</v>
      </c>
      <c r="C1508" s="31">
        <v>9320</v>
      </c>
      <c r="D1508" t="s">
        <v>99</v>
      </c>
      <c r="E1508" t="s">
        <v>109</v>
      </c>
      <c r="F1508">
        <v>1</v>
      </c>
      <c r="G1508" t="s">
        <v>45</v>
      </c>
      <c r="H1508" t="s">
        <v>112</v>
      </c>
      <c r="I1508">
        <v>1</v>
      </c>
      <c r="J1508" s="19">
        <f>WEEKNUM(tblRidershipData[[#This Row],[MeasurementDate]])</f>
        <v>46</v>
      </c>
      <c r="K1508" s="19">
        <f>MONTH(tblRidershipData[[#This Row],[MeasurementDate]])</f>
        <v>11</v>
      </c>
    </row>
    <row r="1509" spans="1:11" x14ac:dyDescent="0.25">
      <c r="A1509" s="31">
        <v>43780</v>
      </c>
      <c r="B1509" t="s">
        <v>2</v>
      </c>
      <c r="C1509" s="31">
        <v>9320</v>
      </c>
      <c r="D1509" t="s">
        <v>99</v>
      </c>
      <c r="E1509" t="s">
        <v>109</v>
      </c>
      <c r="F1509">
        <v>1</v>
      </c>
      <c r="G1509" t="s">
        <v>47</v>
      </c>
      <c r="H1509" t="s">
        <v>112</v>
      </c>
      <c r="I1509">
        <v>4</v>
      </c>
      <c r="J1509" s="19">
        <f>WEEKNUM(tblRidershipData[[#This Row],[MeasurementDate]])</f>
        <v>46</v>
      </c>
      <c r="K1509" s="19">
        <f>MONTH(tblRidershipData[[#This Row],[MeasurementDate]])</f>
        <v>11</v>
      </c>
    </row>
    <row r="1510" spans="1:11" x14ac:dyDescent="0.25">
      <c r="A1510" s="31">
        <v>43780</v>
      </c>
      <c r="B1510" t="s">
        <v>2</v>
      </c>
      <c r="C1510" s="31">
        <v>9320</v>
      </c>
      <c r="D1510" t="s">
        <v>99</v>
      </c>
      <c r="E1510" t="s">
        <v>109</v>
      </c>
      <c r="F1510">
        <v>1</v>
      </c>
      <c r="G1510" t="s">
        <v>54</v>
      </c>
      <c r="H1510" t="s">
        <v>112</v>
      </c>
      <c r="I1510">
        <v>21</v>
      </c>
      <c r="J1510" s="19">
        <f>WEEKNUM(tblRidershipData[[#This Row],[MeasurementDate]])</f>
        <v>46</v>
      </c>
      <c r="K1510" s="19">
        <f>MONTH(tblRidershipData[[#This Row],[MeasurementDate]])</f>
        <v>11</v>
      </c>
    </row>
    <row r="1511" spans="1:11" x14ac:dyDescent="0.25">
      <c r="A1511" s="31">
        <v>43780</v>
      </c>
      <c r="B1511" t="s">
        <v>2</v>
      </c>
      <c r="C1511" s="31">
        <v>9320</v>
      </c>
      <c r="D1511" t="s">
        <v>99</v>
      </c>
      <c r="E1511" t="s">
        <v>109</v>
      </c>
      <c r="F1511">
        <v>1</v>
      </c>
      <c r="G1511" t="s">
        <v>63</v>
      </c>
      <c r="H1511" t="s">
        <v>112</v>
      </c>
      <c r="I1511">
        <v>6</v>
      </c>
      <c r="J1511" s="19">
        <f>WEEKNUM(tblRidershipData[[#This Row],[MeasurementDate]])</f>
        <v>46</v>
      </c>
      <c r="K1511" s="19">
        <f>MONTH(tblRidershipData[[#This Row],[MeasurementDate]])</f>
        <v>11</v>
      </c>
    </row>
    <row r="1512" spans="1:11" x14ac:dyDescent="0.25">
      <c r="A1512" s="31">
        <v>43780</v>
      </c>
      <c r="B1512" t="s">
        <v>2</v>
      </c>
      <c r="C1512" s="31">
        <v>9320</v>
      </c>
      <c r="D1512" t="s">
        <v>99</v>
      </c>
      <c r="E1512" t="s">
        <v>109</v>
      </c>
      <c r="F1512">
        <v>1</v>
      </c>
      <c r="G1512" t="s">
        <v>67</v>
      </c>
      <c r="H1512" t="s">
        <v>112</v>
      </c>
      <c r="I1512">
        <v>10</v>
      </c>
      <c r="J1512" s="19">
        <f>WEEKNUM(tblRidershipData[[#This Row],[MeasurementDate]])</f>
        <v>46</v>
      </c>
      <c r="K1512" s="19">
        <f>MONTH(tblRidershipData[[#This Row],[MeasurementDate]])</f>
        <v>11</v>
      </c>
    </row>
    <row r="1513" spans="1:11" x14ac:dyDescent="0.25">
      <c r="A1513" s="31">
        <v>43780</v>
      </c>
      <c r="B1513" t="s">
        <v>2</v>
      </c>
      <c r="C1513" s="31">
        <v>9320</v>
      </c>
      <c r="D1513" t="s">
        <v>99</v>
      </c>
      <c r="E1513" t="s">
        <v>109</v>
      </c>
      <c r="F1513">
        <v>1</v>
      </c>
      <c r="G1513" t="s">
        <v>73</v>
      </c>
      <c r="H1513" t="s">
        <v>112</v>
      </c>
      <c r="I1513">
        <v>3</v>
      </c>
      <c r="J1513" s="19">
        <f>WEEKNUM(tblRidershipData[[#This Row],[MeasurementDate]])</f>
        <v>46</v>
      </c>
      <c r="K1513" s="19">
        <f>MONTH(tblRidershipData[[#This Row],[MeasurementDate]])</f>
        <v>11</v>
      </c>
    </row>
    <row r="1514" spans="1:11" x14ac:dyDescent="0.25">
      <c r="A1514" s="31">
        <v>43780</v>
      </c>
      <c r="B1514" t="s">
        <v>2</v>
      </c>
      <c r="C1514" s="31">
        <v>9320</v>
      </c>
      <c r="D1514" t="s">
        <v>99</v>
      </c>
      <c r="E1514" t="s">
        <v>109</v>
      </c>
      <c r="F1514">
        <v>2</v>
      </c>
      <c r="G1514" t="s">
        <v>47</v>
      </c>
      <c r="H1514" t="s">
        <v>112</v>
      </c>
      <c r="I1514">
        <v>1</v>
      </c>
      <c r="J1514" s="19">
        <f>WEEKNUM(tblRidershipData[[#This Row],[MeasurementDate]])</f>
        <v>46</v>
      </c>
      <c r="K1514" s="19">
        <f>MONTH(tblRidershipData[[#This Row],[MeasurementDate]])</f>
        <v>11</v>
      </c>
    </row>
    <row r="1515" spans="1:11" x14ac:dyDescent="0.25">
      <c r="A1515" s="31">
        <v>43780</v>
      </c>
      <c r="B1515" t="s">
        <v>2</v>
      </c>
      <c r="C1515" s="31">
        <v>9320</v>
      </c>
      <c r="D1515" t="s">
        <v>99</v>
      </c>
      <c r="E1515" t="s">
        <v>109</v>
      </c>
      <c r="F1515">
        <v>2</v>
      </c>
      <c r="G1515" t="s">
        <v>50</v>
      </c>
      <c r="H1515" t="s">
        <v>112</v>
      </c>
      <c r="I1515">
        <v>3</v>
      </c>
      <c r="J1515" s="19">
        <f>WEEKNUM(tblRidershipData[[#This Row],[MeasurementDate]])</f>
        <v>46</v>
      </c>
      <c r="K1515" s="19">
        <f>MONTH(tblRidershipData[[#This Row],[MeasurementDate]])</f>
        <v>11</v>
      </c>
    </row>
    <row r="1516" spans="1:11" x14ac:dyDescent="0.25">
      <c r="A1516" s="31">
        <v>43780</v>
      </c>
      <c r="B1516" t="s">
        <v>2</v>
      </c>
      <c r="C1516" s="31">
        <v>9320</v>
      </c>
      <c r="D1516" t="s">
        <v>99</v>
      </c>
      <c r="E1516" t="s">
        <v>109</v>
      </c>
      <c r="F1516">
        <v>2</v>
      </c>
      <c r="G1516" t="s">
        <v>54</v>
      </c>
      <c r="H1516" t="s">
        <v>112</v>
      </c>
      <c r="I1516">
        <v>2</v>
      </c>
      <c r="J1516" s="19">
        <f>WEEKNUM(tblRidershipData[[#This Row],[MeasurementDate]])</f>
        <v>46</v>
      </c>
      <c r="K1516" s="19">
        <f>MONTH(tblRidershipData[[#This Row],[MeasurementDate]])</f>
        <v>11</v>
      </c>
    </row>
    <row r="1517" spans="1:11" x14ac:dyDescent="0.25">
      <c r="A1517" s="31">
        <v>43780</v>
      </c>
      <c r="B1517" t="s">
        <v>2</v>
      </c>
      <c r="C1517" s="31">
        <v>9320</v>
      </c>
      <c r="D1517" t="s">
        <v>99</v>
      </c>
      <c r="E1517" t="s">
        <v>109</v>
      </c>
      <c r="F1517">
        <v>2</v>
      </c>
      <c r="G1517" t="s">
        <v>64</v>
      </c>
      <c r="H1517" t="s">
        <v>112</v>
      </c>
      <c r="I1517">
        <v>1</v>
      </c>
      <c r="J1517" s="19">
        <f>WEEKNUM(tblRidershipData[[#This Row],[MeasurementDate]])</f>
        <v>46</v>
      </c>
      <c r="K1517" s="19">
        <f>MONTH(tblRidershipData[[#This Row],[MeasurementDate]])</f>
        <v>11</v>
      </c>
    </row>
    <row r="1518" spans="1:11" x14ac:dyDescent="0.25">
      <c r="A1518" s="31">
        <v>43780</v>
      </c>
      <c r="B1518" t="s">
        <v>2</v>
      </c>
      <c r="C1518" s="31">
        <v>9320</v>
      </c>
      <c r="D1518" t="s">
        <v>99</v>
      </c>
      <c r="E1518" t="s">
        <v>109</v>
      </c>
      <c r="F1518">
        <v>2</v>
      </c>
      <c r="G1518" t="s">
        <v>67</v>
      </c>
      <c r="H1518" t="s">
        <v>112</v>
      </c>
      <c r="I1518">
        <v>1</v>
      </c>
      <c r="J1518" s="19">
        <f>WEEKNUM(tblRidershipData[[#This Row],[MeasurementDate]])</f>
        <v>46</v>
      </c>
      <c r="K1518" s="19">
        <f>MONTH(tblRidershipData[[#This Row],[MeasurementDate]])</f>
        <v>11</v>
      </c>
    </row>
    <row r="1519" spans="1:11" x14ac:dyDescent="0.25">
      <c r="A1519" s="31">
        <v>43780</v>
      </c>
      <c r="B1519" t="s">
        <v>2</v>
      </c>
      <c r="C1519" s="31">
        <v>9320</v>
      </c>
      <c r="D1519" t="s">
        <v>99</v>
      </c>
      <c r="E1519" t="s">
        <v>109</v>
      </c>
      <c r="F1519">
        <v>2</v>
      </c>
      <c r="G1519" t="s">
        <v>77</v>
      </c>
      <c r="H1519" t="s">
        <v>112</v>
      </c>
      <c r="I1519">
        <v>1</v>
      </c>
      <c r="J1519" s="19">
        <f>WEEKNUM(tblRidershipData[[#This Row],[MeasurementDate]])</f>
        <v>46</v>
      </c>
      <c r="K1519" s="19">
        <f>MONTH(tblRidershipData[[#This Row],[MeasurementDate]])</f>
        <v>11</v>
      </c>
    </row>
    <row r="1520" spans="1:11" x14ac:dyDescent="0.25">
      <c r="A1520" s="31">
        <v>43780</v>
      </c>
      <c r="B1520" t="s">
        <v>2</v>
      </c>
      <c r="C1520" s="31">
        <v>1030</v>
      </c>
      <c r="D1520" t="s">
        <v>80</v>
      </c>
      <c r="E1520" t="s">
        <v>111</v>
      </c>
      <c r="F1520">
        <v>1</v>
      </c>
      <c r="G1520" t="s">
        <v>43</v>
      </c>
      <c r="H1520" t="s">
        <v>110</v>
      </c>
      <c r="I1520">
        <v>8</v>
      </c>
      <c r="J1520" s="19">
        <f>WEEKNUM(tblRidershipData[[#This Row],[MeasurementDate]])</f>
        <v>46</v>
      </c>
      <c r="K1520" s="19">
        <f>MONTH(tblRidershipData[[#This Row],[MeasurementDate]])</f>
        <v>11</v>
      </c>
    </row>
    <row r="1521" spans="1:11" x14ac:dyDescent="0.25">
      <c r="A1521" s="31">
        <v>43780</v>
      </c>
      <c r="B1521" t="s">
        <v>2</v>
      </c>
      <c r="C1521" s="31">
        <v>1030</v>
      </c>
      <c r="D1521" t="s">
        <v>80</v>
      </c>
      <c r="E1521" t="s">
        <v>111</v>
      </c>
      <c r="F1521">
        <v>1</v>
      </c>
      <c r="G1521" t="s">
        <v>46</v>
      </c>
      <c r="H1521" t="s">
        <v>110</v>
      </c>
      <c r="I1521">
        <v>1</v>
      </c>
      <c r="J1521" s="19">
        <f>WEEKNUM(tblRidershipData[[#This Row],[MeasurementDate]])</f>
        <v>46</v>
      </c>
      <c r="K1521" s="19">
        <f>MONTH(tblRidershipData[[#This Row],[MeasurementDate]])</f>
        <v>11</v>
      </c>
    </row>
    <row r="1522" spans="1:11" x14ac:dyDescent="0.25">
      <c r="A1522" s="31">
        <v>43780</v>
      </c>
      <c r="B1522" t="s">
        <v>2</v>
      </c>
      <c r="C1522" s="31">
        <v>1030</v>
      </c>
      <c r="D1522" t="s">
        <v>80</v>
      </c>
      <c r="E1522" t="s">
        <v>111</v>
      </c>
      <c r="F1522">
        <v>1</v>
      </c>
      <c r="G1522" t="s">
        <v>51</v>
      </c>
      <c r="H1522" t="s">
        <v>110</v>
      </c>
      <c r="I1522">
        <v>2</v>
      </c>
      <c r="J1522" s="19">
        <f>WEEKNUM(tblRidershipData[[#This Row],[MeasurementDate]])</f>
        <v>46</v>
      </c>
      <c r="K1522" s="19">
        <f>MONTH(tblRidershipData[[#This Row],[MeasurementDate]])</f>
        <v>11</v>
      </c>
    </row>
    <row r="1523" spans="1:11" x14ac:dyDescent="0.25">
      <c r="A1523" s="31">
        <v>43780</v>
      </c>
      <c r="B1523" t="s">
        <v>2</v>
      </c>
      <c r="C1523" s="31">
        <v>1030</v>
      </c>
      <c r="D1523" t="s">
        <v>80</v>
      </c>
      <c r="E1523" t="s">
        <v>111</v>
      </c>
      <c r="F1523">
        <v>1</v>
      </c>
      <c r="G1523" t="s">
        <v>55</v>
      </c>
      <c r="H1523" t="s">
        <v>110</v>
      </c>
      <c r="I1523">
        <v>1</v>
      </c>
      <c r="J1523" s="19">
        <f>WEEKNUM(tblRidershipData[[#This Row],[MeasurementDate]])</f>
        <v>46</v>
      </c>
      <c r="K1523" s="19">
        <f>MONTH(tblRidershipData[[#This Row],[MeasurementDate]])</f>
        <v>11</v>
      </c>
    </row>
    <row r="1524" spans="1:11" x14ac:dyDescent="0.25">
      <c r="A1524" s="31">
        <v>43780</v>
      </c>
      <c r="B1524" t="s">
        <v>2</v>
      </c>
      <c r="C1524" s="31">
        <v>1030</v>
      </c>
      <c r="D1524" t="s">
        <v>80</v>
      </c>
      <c r="E1524" t="s">
        <v>111</v>
      </c>
      <c r="F1524">
        <v>1</v>
      </c>
      <c r="G1524" t="s">
        <v>59</v>
      </c>
      <c r="H1524" t="s">
        <v>110</v>
      </c>
      <c r="I1524">
        <v>2</v>
      </c>
      <c r="J1524" s="19">
        <f>WEEKNUM(tblRidershipData[[#This Row],[MeasurementDate]])</f>
        <v>46</v>
      </c>
      <c r="K1524" s="19">
        <f>MONTH(tblRidershipData[[#This Row],[MeasurementDate]])</f>
        <v>11</v>
      </c>
    </row>
    <row r="1525" spans="1:11" x14ac:dyDescent="0.25">
      <c r="A1525" s="31">
        <v>43780</v>
      </c>
      <c r="B1525" t="s">
        <v>2</v>
      </c>
      <c r="C1525" s="31">
        <v>1030</v>
      </c>
      <c r="D1525" t="s">
        <v>80</v>
      </c>
      <c r="E1525" t="s">
        <v>111</v>
      </c>
      <c r="F1525">
        <v>1</v>
      </c>
      <c r="G1525" t="s">
        <v>60</v>
      </c>
      <c r="H1525" t="s">
        <v>110</v>
      </c>
      <c r="I1525">
        <v>1</v>
      </c>
      <c r="J1525" s="19">
        <f>WEEKNUM(tblRidershipData[[#This Row],[MeasurementDate]])</f>
        <v>46</v>
      </c>
      <c r="K1525" s="19">
        <f>MONTH(tblRidershipData[[#This Row],[MeasurementDate]])</f>
        <v>11</v>
      </c>
    </row>
    <row r="1526" spans="1:11" x14ac:dyDescent="0.25">
      <c r="A1526" s="31">
        <v>43780</v>
      </c>
      <c r="B1526" t="s">
        <v>2</v>
      </c>
      <c r="C1526" s="31">
        <v>1030</v>
      </c>
      <c r="D1526" t="s">
        <v>80</v>
      </c>
      <c r="E1526" t="s">
        <v>111</v>
      </c>
      <c r="F1526">
        <v>1</v>
      </c>
      <c r="G1526" t="s">
        <v>66</v>
      </c>
      <c r="H1526" t="s">
        <v>110</v>
      </c>
      <c r="I1526">
        <v>9</v>
      </c>
      <c r="J1526" s="19">
        <f>WEEKNUM(tblRidershipData[[#This Row],[MeasurementDate]])</f>
        <v>46</v>
      </c>
      <c r="K1526" s="19">
        <f>MONTH(tblRidershipData[[#This Row],[MeasurementDate]])</f>
        <v>11</v>
      </c>
    </row>
    <row r="1527" spans="1:11" x14ac:dyDescent="0.25">
      <c r="A1527" s="31">
        <v>43780</v>
      </c>
      <c r="B1527" t="s">
        <v>2</v>
      </c>
      <c r="C1527" s="31">
        <v>1030</v>
      </c>
      <c r="D1527" t="s">
        <v>80</v>
      </c>
      <c r="E1527" t="s">
        <v>111</v>
      </c>
      <c r="F1527">
        <v>1</v>
      </c>
      <c r="G1527" t="s">
        <v>70</v>
      </c>
      <c r="H1527" t="s">
        <v>110</v>
      </c>
      <c r="I1527">
        <v>1</v>
      </c>
      <c r="J1527" s="19">
        <f>WEEKNUM(tblRidershipData[[#This Row],[MeasurementDate]])</f>
        <v>46</v>
      </c>
      <c r="K1527" s="19">
        <f>MONTH(tblRidershipData[[#This Row],[MeasurementDate]])</f>
        <v>11</v>
      </c>
    </row>
    <row r="1528" spans="1:11" x14ac:dyDescent="0.25">
      <c r="A1528" s="31">
        <v>43780</v>
      </c>
      <c r="B1528" t="s">
        <v>2</v>
      </c>
      <c r="C1528" s="31">
        <v>1030</v>
      </c>
      <c r="D1528" t="s">
        <v>80</v>
      </c>
      <c r="E1528" t="s">
        <v>111</v>
      </c>
      <c r="F1528">
        <v>1</v>
      </c>
      <c r="G1528" t="s">
        <v>71</v>
      </c>
      <c r="H1528" t="s">
        <v>110</v>
      </c>
      <c r="I1528">
        <v>4</v>
      </c>
      <c r="J1528" s="19">
        <f>WEEKNUM(tblRidershipData[[#This Row],[MeasurementDate]])</f>
        <v>46</v>
      </c>
      <c r="K1528" s="19">
        <f>MONTH(tblRidershipData[[#This Row],[MeasurementDate]])</f>
        <v>11</v>
      </c>
    </row>
    <row r="1529" spans="1:11" x14ac:dyDescent="0.25">
      <c r="A1529" s="31">
        <v>43780</v>
      </c>
      <c r="B1529" t="s">
        <v>2</v>
      </c>
      <c r="C1529" s="31">
        <v>1030</v>
      </c>
      <c r="D1529" t="s">
        <v>80</v>
      </c>
      <c r="E1529" t="s">
        <v>111</v>
      </c>
      <c r="F1529">
        <v>1</v>
      </c>
      <c r="G1529" t="s">
        <v>76</v>
      </c>
      <c r="H1529" t="s">
        <v>110</v>
      </c>
      <c r="I1529">
        <v>1</v>
      </c>
      <c r="J1529" s="19">
        <f>WEEKNUM(tblRidershipData[[#This Row],[MeasurementDate]])</f>
        <v>46</v>
      </c>
      <c r="K1529" s="19">
        <f>MONTH(tblRidershipData[[#This Row],[MeasurementDate]])</f>
        <v>11</v>
      </c>
    </row>
    <row r="1530" spans="1:11" x14ac:dyDescent="0.25">
      <c r="A1530" s="31">
        <v>43780</v>
      </c>
      <c r="B1530" t="s">
        <v>2</v>
      </c>
      <c r="C1530" s="31">
        <v>1030</v>
      </c>
      <c r="D1530" t="s">
        <v>80</v>
      </c>
      <c r="E1530" t="s">
        <v>109</v>
      </c>
      <c r="F1530">
        <v>1</v>
      </c>
      <c r="G1530" t="s">
        <v>44</v>
      </c>
      <c r="H1530" t="s">
        <v>110</v>
      </c>
      <c r="I1530">
        <v>19</v>
      </c>
      <c r="J1530" s="19">
        <f>WEEKNUM(tblRidershipData[[#This Row],[MeasurementDate]])</f>
        <v>46</v>
      </c>
      <c r="K1530" s="19">
        <f>MONTH(tblRidershipData[[#This Row],[MeasurementDate]])</f>
        <v>11</v>
      </c>
    </row>
    <row r="1531" spans="1:11" x14ac:dyDescent="0.25">
      <c r="A1531" s="31">
        <v>43780</v>
      </c>
      <c r="B1531" t="s">
        <v>2</v>
      </c>
      <c r="C1531" s="31">
        <v>1030</v>
      </c>
      <c r="D1531" t="s">
        <v>80</v>
      </c>
      <c r="E1531" t="s">
        <v>109</v>
      </c>
      <c r="F1531">
        <v>1</v>
      </c>
      <c r="G1531" t="s">
        <v>57</v>
      </c>
      <c r="H1531" t="s">
        <v>110</v>
      </c>
      <c r="I1531">
        <v>13</v>
      </c>
      <c r="J1531" s="19">
        <f>WEEKNUM(tblRidershipData[[#This Row],[MeasurementDate]])</f>
        <v>46</v>
      </c>
      <c r="K1531" s="19">
        <f>MONTH(tblRidershipData[[#This Row],[MeasurementDate]])</f>
        <v>11</v>
      </c>
    </row>
    <row r="1532" spans="1:11" x14ac:dyDescent="0.25">
      <c r="A1532" s="31">
        <v>43780</v>
      </c>
      <c r="B1532" t="s">
        <v>2</v>
      </c>
      <c r="C1532" s="31">
        <v>1030</v>
      </c>
      <c r="D1532" t="s">
        <v>80</v>
      </c>
      <c r="E1532" t="s">
        <v>109</v>
      </c>
      <c r="F1532">
        <v>1</v>
      </c>
      <c r="G1532" t="s">
        <v>59</v>
      </c>
      <c r="H1532" t="s">
        <v>110</v>
      </c>
      <c r="I1532">
        <v>45</v>
      </c>
      <c r="J1532" s="19">
        <f>WEEKNUM(tblRidershipData[[#This Row],[MeasurementDate]])</f>
        <v>46</v>
      </c>
      <c r="K1532" s="19">
        <f>MONTH(tblRidershipData[[#This Row],[MeasurementDate]])</f>
        <v>11</v>
      </c>
    </row>
    <row r="1533" spans="1:11" x14ac:dyDescent="0.25">
      <c r="A1533" s="31">
        <v>43780</v>
      </c>
      <c r="B1533" t="s">
        <v>2</v>
      </c>
      <c r="C1533" s="31">
        <v>1030</v>
      </c>
      <c r="D1533" t="s">
        <v>80</v>
      </c>
      <c r="E1533" t="s">
        <v>109</v>
      </c>
      <c r="F1533">
        <v>1</v>
      </c>
      <c r="G1533" t="s">
        <v>70</v>
      </c>
      <c r="H1533" t="s">
        <v>110</v>
      </c>
      <c r="I1533">
        <v>4</v>
      </c>
      <c r="J1533" s="19">
        <f>WEEKNUM(tblRidershipData[[#This Row],[MeasurementDate]])</f>
        <v>46</v>
      </c>
      <c r="K1533" s="19">
        <f>MONTH(tblRidershipData[[#This Row],[MeasurementDate]])</f>
        <v>11</v>
      </c>
    </row>
    <row r="1534" spans="1:11" x14ac:dyDescent="0.25">
      <c r="A1534" s="31">
        <v>43780</v>
      </c>
      <c r="B1534" t="s">
        <v>2</v>
      </c>
      <c r="C1534" s="31">
        <v>1030</v>
      </c>
      <c r="D1534" t="s">
        <v>80</v>
      </c>
      <c r="E1534" t="s">
        <v>111</v>
      </c>
      <c r="F1534">
        <v>1</v>
      </c>
      <c r="G1534" t="s">
        <v>44</v>
      </c>
      <c r="H1534" t="s">
        <v>112</v>
      </c>
      <c r="I1534">
        <v>3</v>
      </c>
      <c r="J1534" s="19">
        <f>WEEKNUM(tblRidershipData[[#This Row],[MeasurementDate]])</f>
        <v>46</v>
      </c>
      <c r="K1534" s="19">
        <f>MONTH(tblRidershipData[[#This Row],[MeasurementDate]])</f>
        <v>11</v>
      </c>
    </row>
    <row r="1535" spans="1:11" x14ac:dyDescent="0.25">
      <c r="A1535" s="31">
        <v>43780</v>
      </c>
      <c r="B1535" t="s">
        <v>2</v>
      </c>
      <c r="C1535" s="31">
        <v>1030</v>
      </c>
      <c r="D1535" t="s">
        <v>80</v>
      </c>
      <c r="E1535" t="s">
        <v>111</v>
      </c>
      <c r="F1535">
        <v>1</v>
      </c>
      <c r="G1535" t="s">
        <v>55</v>
      </c>
      <c r="H1535" t="s">
        <v>112</v>
      </c>
      <c r="I1535">
        <v>3</v>
      </c>
      <c r="J1535" s="19">
        <f>WEEKNUM(tblRidershipData[[#This Row],[MeasurementDate]])</f>
        <v>46</v>
      </c>
      <c r="K1535" s="19">
        <f>MONTH(tblRidershipData[[#This Row],[MeasurementDate]])</f>
        <v>11</v>
      </c>
    </row>
    <row r="1536" spans="1:11" x14ac:dyDescent="0.25">
      <c r="A1536" s="31">
        <v>43780</v>
      </c>
      <c r="B1536" t="s">
        <v>2</v>
      </c>
      <c r="C1536" s="31">
        <v>1030</v>
      </c>
      <c r="D1536" t="s">
        <v>80</v>
      </c>
      <c r="E1536" t="s">
        <v>111</v>
      </c>
      <c r="F1536">
        <v>1</v>
      </c>
      <c r="G1536" t="s">
        <v>69</v>
      </c>
      <c r="H1536" t="s">
        <v>112</v>
      </c>
      <c r="I1536">
        <v>16</v>
      </c>
      <c r="J1536" s="19">
        <f>WEEKNUM(tblRidershipData[[#This Row],[MeasurementDate]])</f>
        <v>46</v>
      </c>
      <c r="K1536" s="19">
        <f>MONTH(tblRidershipData[[#This Row],[MeasurementDate]])</f>
        <v>11</v>
      </c>
    </row>
    <row r="1537" spans="1:11" x14ac:dyDescent="0.25">
      <c r="A1537" s="31">
        <v>43780</v>
      </c>
      <c r="B1537" t="s">
        <v>2</v>
      </c>
      <c r="C1537" s="31">
        <v>1030</v>
      </c>
      <c r="D1537" t="s">
        <v>80</v>
      </c>
      <c r="E1537" t="s">
        <v>111</v>
      </c>
      <c r="F1537">
        <v>1</v>
      </c>
      <c r="G1537" t="s">
        <v>75</v>
      </c>
      <c r="H1537" t="s">
        <v>112</v>
      </c>
      <c r="I1537">
        <v>11</v>
      </c>
      <c r="J1537" s="19">
        <f>WEEKNUM(tblRidershipData[[#This Row],[MeasurementDate]])</f>
        <v>46</v>
      </c>
      <c r="K1537" s="19">
        <f>MONTH(tblRidershipData[[#This Row],[MeasurementDate]])</f>
        <v>11</v>
      </c>
    </row>
    <row r="1538" spans="1:11" x14ac:dyDescent="0.25">
      <c r="A1538" s="31">
        <v>43780</v>
      </c>
      <c r="B1538" t="s">
        <v>2</v>
      </c>
      <c r="C1538" s="31">
        <v>1030</v>
      </c>
      <c r="D1538" t="s">
        <v>80</v>
      </c>
      <c r="E1538" t="s">
        <v>109</v>
      </c>
      <c r="F1538">
        <v>1</v>
      </c>
      <c r="G1538" t="s">
        <v>43</v>
      </c>
      <c r="H1538" t="s">
        <v>112</v>
      </c>
      <c r="I1538">
        <v>11</v>
      </c>
      <c r="J1538" s="19">
        <f>WEEKNUM(tblRidershipData[[#This Row],[MeasurementDate]])</f>
        <v>46</v>
      </c>
      <c r="K1538" s="19">
        <f>MONTH(tblRidershipData[[#This Row],[MeasurementDate]])</f>
        <v>11</v>
      </c>
    </row>
    <row r="1539" spans="1:11" x14ac:dyDescent="0.25">
      <c r="A1539" s="31">
        <v>43780</v>
      </c>
      <c r="B1539" t="s">
        <v>2</v>
      </c>
      <c r="C1539" s="31">
        <v>1030</v>
      </c>
      <c r="D1539" t="s">
        <v>80</v>
      </c>
      <c r="E1539" t="s">
        <v>109</v>
      </c>
      <c r="F1539">
        <v>1</v>
      </c>
      <c r="G1539" t="s">
        <v>46</v>
      </c>
      <c r="H1539" t="s">
        <v>112</v>
      </c>
      <c r="I1539">
        <v>5</v>
      </c>
      <c r="J1539" s="19">
        <f>WEEKNUM(tblRidershipData[[#This Row],[MeasurementDate]])</f>
        <v>46</v>
      </c>
      <c r="K1539" s="19">
        <f>MONTH(tblRidershipData[[#This Row],[MeasurementDate]])</f>
        <v>11</v>
      </c>
    </row>
    <row r="1540" spans="1:11" x14ac:dyDescent="0.25">
      <c r="A1540" s="31">
        <v>43780</v>
      </c>
      <c r="B1540" t="s">
        <v>2</v>
      </c>
      <c r="C1540" s="31">
        <v>1030</v>
      </c>
      <c r="D1540" t="s">
        <v>80</v>
      </c>
      <c r="E1540" t="s">
        <v>109</v>
      </c>
      <c r="F1540">
        <v>1</v>
      </c>
      <c r="G1540" t="s">
        <v>55</v>
      </c>
      <c r="H1540" t="s">
        <v>112</v>
      </c>
      <c r="I1540">
        <v>1</v>
      </c>
      <c r="J1540" s="19">
        <f>WEEKNUM(tblRidershipData[[#This Row],[MeasurementDate]])</f>
        <v>46</v>
      </c>
      <c r="K1540" s="19">
        <f>MONTH(tblRidershipData[[#This Row],[MeasurementDate]])</f>
        <v>11</v>
      </c>
    </row>
    <row r="1541" spans="1:11" x14ac:dyDescent="0.25">
      <c r="A1541" s="31">
        <v>43780</v>
      </c>
      <c r="B1541" t="s">
        <v>2</v>
      </c>
      <c r="C1541" s="31">
        <v>1030</v>
      </c>
      <c r="D1541" t="s">
        <v>80</v>
      </c>
      <c r="E1541" t="s">
        <v>109</v>
      </c>
      <c r="F1541">
        <v>1</v>
      </c>
      <c r="G1541" t="s">
        <v>67</v>
      </c>
      <c r="H1541" t="s">
        <v>112</v>
      </c>
      <c r="I1541">
        <v>3</v>
      </c>
      <c r="J1541" s="19">
        <f>WEEKNUM(tblRidershipData[[#This Row],[MeasurementDate]])</f>
        <v>46</v>
      </c>
      <c r="K1541" s="19">
        <f>MONTH(tblRidershipData[[#This Row],[MeasurementDate]])</f>
        <v>11</v>
      </c>
    </row>
    <row r="1542" spans="1:11" x14ac:dyDescent="0.25">
      <c r="A1542" s="31">
        <v>43780</v>
      </c>
      <c r="B1542" t="s">
        <v>2</v>
      </c>
      <c r="C1542" s="31">
        <v>1030</v>
      </c>
      <c r="D1542" t="s">
        <v>80</v>
      </c>
      <c r="E1542" t="s">
        <v>109</v>
      </c>
      <c r="F1542">
        <v>1</v>
      </c>
      <c r="G1542" t="s">
        <v>69</v>
      </c>
      <c r="H1542" t="s">
        <v>112</v>
      </c>
      <c r="I1542">
        <v>3</v>
      </c>
      <c r="J1542" s="19">
        <f>WEEKNUM(tblRidershipData[[#This Row],[MeasurementDate]])</f>
        <v>46</v>
      </c>
      <c r="K1542" s="19">
        <f>MONTH(tblRidershipData[[#This Row],[MeasurementDate]])</f>
        <v>11</v>
      </c>
    </row>
    <row r="1543" spans="1:11" x14ac:dyDescent="0.25">
      <c r="A1543" s="31">
        <v>43780</v>
      </c>
      <c r="B1543" t="s">
        <v>2</v>
      </c>
      <c r="C1543" s="31">
        <v>1030</v>
      </c>
      <c r="D1543" t="s">
        <v>80</v>
      </c>
      <c r="E1543" t="s">
        <v>109</v>
      </c>
      <c r="F1543">
        <v>1</v>
      </c>
      <c r="G1543" t="s">
        <v>70</v>
      </c>
      <c r="H1543" t="s">
        <v>112</v>
      </c>
      <c r="I1543">
        <v>12</v>
      </c>
      <c r="J1543" s="19">
        <f>WEEKNUM(tblRidershipData[[#This Row],[MeasurementDate]])</f>
        <v>46</v>
      </c>
      <c r="K1543" s="19">
        <f>MONTH(tblRidershipData[[#This Row],[MeasurementDate]])</f>
        <v>11</v>
      </c>
    </row>
    <row r="1544" spans="1:11" x14ac:dyDescent="0.25">
      <c r="A1544" s="31">
        <v>43780</v>
      </c>
      <c r="B1544" t="s">
        <v>2</v>
      </c>
      <c r="C1544" s="31">
        <v>1030</v>
      </c>
      <c r="D1544" t="s">
        <v>80</v>
      </c>
      <c r="E1544" t="s">
        <v>109</v>
      </c>
      <c r="F1544">
        <v>1</v>
      </c>
      <c r="G1544" t="s">
        <v>71</v>
      </c>
      <c r="H1544" t="s">
        <v>112</v>
      </c>
      <c r="I1544">
        <v>18</v>
      </c>
      <c r="J1544" s="19">
        <f>WEEKNUM(tblRidershipData[[#This Row],[MeasurementDate]])</f>
        <v>46</v>
      </c>
      <c r="K1544" s="19">
        <f>MONTH(tblRidershipData[[#This Row],[MeasurementDate]])</f>
        <v>11</v>
      </c>
    </row>
    <row r="1545" spans="1:11" x14ac:dyDescent="0.25">
      <c r="A1545" s="31">
        <v>43780</v>
      </c>
      <c r="B1545" t="s">
        <v>2</v>
      </c>
      <c r="C1545" s="31">
        <v>1030</v>
      </c>
      <c r="D1545" t="s">
        <v>80</v>
      </c>
      <c r="E1545" t="s">
        <v>109</v>
      </c>
      <c r="F1545">
        <v>1</v>
      </c>
      <c r="G1545" t="s">
        <v>76</v>
      </c>
      <c r="H1545" t="s">
        <v>112</v>
      </c>
      <c r="I1545">
        <v>2</v>
      </c>
      <c r="J1545" s="19">
        <f>WEEKNUM(tblRidershipData[[#This Row],[MeasurementDate]])</f>
        <v>46</v>
      </c>
      <c r="K1545" s="19">
        <f>MONTH(tblRidershipData[[#This Row],[MeasurementDate]])</f>
        <v>11</v>
      </c>
    </row>
    <row r="1546" spans="1:11" x14ac:dyDescent="0.25">
      <c r="A1546" s="31">
        <v>43780</v>
      </c>
      <c r="B1546" t="s">
        <v>2</v>
      </c>
      <c r="C1546" s="31">
        <v>1030</v>
      </c>
      <c r="D1546" t="s">
        <v>80</v>
      </c>
      <c r="E1546" t="s">
        <v>109</v>
      </c>
      <c r="F1546">
        <v>2</v>
      </c>
      <c r="G1546" t="s">
        <v>43</v>
      </c>
      <c r="H1546" t="s">
        <v>112</v>
      </c>
      <c r="I1546">
        <v>2</v>
      </c>
      <c r="J1546" s="19">
        <f>WEEKNUM(tblRidershipData[[#This Row],[MeasurementDate]])</f>
        <v>46</v>
      </c>
      <c r="K1546" s="19">
        <f>MONTH(tblRidershipData[[#This Row],[MeasurementDate]])</f>
        <v>11</v>
      </c>
    </row>
    <row r="1547" spans="1:11" x14ac:dyDescent="0.25">
      <c r="A1547" s="31">
        <v>43780</v>
      </c>
      <c r="B1547" t="s">
        <v>2</v>
      </c>
      <c r="C1547" s="31">
        <v>1030</v>
      </c>
      <c r="D1547" t="s">
        <v>80</v>
      </c>
      <c r="E1547" t="s">
        <v>109</v>
      </c>
      <c r="F1547">
        <v>2</v>
      </c>
      <c r="G1547" t="s">
        <v>60</v>
      </c>
      <c r="H1547" t="s">
        <v>112</v>
      </c>
      <c r="I1547">
        <v>6</v>
      </c>
      <c r="J1547" s="19">
        <f>WEEKNUM(tblRidershipData[[#This Row],[MeasurementDate]])</f>
        <v>46</v>
      </c>
      <c r="K1547" s="19">
        <f>MONTH(tblRidershipData[[#This Row],[MeasurementDate]])</f>
        <v>11</v>
      </c>
    </row>
    <row r="1548" spans="1:11" x14ac:dyDescent="0.25">
      <c r="A1548" s="31">
        <v>43780</v>
      </c>
      <c r="B1548" t="s">
        <v>2</v>
      </c>
      <c r="C1548" s="31">
        <v>1030</v>
      </c>
      <c r="D1548" t="s">
        <v>80</v>
      </c>
      <c r="E1548" t="s">
        <v>109</v>
      </c>
      <c r="F1548">
        <v>2</v>
      </c>
      <c r="G1548" t="s">
        <v>67</v>
      </c>
      <c r="H1548" t="s">
        <v>112</v>
      </c>
      <c r="I1548">
        <v>3</v>
      </c>
      <c r="J1548" s="19">
        <f>WEEKNUM(tblRidershipData[[#This Row],[MeasurementDate]])</f>
        <v>46</v>
      </c>
      <c r="K1548" s="19">
        <f>MONTH(tblRidershipData[[#This Row],[MeasurementDate]])</f>
        <v>11</v>
      </c>
    </row>
    <row r="1549" spans="1:11" x14ac:dyDescent="0.25">
      <c r="A1549" s="31">
        <v>43780</v>
      </c>
      <c r="B1549" t="s">
        <v>2</v>
      </c>
      <c r="C1549" s="31">
        <v>1030</v>
      </c>
      <c r="D1549" t="s">
        <v>80</v>
      </c>
      <c r="E1549" t="s">
        <v>109</v>
      </c>
      <c r="F1549">
        <v>2</v>
      </c>
      <c r="G1549" t="s">
        <v>71</v>
      </c>
      <c r="H1549" t="s">
        <v>112</v>
      </c>
      <c r="I1549">
        <v>2</v>
      </c>
      <c r="J1549" s="19">
        <f>WEEKNUM(tblRidershipData[[#This Row],[MeasurementDate]])</f>
        <v>46</v>
      </c>
      <c r="K1549" s="19">
        <f>MONTH(tblRidershipData[[#This Row],[MeasurementDate]])</f>
        <v>11</v>
      </c>
    </row>
    <row r="1550" spans="1:11" x14ac:dyDescent="0.25">
      <c r="A1550" s="31">
        <v>43780</v>
      </c>
      <c r="B1550" t="s">
        <v>2</v>
      </c>
      <c r="C1550" s="31">
        <v>1030</v>
      </c>
      <c r="D1550" t="s">
        <v>80</v>
      </c>
      <c r="E1550" t="s">
        <v>109</v>
      </c>
      <c r="F1550">
        <v>2</v>
      </c>
      <c r="G1550" t="s">
        <v>76</v>
      </c>
      <c r="H1550" t="s">
        <v>112</v>
      </c>
      <c r="I1550">
        <v>3</v>
      </c>
      <c r="J1550" s="19">
        <f>WEEKNUM(tblRidershipData[[#This Row],[MeasurementDate]])</f>
        <v>46</v>
      </c>
      <c r="K1550" s="19">
        <f>MONTH(tblRidershipData[[#This Row],[MeasurementDate]])</f>
        <v>11</v>
      </c>
    </row>
    <row r="1551" spans="1:11" x14ac:dyDescent="0.25">
      <c r="A1551" s="31">
        <v>43780</v>
      </c>
      <c r="B1551" t="s">
        <v>2</v>
      </c>
      <c r="C1551" s="31">
        <v>2341</v>
      </c>
      <c r="D1551" t="s">
        <v>105</v>
      </c>
      <c r="E1551" t="s">
        <v>111</v>
      </c>
      <c r="F1551">
        <v>1</v>
      </c>
      <c r="G1551" t="s">
        <v>43</v>
      </c>
      <c r="H1551" t="s">
        <v>110</v>
      </c>
      <c r="I1551">
        <v>11</v>
      </c>
      <c r="J1551" s="19">
        <f>WEEKNUM(tblRidershipData[[#This Row],[MeasurementDate]])</f>
        <v>46</v>
      </c>
      <c r="K1551" s="19">
        <f>MONTH(tblRidershipData[[#This Row],[MeasurementDate]])</f>
        <v>11</v>
      </c>
    </row>
    <row r="1552" spans="1:11" x14ac:dyDescent="0.25">
      <c r="A1552" s="31">
        <v>43780</v>
      </c>
      <c r="B1552" t="s">
        <v>2</v>
      </c>
      <c r="C1552" s="31">
        <v>2341</v>
      </c>
      <c r="D1552" t="s">
        <v>105</v>
      </c>
      <c r="E1552" t="s">
        <v>111</v>
      </c>
      <c r="F1552">
        <v>1</v>
      </c>
      <c r="G1552" t="s">
        <v>44</v>
      </c>
      <c r="H1552" t="s">
        <v>110</v>
      </c>
      <c r="I1552">
        <v>1</v>
      </c>
      <c r="J1552" s="19">
        <f>WEEKNUM(tblRidershipData[[#This Row],[MeasurementDate]])</f>
        <v>46</v>
      </c>
      <c r="K1552" s="19">
        <f>MONTH(tblRidershipData[[#This Row],[MeasurementDate]])</f>
        <v>11</v>
      </c>
    </row>
    <row r="1553" spans="1:11" x14ac:dyDescent="0.25">
      <c r="A1553" s="31">
        <v>43780</v>
      </c>
      <c r="B1553" t="s">
        <v>2</v>
      </c>
      <c r="C1553" s="31">
        <v>2341</v>
      </c>
      <c r="D1553" t="s">
        <v>105</v>
      </c>
      <c r="E1553" t="s">
        <v>111</v>
      </c>
      <c r="F1553">
        <v>1</v>
      </c>
      <c r="G1553" t="s">
        <v>46</v>
      </c>
      <c r="H1553" t="s">
        <v>110</v>
      </c>
      <c r="I1553">
        <v>15</v>
      </c>
      <c r="J1553" s="19">
        <f>WEEKNUM(tblRidershipData[[#This Row],[MeasurementDate]])</f>
        <v>46</v>
      </c>
      <c r="K1553" s="19">
        <f>MONTH(tblRidershipData[[#This Row],[MeasurementDate]])</f>
        <v>11</v>
      </c>
    </row>
    <row r="1554" spans="1:11" x14ac:dyDescent="0.25">
      <c r="A1554" s="31">
        <v>43780</v>
      </c>
      <c r="B1554" t="s">
        <v>2</v>
      </c>
      <c r="C1554" s="31">
        <v>2341</v>
      </c>
      <c r="D1554" t="s">
        <v>105</v>
      </c>
      <c r="E1554" t="s">
        <v>111</v>
      </c>
      <c r="F1554">
        <v>1</v>
      </c>
      <c r="G1554" t="s">
        <v>69</v>
      </c>
      <c r="H1554" t="s">
        <v>110</v>
      </c>
      <c r="I1554">
        <v>5</v>
      </c>
      <c r="J1554" s="19">
        <f>WEEKNUM(tblRidershipData[[#This Row],[MeasurementDate]])</f>
        <v>46</v>
      </c>
      <c r="K1554" s="19">
        <f>MONTH(tblRidershipData[[#This Row],[MeasurementDate]])</f>
        <v>11</v>
      </c>
    </row>
    <row r="1555" spans="1:11" x14ac:dyDescent="0.25">
      <c r="A1555" s="31">
        <v>43780</v>
      </c>
      <c r="B1555" t="s">
        <v>2</v>
      </c>
      <c r="C1555" s="31">
        <v>2341</v>
      </c>
      <c r="D1555" t="s">
        <v>105</v>
      </c>
      <c r="E1555" t="s">
        <v>111</v>
      </c>
      <c r="F1555">
        <v>1</v>
      </c>
      <c r="G1555" t="s">
        <v>71</v>
      </c>
      <c r="H1555" t="s">
        <v>110</v>
      </c>
      <c r="I1555">
        <v>9</v>
      </c>
      <c r="J1555" s="19">
        <f>WEEKNUM(tblRidershipData[[#This Row],[MeasurementDate]])</f>
        <v>46</v>
      </c>
      <c r="K1555" s="19">
        <f>MONTH(tblRidershipData[[#This Row],[MeasurementDate]])</f>
        <v>11</v>
      </c>
    </row>
    <row r="1556" spans="1:11" x14ac:dyDescent="0.25">
      <c r="A1556" s="31">
        <v>43780</v>
      </c>
      <c r="B1556" t="s">
        <v>2</v>
      </c>
      <c r="C1556" s="31">
        <v>2341</v>
      </c>
      <c r="D1556" t="s">
        <v>105</v>
      </c>
      <c r="E1556" t="s">
        <v>111</v>
      </c>
      <c r="F1556">
        <v>1</v>
      </c>
      <c r="G1556" t="s">
        <v>69</v>
      </c>
      <c r="H1556" t="s">
        <v>110</v>
      </c>
      <c r="I1556">
        <v>4</v>
      </c>
      <c r="J1556" s="19">
        <f>WEEKNUM(tblRidershipData[[#This Row],[MeasurementDate]])</f>
        <v>46</v>
      </c>
      <c r="K1556" s="19">
        <f>MONTH(tblRidershipData[[#This Row],[MeasurementDate]])</f>
        <v>11</v>
      </c>
    </row>
    <row r="1557" spans="1:11" x14ac:dyDescent="0.25">
      <c r="A1557" s="31">
        <v>43780</v>
      </c>
      <c r="B1557" t="s">
        <v>2</v>
      </c>
      <c r="C1557" s="31">
        <v>2341</v>
      </c>
      <c r="D1557" t="s">
        <v>105</v>
      </c>
      <c r="E1557" t="s">
        <v>111</v>
      </c>
      <c r="F1557">
        <v>1</v>
      </c>
      <c r="G1557" t="s">
        <v>72</v>
      </c>
      <c r="H1557" t="s">
        <v>110</v>
      </c>
      <c r="I1557">
        <v>1</v>
      </c>
      <c r="J1557" s="19">
        <f>WEEKNUM(tblRidershipData[[#This Row],[MeasurementDate]])</f>
        <v>46</v>
      </c>
      <c r="K1557" s="19">
        <f>MONTH(tblRidershipData[[#This Row],[MeasurementDate]])</f>
        <v>11</v>
      </c>
    </row>
    <row r="1558" spans="1:11" x14ac:dyDescent="0.25">
      <c r="A1558" s="31">
        <v>43780</v>
      </c>
      <c r="B1558" t="s">
        <v>2</v>
      </c>
      <c r="C1558" s="31">
        <v>2341</v>
      </c>
      <c r="D1558" t="s">
        <v>105</v>
      </c>
      <c r="E1558" t="s">
        <v>111</v>
      </c>
      <c r="F1558">
        <v>1</v>
      </c>
      <c r="G1558" t="s">
        <v>74</v>
      </c>
      <c r="H1558" t="s">
        <v>110</v>
      </c>
      <c r="I1558">
        <v>35</v>
      </c>
      <c r="J1558" s="19">
        <f>WEEKNUM(tblRidershipData[[#This Row],[MeasurementDate]])</f>
        <v>46</v>
      </c>
      <c r="K1558" s="19">
        <f>MONTH(tblRidershipData[[#This Row],[MeasurementDate]])</f>
        <v>11</v>
      </c>
    </row>
    <row r="1559" spans="1:11" x14ac:dyDescent="0.25">
      <c r="A1559" s="31">
        <v>43780</v>
      </c>
      <c r="B1559" t="s">
        <v>2</v>
      </c>
      <c r="C1559" s="31">
        <v>2361</v>
      </c>
      <c r="D1559" t="s">
        <v>81</v>
      </c>
      <c r="E1559" t="s">
        <v>111</v>
      </c>
      <c r="F1559">
        <v>1</v>
      </c>
      <c r="G1559" t="s">
        <v>51</v>
      </c>
      <c r="H1559" t="s">
        <v>110</v>
      </c>
      <c r="I1559">
        <v>13</v>
      </c>
      <c r="J1559" s="19">
        <f>WEEKNUM(tblRidershipData[[#This Row],[MeasurementDate]])</f>
        <v>46</v>
      </c>
      <c r="K1559" s="19">
        <f>MONTH(tblRidershipData[[#This Row],[MeasurementDate]])</f>
        <v>11</v>
      </c>
    </row>
    <row r="1560" spans="1:11" x14ac:dyDescent="0.25">
      <c r="A1560" s="31">
        <v>43780</v>
      </c>
      <c r="B1560" t="s">
        <v>2</v>
      </c>
      <c r="C1560" s="31">
        <v>2361</v>
      </c>
      <c r="D1560" t="s">
        <v>81</v>
      </c>
      <c r="E1560" t="s">
        <v>111</v>
      </c>
      <c r="F1560">
        <v>1</v>
      </c>
      <c r="G1560" t="s">
        <v>59</v>
      </c>
      <c r="H1560" t="s">
        <v>110</v>
      </c>
      <c r="I1560">
        <v>27</v>
      </c>
      <c r="J1560" s="19">
        <f>WEEKNUM(tblRidershipData[[#This Row],[MeasurementDate]])</f>
        <v>46</v>
      </c>
      <c r="K1560" s="19">
        <f>MONTH(tblRidershipData[[#This Row],[MeasurementDate]])</f>
        <v>11</v>
      </c>
    </row>
    <row r="1561" spans="1:11" x14ac:dyDescent="0.25">
      <c r="A1561" s="31">
        <v>43780</v>
      </c>
      <c r="B1561" t="s">
        <v>2</v>
      </c>
      <c r="C1561" s="31">
        <v>2361</v>
      </c>
      <c r="D1561" t="s">
        <v>81</v>
      </c>
      <c r="E1561" t="s">
        <v>111</v>
      </c>
      <c r="F1561">
        <v>1</v>
      </c>
      <c r="G1561" t="s">
        <v>69</v>
      </c>
      <c r="H1561" t="s">
        <v>110</v>
      </c>
      <c r="I1561">
        <v>3</v>
      </c>
      <c r="J1561" s="19">
        <f>WEEKNUM(tblRidershipData[[#This Row],[MeasurementDate]])</f>
        <v>46</v>
      </c>
      <c r="K1561" s="19">
        <f>MONTH(tblRidershipData[[#This Row],[MeasurementDate]])</f>
        <v>11</v>
      </c>
    </row>
    <row r="1562" spans="1:11" x14ac:dyDescent="0.25">
      <c r="A1562" s="31">
        <v>43780</v>
      </c>
      <c r="B1562" t="s">
        <v>2</v>
      </c>
      <c r="C1562" s="31">
        <v>2361</v>
      </c>
      <c r="D1562" t="s">
        <v>81</v>
      </c>
      <c r="E1562" t="s">
        <v>111</v>
      </c>
      <c r="F1562">
        <v>1</v>
      </c>
      <c r="G1562" t="s">
        <v>75</v>
      </c>
      <c r="H1562" t="s">
        <v>110</v>
      </c>
      <c r="I1562">
        <v>14</v>
      </c>
      <c r="J1562" s="19">
        <f>WEEKNUM(tblRidershipData[[#This Row],[MeasurementDate]])</f>
        <v>46</v>
      </c>
      <c r="K1562" s="19">
        <f>MONTH(tblRidershipData[[#This Row],[MeasurementDate]])</f>
        <v>11</v>
      </c>
    </row>
    <row r="1563" spans="1:11" x14ac:dyDescent="0.25">
      <c r="A1563" s="31">
        <v>43780</v>
      </c>
      <c r="B1563" t="s">
        <v>2</v>
      </c>
      <c r="C1563" s="31">
        <v>2361</v>
      </c>
      <c r="D1563" t="s">
        <v>81</v>
      </c>
      <c r="E1563" t="s">
        <v>109</v>
      </c>
      <c r="F1563">
        <v>1</v>
      </c>
      <c r="G1563" t="s">
        <v>43</v>
      </c>
      <c r="H1563" t="s">
        <v>110</v>
      </c>
      <c r="I1563">
        <v>19</v>
      </c>
      <c r="J1563" s="19">
        <f>WEEKNUM(tblRidershipData[[#This Row],[MeasurementDate]])</f>
        <v>46</v>
      </c>
      <c r="K1563" s="19">
        <f>MONTH(tblRidershipData[[#This Row],[MeasurementDate]])</f>
        <v>11</v>
      </c>
    </row>
    <row r="1564" spans="1:11" x14ac:dyDescent="0.25">
      <c r="A1564" s="31">
        <v>43780</v>
      </c>
      <c r="B1564" t="s">
        <v>2</v>
      </c>
      <c r="C1564" s="31">
        <v>2361</v>
      </c>
      <c r="D1564" t="s">
        <v>81</v>
      </c>
      <c r="E1564" t="s">
        <v>109</v>
      </c>
      <c r="F1564">
        <v>1</v>
      </c>
      <c r="G1564" t="s">
        <v>46</v>
      </c>
      <c r="H1564" t="s">
        <v>110</v>
      </c>
      <c r="I1564">
        <v>5</v>
      </c>
      <c r="J1564" s="19">
        <f>WEEKNUM(tblRidershipData[[#This Row],[MeasurementDate]])</f>
        <v>46</v>
      </c>
      <c r="K1564" s="19">
        <f>MONTH(tblRidershipData[[#This Row],[MeasurementDate]])</f>
        <v>11</v>
      </c>
    </row>
    <row r="1565" spans="1:11" x14ac:dyDescent="0.25">
      <c r="A1565" s="31">
        <v>43780</v>
      </c>
      <c r="B1565" t="s">
        <v>2</v>
      </c>
      <c r="C1565" s="31">
        <v>2361</v>
      </c>
      <c r="D1565" t="s">
        <v>81</v>
      </c>
      <c r="E1565" t="s">
        <v>109</v>
      </c>
      <c r="F1565">
        <v>1</v>
      </c>
      <c r="G1565" t="s">
        <v>52</v>
      </c>
      <c r="H1565" t="s">
        <v>110</v>
      </c>
      <c r="I1565">
        <v>2</v>
      </c>
      <c r="J1565" s="19">
        <f>WEEKNUM(tblRidershipData[[#This Row],[MeasurementDate]])</f>
        <v>46</v>
      </c>
      <c r="K1565" s="19">
        <f>MONTH(tblRidershipData[[#This Row],[MeasurementDate]])</f>
        <v>11</v>
      </c>
    </row>
    <row r="1566" spans="1:11" x14ac:dyDescent="0.25">
      <c r="A1566" s="31">
        <v>43780</v>
      </c>
      <c r="B1566" t="s">
        <v>2</v>
      </c>
      <c r="C1566" s="31">
        <v>2361</v>
      </c>
      <c r="D1566" t="s">
        <v>81</v>
      </c>
      <c r="E1566" t="s">
        <v>109</v>
      </c>
      <c r="F1566">
        <v>1</v>
      </c>
      <c r="G1566" t="s">
        <v>54</v>
      </c>
      <c r="H1566" t="s">
        <v>110</v>
      </c>
      <c r="I1566">
        <v>3</v>
      </c>
      <c r="J1566" s="19">
        <f>WEEKNUM(tblRidershipData[[#This Row],[MeasurementDate]])</f>
        <v>46</v>
      </c>
      <c r="K1566" s="19">
        <f>MONTH(tblRidershipData[[#This Row],[MeasurementDate]])</f>
        <v>11</v>
      </c>
    </row>
    <row r="1567" spans="1:11" x14ac:dyDescent="0.25">
      <c r="A1567" s="31">
        <v>43780</v>
      </c>
      <c r="B1567" t="s">
        <v>2</v>
      </c>
      <c r="C1567" s="31">
        <v>2361</v>
      </c>
      <c r="D1567" t="s">
        <v>81</v>
      </c>
      <c r="E1567" t="s">
        <v>109</v>
      </c>
      <c r="F1567">
        <v>1</v>
      </c>
      <c r="G1567" t="s">
        <v>59</v>
      </c>
      <c r="H1567" t="s">
        <v>110</v>
      </c>
      <c r="I1567">
        <v>2</v>
      </c>
      <c r="J1567" s="19">
        <f>WEEKNUM(tblRidershipData[[#This Row],[MeasurementDate]])</f>
        <v>46</v>
      </c>
      <c r="K1567" s="19">
        <f>MONTH(tblRidershipData[[#This Row],[MeasurementDate]])</f>
        <v>11</v>
      </c>
    </row>
    <row r="1568" spans="1:11" x14ac:dyDescent="0.25">
      <c r="A1568" s="31">
        <v>43780</v>
      </c>
      <c r="B1568" t="s">
        <v>2</v>
      </c>
      <c r="C1568" s="31">
        <v>2361</v>
      </c>
      <c r="D1568" t="s">
        <v>81</v>
      </c>
      <c r="E1568" t="s">
        <v>109</v>
      </c>
      <c r="F1568">
        <v>1</v>
      </c>
      <c r="G1568" t="s">
        <v>66</v>
      </c>
      <c r="H1568" t="s">
        <v>110</v>
      </c>
      <c r="I1568">
        <v>20</v>
      </c>
      <c r="J1568" s="19">
        <f>WEEKNUM(tblRidershipData[[#This Row],[MeasurementDate]])</f>
        <v>46</v>
      </c>
      <c r="K1568" s="19">
        <f>MONTH(tblRidershipData[[#This Row],[MeasurementDate]])</f>
        <v>11</v>
      </c>
    </row>
    <row r="1569" spans="1:11" x14ac:dyDescent="0.25">
      <c r="A1569" s="31">
        <v>43780</v>
      </c>
      <c r="B1569" t="s">
        <v>2</v>
      </c>
      <c r="C1569" s="31">
        <v>2361</v>
      </c>
      <c r="D1569" t="s">
        <v>81</v>
      </c>
      <c r="E1569" t="s">
        <v>109</v>
      </c>
      <c r="F1569">
        <v>1</v>
      </c>
      <c r="G1569" t="s">
        <v>69</v>
      </c>
      <c r="H1569" t="s">
        <v>110</v>
      </c>
      <c r="I1569">
        <v>6</v>
      </c>
      <c r="J1569" s="19">
        <f>WEEKNUM(tblRidershipData[[#This Row],[MeasurementDate]])</f>
        <v>46</v>
      </c>
      <c r="K1569" s="19">
        <f>MONTH(tblRidershipData[[#This Row],[MeasurementDate]])</f>
        <v>11</v>
      </c>
    </row>
    <row r="1570" spans="1:11" x14ac:dyDescent="0.25">
      <c r="A1570" s="31">
        <v>43780</v>
      </c>
      <c r="B1570" t="s">
        <v>2</v>
      </c>
      <c r="C1570" s="31">
        <v>2361</v>
      </c>
      <c r="D1570" t="s">
        <v>81</v>
      </c>
      <c r="E1570" t="s">
        <v>109</v>
      </c>
      <c r="F1570">
        <v>1</v>
      </c>
      <c r="G1570" t="s">
        <v>71</v>
      </c>
      <c r="H1570" t="s">
        <v>110</v>
      </c>
      <c r="I1570">
        <v>2</v>
      </c>
      <c r="J1570" s="19">
        <f>WEEKNUM(tblRidershipData[[#This Row],[MeasurementDate]])</f>
        <v>46</v>
      </c>
      <c r="K1570" s="19">
        <f>MONTH(tblRidershipData[[#This Row],[MeasurementDate]])</f>
        <v>11</v>
      </c>
    </row>
    <row r="1571" spans="1:11" x14ac:dyDescent="0.25">
      <c r="A1571" s="31">
        <v>43780</v>
      </c>
      <c r="B1571" t="s">
        <v>2</v>
      </c>
      <c r="C1571" s="31">
        <v>2361</v>
      </c>
      <c r="D1571" t="s">
        <v>81</v>
      </c>
      <c r="E1571" t="s">
        <v>109</v>
      </c>
      <c r="F1571">
        <v>1</v>
      </c>
      <c r="G1571" t="s">
        <v>73</v>
      </c>
      <c r="H1571" t="s">
        <v>110</v>
      </c>
      <c r="I1571">
        <v>1</v>
      </c>
      <c r="J1571" s="19">
        <f>WEEKNUM(tblRidershipData[[#This Row],[MeasurementDate]])</f>
        <v>46</v>
      </c>
      <c r="K1571" s="19">
        <f>MONTH(tblRidershipData[[#This Row],[MeasurementDate]])</f>
        <v>11</v>
      </c>
    </row>
    <row r="1572" spans="1:11" x14ac:dyDescent="0.25">
      <c r="A1572" s="31">
        <v>43780</v>
      </c>
      <c r="B1572" t="s">
        <v>2</v>
      </c>
      <c r="C1572" s="31">
        <v>2361</v>
      </c>
      <c r="D1572" t="s">
        <v>81</v>
      </c>
      <c r="E1572" t="s">
        <v>109</v>
      </c>
      <c r="F1572">
        <v>1</v>
      </c>
      <c r="G1572" t="s">
        <v>76</v>
      </c>
      <c r="H1572" t="s">
        <v>110</v>
      </c>
      <c r="I1572">
        <v>2</v>
      </c>
      <c r="J1572" s="19">
        <f>WEEKNUM(tblRidershipData[[#This Row],[MeasurementDate]])</f>
        <v>46</v>
      </c>
      <c r="K1572" s="19">
        <f>MONTH(tblRidershipData[[#This Row],[MeasurementDate]])</f>
        <v>11</v>
      </c>
    </row>
    <row r="1573" spans="1:11" x14ac:dyDescent="0.25">
      <c r="A1573" s="31">
        <v>43780</v>
      </c>
      <c r="B1573" t="s">
        <v>2</v>
      </c>
      <c r="C1573" s="31">
        <v>2361</v>
      </c>
      <c r="D1573" t="s">
        <v>81</v>
      </c>
      <c r="E1573" t="s">
        <v>111</v>
      </c>
      <c r="F1573">
        <v>1</v>
      </c>
      <c r="G1573" t="s">
        <v>43</v>
      </c>
      <c r="H1573" t="s">
        <v>112</v>
      </c>
      <c r="I1573">
        <v>3</v>
      </c>
      <c r="J1573" s="19">
        <f>WEEKNUM(tblRidershipData[[#This Row],[MeasurementDate]])</f>
        <v>46</v>
      </c>
      <c r="K1573" s="19">
        <f>MONTH(tblRidershipData[[#This Row],[MeasurementDate]])</f>
        <v>11</v>
      </c>
    </row>
    <row r="1574" spans="1:11" x14ac:dyDescent="0.25">
      <c r="A1574" s="31">
        <v>43780</v>
      </c>
      <c r="B1574" t="s">
        <v>2</v>
      </c>
      <c r="C1574" s="31">
        <v>2361</v>
      </c>
      <c r="D1574" t="s">
        <v>81</v>
      </c>
      <c r="E1574" t="s">
        <v>111</v>
      </c>
      <c r="F1574">
        <v>1</v>
      </c>
      <c r="G1574" t="s">
        <v>44</v>
      </c>
      <c r="H1574" t="s">
        <v>112</v>
      </c>
      <c r="I1574">
        <v>8</v>
      </c>
      <c r="J1574" s="19">
        <f>WEEKNUM(tblRidershipData[[#This Row],[MeasurementDate]])</f>
        <v>46</v>
      </c>
      <c r="K1574" s="19">
        <f>MONTH(tblRidershipData[[#This Row],[MeasurementDate]])</f>
        <v>11</v>
      </c>
    </row>
    <row r="1575" spans="1:11" x14ac:dyDescent="0.25">
      <c r="A1575" s="31">
        <v>43780</v>
      </c>
      <c r="B1575" t="s">
        <v>2</v>
      </c>
      <c r="C1575" s="31">
        <v>2361</v>
      </c>
      <c r="D1575" t="s">
        <v>81</v>
      </c>
      <c r="E1575" t="s">
        <v>111</v>
      </c>
      <c r="F1575">
        <v>1</v>
      </c>
      <c r="G1575" t="s">
        <v>46</v>
      </c>
      <c r="H1575" t="s">
        <v>112</v>
      </c>
      <c r="I1575">
        <v>8</v>
      </c>
      <c r="J1575" s="19">
        <f>WEEKNUM(tblRidershipData[[#This Row],[MeasurementDate]])</f>
        <v>46</v>
      </c>
      <c r="K1575" s="19">
        <f>MONTH(tblRidershipData[[#This Row],[MeasurementDate]])</f>
        <v>11</v>
      </c>
    </row>
    <row r="1576" spans="1:11" x14ac:dyDescent="0.25">
      <c r="A1576" s="31">
        <v>43780</v>
      </c>
      <c r="B1576" t="s">
        <v>2</v>
      </c>
      <c r="C1576" s="31">
        <v>2361</v>
      </c>
      <c r="D1576" t="s">
        <v>81</v>
      </c>
      <c r="E1576" t="s">
        <v>111</v>
      </c>
      <c r="F1576">
        <v>1</v>
      </c>
      <c r="G1576" t="s">
        <v>55</v>
      </c>
      <c r="H1576" t="s">
        <v>112</v>
      </c>
      <c r="I1576">
        <v>8</v>
      </c>
      <c r="J1576" s="19">
        <f>WEEKNUM(tblRidershipData[[#This Row],[MeasurementDate]])</f>
        <v>46</v>
      </c>
      <c r="K1576" s="19">
        <f>MONTH(tblRidershipData[[#This Row],[MeasurementDate]])</f>
        <v>11</v>
      </c>
    </row>
    <row r="1577" spans="1:11" x14ac:dyDescent="0.25">
      <c r="A1577" s="31">
        <v>43780</v>
      </c>
      <c r="B1577" t="s">
        <v>2</v>
      </c>
      <c r="C1577" s="31">
        <v>2361</v>
      </c>
      <c r="D1577" t="s">
        <v>81</v>
      </c>
      <c r="E1577" t="s">
        <v>111</v>
      </c>
      <c r="F1577">
        <v>1</v>
      </c>
      <c r="G1577" t="s">
        <v>57</v>
      </c>
      <c r="H1577" t="s">
        <v>112</v>
      </c>
      <c r="I1577">
        <v>1</v>
      </c>
      <c r="J1577" s="19">
        <f>WEEKNUM(tblRidershipData[[#This Row],[MeasurementDate]])</f>
        <v>46</v>
      </c>
      <c r="K1577" s="19">
        <f>MONTH(tblRidershipData[[#This Row],[MeasurementDate]])</f>
        <v>11</v>
      </c>
    </row>
    <row r="1578" spans="1:11" x14ac:dyDescent="0.25">
      <c r="A1578" s="31">
        <v>43780</v>
      </c>
      <c r="B1578" t="s">
        <v>2</v>
      </c>
      <c r="C1578" s="31">
        <v>2361</v>
      </c>
      <c r="D1578" t="s">
        <v>81</v>
      </c>
      <c r="E1578" t="s">
        <v>111</v>
      </c>
      <c r="F1578">
        <v>1</v>
      </c>
      <c r="G1578" t="s">
        <v>59</v>
      </c>
      <c r="H1578" t="s">
        <v>112</v>
      </c>
      <c r="I1578">
        <v>3</v>
      </c>
      <c r="J1578" s="19">
        <f>WEEKNUM(tblRidershipData[[#This Row],[MeasurementDate]])</f>
        <v>46</v>
      </c>
      <c r="K1578" s="19">
        <f>MONTH(tblRidershipData[[#This Row],[MeasurementDate]])</f>
        <v>11</v>
      </c>
    </row>
    <row r="1579" spans="1:11" x14ac:dyDescent="0.25">
      <c r="A1579" s="31">
        <v>43780</v>
      </c>
      <c r="B1579" t="s">
        <v>2</v>
      </c>
      <c r="C1579" s="31">
        <v>2361</v>
      </c>
      <c r="D1579" t="s">
        <v>81</v>
      </c>
      <c r="E1579" t="s">
        <v>111</v>
      </c>
      <c r="F1579">
        <v>1</v>
      </c>
      <c r="G1579" t="s">
        <v>60</v>
      </c>
      <c r="H1579" t="s">
        <v>112</v>
      </c>
      <c r="I1579">
        <v>1</v>
      </c>
      <c r="J1579" s="19">
        <f>WEEKNUM(tblRidershipData[[#This Row],[MeasurementDate]])</f>
        <v>46</v>
      </c>
      <c r="K1579" s="19">
        <f>MONTH(tblRidershipData[[#This Row],[MeasurementDate]])</f>
        <v>11</v>
      </c>
    </row>
    <row r="1580" spans="1:11" x14ac:dyDescent="0.25">
      <c r="A1580" s="31">
        <v>43780</v>
      </c>
      <c r="B1580" t="s">
        <v>2</v>
      </c>
      <c r="C1580" s="31">
        <v>2361</v>
      </c>
      <c r="D1580" t="s">
        <v>81</v>
      </c>
      <c r="E1580" t="s">
        <v>111</v>
      </c>
      <c r="F1580">
        <v>1</v>
      </c>
      <c r="G1580" t="s">
        <v>66</v>
      </c>
      <c r="H1580" t="s">
        <v>112</v>
      </c>
      <c r="I1580">
        <v>4</v>
      </c>
      <c r="J1580" s="19">
        <f>WEEKNUM(tblRidershipData[[#This Row],[MeasurementDate]])</f>
        <v>46</v>
      </c>
      <c r="K1580" s="19">
        <f>MONTH(tblRidershipData[[#This Row],[MeasurementDate]])</f>
        <v>11</v>
      </c>
    </row>
    <row r="1581" spans="1:11" x14ac:dyDescent="0.25">
      <c r="A1581" s="31">
        <v>43780</v>
      </c>
      <c r="B1581" t="s">
        <v>2</v>
      </c>
      <c r="C1581" s="31">
        <v>2361</v>
      </c>
      <c r="D1581" t="s">
        <v>81</v>
      </c>
      <c r="E1581" t="s">
        <v>111</v>
      </c>
      <c r="F1581">
        <v>1</v>
      </c>
      <c r="G1581" t="s">
        <v>69</v>
      </c>
      <c r="H1581" t="s">
        <v>112</v>
      </c>
      <c r="I1581">
        <v>5</v>
      </c>
      <c r="J1581" s="19">
        <f>WEEKNUM(tblRidershipData[[#This Row],[MeasurementDate]])</f>
        <v>46</v>
      </c>
      <c r="K1581" s="19">
        <f>MONTH(tblRidershipData[[#This Row],[MeasurementDate]])</f>
        <v>11</v>
      </c>
    </row>
    <row r="1582" spans="1:11" x14ac:dyDescent="0.25">
      <c r="A1582" s="31">
        <v>43780</v>
      </c>
      <c r="B1582" t="s">
        <v>2</v>
      </c>
      <c r="C1582" s="31">
        <v>2361</v>
      </c>
      <c r="D1582" t="s">
        <v>81</v>
      </c>
      <c r="E1582" t="s">
        <v>111</v>
      </c>
      <c r="F1582">
        <v>1</v>
      </c>
      <c r="G1582" t="s">
        <v>70</v>
      </c>
      <c r="H1582" t="s">
        <v>112</v>
      </c>
      <c r="I1582">
        <v>8</v>
      </c>
      <c r="J1582" s="19">
        <f>WEEKNUM(tblRidershipData[[#This Row],[MeasurementDate]])</f>
        <v>46</v>
      </c>
      <c r="K1582" s="19">
        <f>MONTH(tblRidershipData[[#This Row],[MeasurementDate]])</f>
        <v>11</v>
      </c>
    </row>
    <row r="1583" spans="1:11" x14ac:dyDescent="0.25">
      <c r="A1583" s="31">
        <v>43780</v>
      </c>
      <c r="B1583" t="s">
        <v>2</v>
      </c>
      <c r="C1583" s="31">
        <v>2361</v>
      </c>
      <c r="D1583" t="s">
        <v>81</v>
      </c>
      <c r="E1583" t="s">
        <v>111</v>
      </c>
      <c r="F1583">
        <v>1</v>
      </c>
      <c r="G1583" t="s">
        <v>71</v>
      </c>
      <c r="H1583" t="s">
        <v>112</v>
      </c>
      <c r="I1583">
        <v>7</v>
      </c>
      <c r="J1583" s="19">
        <f>WEEKNUM(tblRidershipData[[#This Row],[MeasurementDate]])</f>
        <v>46</v>
      </c>
      <c r="K1583" s="19">
        <f>MONTH(tblRidershipData[[#This Row],[MeasurementDate]])</f>
        <v>11</v>
      </c>
    </row>
    <row r="1584" spans="1:11" x14ac:dyDescent="0.25">
      <c r="A1584" s="31">
        <v>43780</v>
      </c>
      <c r="B1584" t="s">
        <v>2</v>
      </c>
      <c r="C1584" s="31">
        <v>2361</v>
      </c>
      <c r="D1584" t="s">
        <v>81</v>
      </c>
      <c r="E1584" t="s">
        <v>111</v>
      </c>
      <c r="F1584">
        <v>1</v>
      </c>
      <c r="G1584" t="s">
        <v>76</v>
      </c>
      <c r="H1584" t="s">
        <v>112</v>
      </c>
      <c r="I1584">
        <v>1</v>
      </c>
      <c r="J1584" s="19">
        <f>WEEKNUM(tblRidershipData[[#This Row],[MeasurementDate]])</f>
        <v>46</v>
      </c>
      <c r="K1584" s="19">
        <f>MONTH(tblRidershipData[[#This Row],[MeasurementDate]])</f>
        <v>11</v>
      </c>
    </row>
    <row r="1585" spans="1:11" x14ac:dyDescent="0.25">
      <c r="A1585" s="31">
        <v>43780</v>
      </c>
      <c r="B1585" t="s">
        <v>2</v>
      </c>
      <c r="C1585" s="31">
        <v>2361</v>
      </c>
      <c r="D1585" t="s">
        <v>81</v>
      </c>
      <c r="E1585" t="s">
        <v>109</v>
      </c>
      <c r="F1585">
        <v>1</v>
      </c>
      <c r="G1585" t="s">
        <v>42</v>
      </c>
      <c r="H1585" t="s">
        <v>112</v>
      </c>
      <c r="I1585">
        <v>7</v>
      </c>
      <c r="J1585" s="19">
        <f>WEEKNUM(tblRidershipData[[#This Row],[MeasurementDate]])</f>
        <v>46</v>
      </c>
      <c r="K1585" s="19">
        <f>MONTH(tblRidershipData[[#This Row],[MeasurementDate]])</f>
        <v>11</v>
      </c>
    </row>
    <row r="1586" spans="1:11" x14ac:dyDescent="0.25">
      <c r="A1586" s="31">
        <v>43780</v>
      </c>
      <c r="B1586" t="s">
        <v>2</v>
      </c>
      <c r="C1586" s="31">
        <v>2361</v>
      </c>
      <c r="D1586" t="s">
        <v>81</v>
      </c>
      <c r="E1586" t="s">
        <v>109</v>
      </c>
      <c r="F1586">
        <v>1</v>
      </c>
      <c r="G1586" t="s">
        <v>46</v>
      </c>
      <c r="H1586" t="s">
        <v>112</v>
      </c>
      <c r="I1586">
        <v>12</v>
      </c>
      <c r="J1586" s="19">
        <f>WEEKNUM(tblRidershipData[[#This Row],[MeasurementDate]])</f>
        <v>46</v>
      </c>
      <c r="K1586" s="19">
        <f>MONTH(tblRidershipData[[#This Row],[MeasurementDate]])</f>
        <v>11</v>
      </c>
    </row>
    <row r="1587" spans="1:11" x14ac:dyDescent="0.25">
      <c r="A1587" s="31">
        <v>43780</v>
      </c>
      <c r="B1587" t="s">
        <v>2</v>
      </c>
      <c r="C1587" s="31">
        <v>2361</v>
      </c>
      <c r="D1587" t="s">
        <v>81</v>
      </c>
      <c r="E1587" t="s">
        <v>109</v>
      </c>
      <c r="F1587">
        <v>1</v>
      </c>
      <c r="G1587" t="s">
        <v>52</v>
      </c>
      <c r="H1587" t="s">
        <v>112</v>
      </c>
      <c r="I1587">
        <v>3</v>
      </c>
      <c r="J1587" s="19">
        <f>WEEKNUM(tblRidershipData[[#This Row],[MeasurementDate]])</f>
        <v>46</v>
      </c>
      <c r="K1587" s="19">
        <f>MONTH(tblRidershipData[[#This Row],[MeasurementDate]])</f>
        <v>11</v>
      </c>
    </row>
    <row r="1588" spans="1:11" x14ac:dyDescent="0.25">
      <c r="A1588" s="31">
        <v>43780</v>
      </c>
      <c r="B1588" t="s">
        <v>2</v>
      </c>
      <c r="C1588" s="31">
        <v>2361</v>
      </c>
      <c r="D1588" t="s">
        <v>81</v>
      </c>
      <c r="E1588" t="s">
        <v>109</v>
      </c>
      <c r="F1588">
        <v>1</v>
      </c>
      <c r="G1588" t="s">
        <v>59</v>
      </c>
      <c r="H1588" t="s">
        <v>112</v>
      </c>
      <c r="I1588">
        <v>4</v>
      </c>
      <c r="J1588" s="19">
        <f>WEEKNUM(tblRidershipData[[#This Row],[MeasurementDate]])</f>
        <v>46</v>
      </c>
      <c r="K1588" s="19">
        <f>MONTH(tblRidershipData[[#This Row],[MeasurementDate]])</f>
        <v>11</v>
      </c>
    </row>
    <row r="1589" spans="1:11" x14ac:dyDescent="0.25">
      <c r="A1589" s="31">
        <v>43780</v>
      </c>
      <c r="B1589" t="s">
        <v>2</v>
      </c>
      <c r="C1589" s="31">
        <v>2361</v>
      </c>
      <c r="D1589" t="s">
        <v>81</v>
      </c>
      <c r="E1589" t="s">
        <v>109</v>
      </c>
      <c r="F1589">
        <v>1</v>
      </c>
      <c r="G1589" t="s">
        <v>68</v>
      </c>
      <c r="H1589" t="s">
        <v>112</v>
      </c>
      <c r="I1589">
        <v>5</v>
      </c>
      <c r="J1589" s="19">
        <f>WEEKNUM(tblRidershipData[[#This Row],[MeasurementDate]])</f>
        <v>46</v>
      </c>
      <c r="K1589" s="19">
        <f>MONTH(tblRidershipData[[#This Row],[MeasurementDate]])</f>
        <v>11</v>
      </c>
    </row>
    <row r="1590" spans="1:11" x14ac:dyDescent="0.25">
      <c r="A1590" s="31">
        <v>43780</v>
      </c>
      <c r="B1590" t="s">
        <v>2</v>
      </c>
      <c r="C1590" s="31">
        <v>2361</v>
      </c>
      <c r="D1590" t="s">
        <v>81</v>
      </c>
      <c r="E1590" t="s">
        <v>109</v>
      </c>
      <c r="F1590">
        <v>1</v>
      </c>
      <c r="G1590" t="s">
        <v>69</v>
      </c>
      <c r="H1590" t="s">
        <v>112</v>
      </c>
      <c r="I1590">
        <v>18</v>
      </c>
      <c r="J1590" s="19">
        <f>WEEKNUM(tblRidershipData[[#This Row],[MeasurementDate]])</f>
        <v>46</v>
      </c>
      <c r="K1590" s="19">
        <f>MONTH(tblRidershipData[[#This Row],[MeasurementDate]])</f>
        <v>11</v>
      </c>
    </row>
    <row r="1591" spans="1:11" x14ac:dyDescent="0.25">
      <c r="A1591" s="31">
        <v>43780</v>
      </c>
      <c r="B1591" t="s">
        <v>2</v>
      </c>
      <c r="C1591" s="31">
        <v>2361</v>
      </c>
      <c r="D1591" t="s">
        <v>81</v>
      </c>
      <c r="E1591" t="s">
        <v>109</v>
      </c>
      <c r="F1591">
        <v>1</v>
      </c>
      <c r="G1591" t="s">
        <v>70</v>
      </c>
      <c r="H1591" t="s">
        <v>112</v>
      </c>
      <c r="I1591">
        <v>13</v>
      </c>
      <c r="J1591" s="19">
        <f>WEEKNUM(tblRidershipData[[#This Row],[MeasurementDate]])</f>
        <v>46</v>
      </c>
      <c r="K1591" s="19">
        <f>MONTH(tblRidershipData[[#This Row],[MeasurementDate]])</f>
        <v>11</v>
      </c>
    </row>
    <row r="1592" spans="1:11" x14ac:dyDescent="0.25">
      <c r="A1592" s="31">
        <v>43780</v>
      </c>
      <c r="B1592" t="s">
        <v>2</v>
      </c>
      <c r="C1592" s="31">
        <v>4501</v>
      </c>
      <c r="D1592" t="s">
        <v>79</v>
      </c>
      <c r="E1592" t="s">
        <v>111</v>
      </c>
      <c r="F1592">
        <v>1</v>
      </c>
      <c r="G1592" t="s">
        <v>43</v>
      </c>
      <c r="H1592" t="s">
        <v>110</v>
      </c>
      <c r="I1592">
        <v>4</v>
      </c>
      <c r="J1592" s="19">
        <f>WEEKNUM(tblRidershipData[[#This Row],[MeasurementDate]])</f>
        <v>46</v>
      </c>
      <c r="K1592" s="19">
        <f>MONTH(tblRidershipData[[#This Row],[MeasurementDate]])</f>
        <v>11</v>
      </c>
    </row>
    <row r="1593" spans="1:11" x14ac:dyDescent="0.25">
      <c r="A1593" s="31">
        <v>43780</v>
      </c>
      <c r="B1593" t="s">
        <v>2</v>
      </c>
      <c r="C1593" s="31">
        <v>4501</v>
      </c>
      <c r="D1593" t="s">
        <v>79</v>
      </c>
      <c r="E1593" t="s">
        <v>111</v>
      </c>
      <c r="F1593">
        <v>1</v>
      </c>
      <c r="G1593" t="s">
        <v>44</v>
      </c>
      <c r="H1593" t="s">
        <v>110</v>
      </c>
      <c r="I1593">
        <v>4</v>
      </c>
      <c r="J1593" s="19">
        <f>WEEKNUM(tblRidershipData[[#This Row],[MeasurementDate]])</f>
        <v>46</v>
      </c>
      <c r="K1593" s="19">
        <f>MONTH(tblRidershipData[[#This Row],[MeasurementDate]])</f>
        <v>11</v>
      </c>
    </row>
    <row r="1594" spans="1:11" x14ac:dyDescent="0.25">
      <c r="A1594" s="31">
        <v>43780</v>
      </c>
      <c r="B1594" t="s">
        <v>2</v>
      </c>
      <c r="C1594" s="31">
        <v>4501</v>
      </c>
      <c r="D1594" t="s">
        <v>79</v>
      </c>
      <c r="E1594" t="s">
        <v>111</v>
      </c>
      <c r="F1594">
        <v>1</v>
      </c>
      <c r="G1594" t="s">
        <v>46</v>
      </c>
      <c r="H1594" t="s">
        <v>110</v>
      </c>
      <c r="I1594">
        <v>6</v>
      </c>
      <c r="J1594" s="19">
        <f>WEEKNUM(tblRidershipData[[#This Row],[MeasurementDate]])</f>
        <v>46</v>
      </c>
      <c r="K1594" s="19">
        <f>MONTH(tblRidershipData[[#This Row],[MeasurementDate]])</f>
        <v>11</v>
      </c>
    </row>
    <row r="1595" spans="1:11" x14ac:dyDescent="0.25">
      <c r="A1595" s="31">
        <v>43780</v>
      </c>
      <c r="B1595" t="s">
        <v>2</v>
      </c>
      <c r="C1595" s="31">
        <v>4501</v>
      </c>
      <c r="D1595" t="s">
        <v>79</v>
      </c>
      <c r="E1595" t="s">
        <v>111</v>
      </c>
      <c r="F1595">
        <v>1</v>
      </c>
      <c r="G1595" t="s">
        <v>66</v>
      </c>
      <c r="H1595" t="s">
        <v>110</v>
      </c>
      <c r="I1595">
        <v>1</v>
      </c>
      <c r="J1595" s="19">
        <f>WEEKNUM(tblRidershipData[[#This Row],[MeasurementDate]])</f>
        <v>46</v>
      </c>
      <c r="K1595" s="19">
        <f>MONTH(tblRidershipData[[#This Row],[MeasurementDate]])</f>
        <v>11</v>
      </c>
    </row>
    <row r="1596" spans="1:11" x14ac:dyDescent="0.25">
      <c r="A1596" s="31">
        <v>43780</v>
      </c>
      <c r="B1596" t="s">
        <v>2</v>
      </c>
      <c r="C1596" s="31">
        <v>4501</v>
      </c>
      <c r="D1596" t="s">
        <v>79</v>
      </c>
      <c r="E1596" t="s">
        <v>111</v>
      </c>
      <c r="F1596">
        <v>1</v>
      </c>
      <c r="G1596" t="s">
        <v>70</v>
      </c>
      <c r="H1596" t="s">
        <v>110</v>
      </c>
      <c r="I1596">
        <v>1</v>
      </c>
      <c r="J1596" s="19">
        <f>WEEKNUM(tblRidershipData[[#This Row],[MeasurementDate]])</f>
        <v>46</v>
      </c>
      <c r="K1596" s="19">
        <f>MONTH(tblRidershipData[[#This Row],[MeasurementDate]])</f>
        <v>11</v>
      </c>
    </row>
    <row r="1597" spans="1:11" x14ac:dyDescent="0.25">
      <c r="A1597" s="31">
        <v>43780</v>
      </c>
      <c r="B1597" t="s">
        <v>2</v>
      </c>
      <c r="C1597" s="31">
        <v>4501</v>
      </c>
      <c r="D1597" t="s">
        <v>79</v>
      </c>
      <c r="E1597" t="s">
        <v>109</v>
      </c>
      <c r="F1597">
        <v>1</v>
      </c>
      <c r="G1597" t="s">
        <v>73</v>
      </c>
      <c r="H1597" t="s">
        <v>110</v>
      </c>
      <c r="I1597">
        <v>29</v>
      </c>
      <c r="J1597" s="19">
        <f>WEEKNUM(tblRidershipData[[#This Row],[MeasurementDate]])</f>
        <v>46</v>
      </c>
      <c r="K1597" s="19">
        <f>MONTH(tblRidershipData[[#This Row],[MeasurementDate]])</f>
        <v>11</v>
      </c>
    </row>
    <row r="1598" spans="1:11" x14ac:dyDescent="0.25">
      <c r="A1598" s="31">
        <v>43780</v>
      </c>
      <c r="B1598" t="s">
        <v>2</v>
      </c>
      <c r="C1598" s="31">
        <v>4501</v>
      </c>
      <c r="D1598" t="s">
        <v>79</v>
      </c>
      <c r="E1598" t="s">
        <v>109</v>
      </c>
      <c r="F1598">
        <v>1</v>
      </c>
      <c r="G1598" t="s">
        <v>43</v>
      </c>
      <c r="H1598" t="s">
        <v>112</v>
      </c>
      <c r="I1598">
        <v>1</v>
      </c>
      <c r="J1598" s="19">
        <f>WEEKNUM(tblRidershipData[[#This Row],[MeasurementDate]])</f>
        <v>46</v>
      </c>
      <c r="K1598" s="19">
        <f>MONTH(tblRidershipData[[#This Row],[MeasurementDate]])</f>
        <v>11</v>
      </c>
    </row>
    <row r="1599" spans="1:11" x14ac:dyDescent="0.25">
      <c r="A1599" s="31">
        <v>43780</v>
      </c>
      <c r="B1599" t="s">
        <v>2</v>
      </c>
      <c r="C1599" s="31">
        <v>4501</v>
      </c>
      <c r="D1599" t="s">
        <v>79</v>
      </c>
      <c r="E1599" t="s">
        <v>109</v>
      </c>
      <c r="F1599">
        <v>1</v>
      </c>
      <c r="G1599" t="s">
        <v>44</v>
      </c>
      <c r="H1599" t="s">
        <v>112</v>
      </c>
      <c r="I1599">
        <v>2</v>
      </c>
      <c r="J1599" s="19">
        <f>WEEKNUM(tblRidershipData[[#This Row],[MeasurementDate]])</f>
        <v>46</v>
      </c>
      <c r="K1599" s="19">
        <f>MONTH(tblRidershipData[[#This Row],[MeasurementDate]])</f>
        <v>11</v>
      </c>
    </row>
    <row r="1600" spans="1:11" x14ac:dyDescent="0.25">
      <c r="A1600" s="31">
        <v>43780</v>
      </c>
      <c r="B1600" t="s">
        <v>2</v>
      </c>
      <c r="C1600" s="31">
        <v>4501</v>
      </c>
      <c r="D1600" t="s">
        <v>79</v>
      </c>
      <c r="E1600" t="s">
        <v>109</v>
      </c>
      <c r="F1600">
        <v>1</v>
      </c>
      <c r="G1600" t="s">
        <v>46</v>
      </c>
      <c r="H1600" t="s">
        <v>112</v>
      </c>
      <c r="I1600">
        <v>1</v>
      </c>
      <c r="J1600" s="19">
        <f>WEEKNUM(tblRidershipData[[#This Row],[MeasurementDate]])</f>
        <v>46</v>
      </c>
      <c r="K1600" s="19">
        <f>MONTH(tblRidershipData[[#This Row],[MeasurementDate]])</f>
        <v>11</v>
      </c>
    </row>
    <row r="1601" spans="1:11" x14ac:dyDescent="0.25">
      <c r="A1601" s="31">
        <v>43780</v>
      </c>
      <c r="B1601" t="s">
        <v>2</v>
      </c>
      <c r="C1601" s="31">
        <v>4501</v>
      </c>
      <c r="D1601" t="s">
        <v>79</v>
      </c>
      <c r="E1601" t="s">
        <v>109</v>
      </c>
      <c r="F1601">
        <v>1</v>
      </c>
      <c r="G1601" t="s">
        <v>59</v>
      </c>
      <c r="H1601" t="s">
        <v>112</v>
      </c>
      <c r="I1601">
        <v>5</v>
      </c>
      <c r="J1601" s="19">
        <f>WEEKNUM(tblRidershipData[[#This Row],[MeasurementDate]])</f>
        <v>46</v>
      </c>
      <c r="K1601" s="19">
        <f>MONTH(tblRidershipData[[#This Row],[MeasurementDate]])</f>
        <v>11</v>
      </c>
    </row>
    <row r="1602" spans="1:11" x14ac:dyDescent="0.25">
      <c r="A1602" s="31">
        <v>43780</v>
      </c>
      <c r="B1602" t="s">
        <v>2</v>
      </c>
      <c r="C1602" s="31">
        <v>4501</v>
      </c>
      <c r="D1602" t="s">
        <v>79</v>
      </c>
      <c r="E1602" t="s">
        <v>109</v>
      </c>
      <c r="F1602">
        <v>1</v>
      </c>
      <c r="G1602" t="s">
        <v>66</v>
      </c>
      <c r="H1602" t="s">
        <v>112</v>
      </c>
      <c r="I1602">
        <v>3</v>
      </c>
      <c r="J1602" s="19">
        <f>WEEKNUM(tblRidershipData[[#This Row],[MeasurementDate]])</f>
        <v>46</v>
      </c>
      <c r="K1602" s="19">
        <f>MONTH(tblRidershipData[[#This Row],[MeasurementDate]])</f>
        <v>11</v>
      </c>
    </row>
    <row r="1603" spans="1:11" x14ac:dyDescent="0.25">
      <c r="A1603" s="31">
        <v>43780</v>
      </c>
      <c r="B1603" t="s">
        <v>2</v>
      </c>
      <c r="C1603" s="31">
        <v>4501</v>
      </c>
      <c r="D1603" t="s">
        <v>79</v>
      </c>
      <c r="E1603" t="s">
        <v>109</v>
      </c>
      <c r="F1603">
        <v>1</v>
      </c>
      <c r="G1603" t="s">
        <v>70</v>
      </c>
      <c r="H1603" t="s">
        <v>112</v>
      </c>
      <c r="I1603">
        <v>7</v>
      </c>
      <c r="J1603" s="19">
        <f>WEEKNUM(tblRidershipData[[#This Row],[MeasurementDate]])</f>
        <v>46</v>
      </c>
      <c r="K1603" s="19">
        <f>MONTH(tblRidershipData[[#This Row],[MeasurementDate]])</f>
        <v>11</v>
      </c>
    </row>
    <row r="1604" spans="1:11" x14ac:dyDescent="0.25">
      <c r="A1604" s="31">
        <v>43780</v>
      </c>
      <c r="B1604" t="s">
        <v>2</v>
      </c>
      <c r="C1604" s="31">
        <v>4501</v>
      </c>
      <c r="D1604" t="s">
        <v>79</v>
      </c>
      <c r="E1604" t="s">
        <v>109</v>
      </c>
      <c r="F1604">
        <v>1</v>
      </c>
      <c r="G1604" t="s">
        <v>71</v>
      </c>
      <c r="H1604" t="s">
        <v>112</v>
      </c>
      <c r="I1604">
        <v>7</v>
      </c>
      <c r="J1604" s="19">
        <f>WEEKNUM(tblRidershipData[[#This Row],[MeasurementDate]])</f>
        <v>46</v>
      </c>
      <c r="K1604" s="19">
        <f>MONTH(tblRidershipData[[#This Row],[MeasurementDate]])</f>
        <v>11</v>
      </c>
    </row>
    <row r="1605" spans="1:11" x14ac:dyDescent="0.25">
      <c r="A1605" s="31">
        <v>43780</v>
      </c>
      <c r="B1605" t="s">
        <v>2</v>
      </c>
      <c r="C1605" s="31">
        <v>4501</v>
      </c>
      <c r="D1605" t="s">
        <v>79</v>
      </c>
      <c r="E1605" t="s">
        <v>109</v>
      </c>
      <c r="F1605">
        <v>1</v>
      </c>
      <c r="G1605" t="s">
        <v>76</v>
      </c>
      <c r="H1605" t="s">
        <v>112</v>
      </c>
      <c r="I1605">
        <v>3</v>
      </c>
      <c r="J1605" s="19">
        <f>WEEKNUM(tblRidershipData[[#This Row],[MeasurementDate]])</f>
        <v>46</v>
      </c>
      <c r="K1605" s="19">
        <f>MONTH(tblRidershipData[[#This Row],[MeasurementDate]])</f>
        <v>11</v>
      </c>
    </row>
    <row r="1606" spans="1:11" x14ac:dyDescent="0.25">
      <c r="A1606" s="31">
        <v>43780</v>
      </c>
      <c r="B1606" t="s">
        <v>2</v>
      </c>
      <c r="C1606" s="31">
        <v>4502</v>
      </c>
      <c r="D1606" t="s">
        <v>88</v>
      </c>
      <c r="E1606" t="s">
        <v>111</v>
      </c>
      <c r="F1606">
        <v>1</v>
      </c>
      <c r="G1606" t="s">
        <v>43</v>
      </c>
      <c r="H1606" t="s">
        <v>110</v>
      </c>
      <c r="I1606">
        <v>10</v>
      </c>
      <c r="J1606" s="19">
        <f>WEEKNUM(tblRidershipData[[#This Row],[MeasurementDate]])</f>
        <v>46</v>
      </c>
      <c r="K1606" s="19">
        <f>MONTH(tblRidershipData[[#This Row],[MeasurementDate]])</f>
        <v>11</v>
      </c>
    </row>
    <row r="1607" spans="1:11" x14ac:dyDescent="0.25">
      <c r="A1607" s="31">
        <v>43780</v>
      </c>
      <c r="B1607" t="s">
        <v>2</v>
      </c>
      <c r="C1607" s="31">
        <v>4502</v>
      </c>
      <c r="D1607" t="s">
        <v>88</v>
      </c>
      <c r="E1607" t="s">
        <v>111</v>
      </c>
      <c r="F1607">
        <v>1</v>
      </c>
      <c r="G1607" t="s">
        <v>44</v>
      </c>
      <c r="H1607" t="s">
        <v>110</v>
      </c>
      <c r="I1607">
        <v>1</v>
      </c>
      <c r="J1607" s="19">
        <f>WEEKNUM(tblRidershipData[[#This Row],[MeasurementDate]])</f>
        <v>46</v>
      </c>
      <c r="K1607" s="19">
        <f>MONTH(tblRidershipData[[#This Row],[MeasurementDate]])</f>
        <v>11</v>
      </c>
    </row>
    <row r="1608" spans="1:11" x14ac:dyDescent="0.25">
      <c r="A1608" s="31">
        <v>43780</v>
      </c>
      <c r="B1608" t="s">
        <v>2</v>
      </c>
      <c r="C1608" s="31">
        <v>4502</v>
      </c>
      <c r="D1608" t="s">
        <v>88</v>
      </c>
      <c r="E1608" t="s">
        <v>111</v>
      </c>
      <c r="F1608">
        <v>1</v>
      </c>
      <c r="G1608" t="s">
        <v>46</v>
      </c>
      <c r="H1608" t="s">
        <v>110</v>
      </c>
      <c r="I1608">
        <v>1</v>
      </c>
      <c r="J1608" s="19">
        <f>WEEKNUM(tblRidershipData[[#This Row],[MeasurementDate]])</f>
        <v>46</v>
      </c>
      <c r="K1608" s="19">
        <f>MONTH(tblRidershipData[[#This Row],[MeasurementDate]])</f>
        <v>11</v>
      </c>
    </row>
    <row r="1609" spans="1:11" x14ac:dyDescent="0.25">
      <c r="A1609" s="31">
        <v>43780</v>
      </c>
      <c r="B1609" t="s">
        <v>2</v>
      </c>
      <c r="C1609" s="31">
        <v>4502</v>
      </c>
      <c r="D1609" t="s">
        <v>88</v>
      </c>
      <c r="E1609" t="s">
        <v>111</v>
      </c>
      <c r="F1609">
        <v>1</v>
      </c>
      <c r="G1609" t="s">
        <v>66</v>
      </c>
      <c r="H1609" t="s">
        <v>110</v>
      </c>
      <c r="I1609">
        <v>3</v>
      </c>
      <c r="J1609" s="19">
        <f>WEEKNUM(tblRidershipData[[#This Row],[MeasurementDate]])</f>
        <v>46</v>
      </c>
      <c r="K1609" s="19">
        <f>MONTH(tblRidershipData[[#This Row],[MeasurementDate]])</f>
        <v>11</v>
      </c>
    </row>
    <row r="1610" spans="1:11" x14ac:dyDescent="0.25">
      <c r="A1610" s="31">
        <v>43780</v>
      </c>
      <c r="B1610" t="s">
        <v>2</v>
      </c>
      <c r="C1610" s="31">
        <v>4502</v>
      </c>
      <c r="D1610" t="s">
        <v>88</v>
      </c>
      <c r="E1610" t="s">
        <v>111</v>
      </c>
      <c r="F1610">
        <v>1</v>
      </c>
      <c r="G1610" t="s">
        <v>70</v>
      </c>
      <c r="H1610" t="s">
        <v>110</v>
      </c>
      <c r="I1610">
        <v>4</v>
      </c>
      <c r="J1610" s="19">
        <f>WEEKNUM(tblRidershipData[[#This Row],[MeasurementDate]])</f>
        <v>46</v>
      </c>
      <c r="K1610" s="19">
        <f>MONTH(tblRidershipData[[#This Row],[MeasurementDate]])</f>
        <v>11</v>
      </c>
    </row>
    <row r="1611" spans="1:11" x14ac:dyDescent="0.25">
      <c r="A1611" s="31">
        <v>43780</v>
      </c>
      <c r="B1611" t="s">
        <v>2</v>
      </c>
      <c r="C1611" s="31">
        <v>4502</v>
      </c>
      <c r="D1611" t="s">
        <v>88</v>
      </c>
      <c r="E1611" t="s">
        <v>111</v>
      </c>
      <c r="F1611">
        <v>1</v>
      </c>
      <c r="G1611" t="s">
        <v>71</v>
      </c>
      <c r="H1611" t="s">
        <v>110</v>
      </c>
      <c r="I1611">
        <v>7</v>
      </c>
      <c r="J1611" s="19">
        <f>WEEKNUM(tblRidershipData[[#This Row],[MeasurementDate]])</f>
        <v>46</v>
      </c>
      <c r="K1611" s="19">
        <f>MONTH(tblRidershipData[[#This Row],[MeasurementDate]])</f>
        <v>11</v>
      </c>
    </row>
    <row r="1612" spans="1:11" x14ac:dyDescent="0.25">
      <c r="A1612" s="31">
        <v>43780</v>
      </c>
      <c r="B1612" t="s">
        <v>2</v>
      </c>
      <c r="C1612" s="31">
        <v>4502</v>
      </c>
      <c r="D1612" t="s">
        <v>88</v>
      </c>
      <c r="E1612" t="s">
        <v>109</v>
      </c>
      <c r="F1612">
        <v>1</v>
      </c>
      <c r="G1612" t="s">
        <v>51</v>
      </c>
      <c r="H1612" t="s">
        <v>110</v>
      </c>
      <c r="I1612">
        <v>24</v>
      </c>
      <c r="J1612" s="19">
        <f>WEEKNUM(tblRidershipData[[#This Row],[MeasurementDate]])</f>
        <v>46</v>
      </c>
      <c r="K1612" s="19">
        <f>MONTH(tblRidershipData[[#This Row],[MeasurementDate]])</f>
        <v>11</v>
      </c>
    </row>
    <row r="1613" spans="1:11" x14ac:dyDescent="0.25">
      <c r="A1613" s="31">
        <v>43780</v>
      </c>
      <c r="B1613" t="s">
        <v>2</v>
      </c>
      <c r="C1613" s="31">
        <v>4502</v>
      </c>
      <c r="D1613" t="s">
        <v>88</v>
      </c>
      <c r="E1613" t="s">
        <v>109</v>
      </c>
      <c r="F1613">
        <v>1</v>
      </c>
      <c r="G1613" t="s">
        <v>59</v>
      </c>
      <c r="H1613" t="s">
        <v>110</v>
      </c>
      <c r="I1613">
        <v>8</v>
      </c>
      <c r="J1613" s="19">
        <f>WEEKNUM(tblRidershipData[[#This Row],[MeasurementDate]])</f>
        <v>46</v>
      </c>
      <c r="K1613" s="19">
        <f>MONTH(tblRidershipData[[#This Row],[MeasurementDate]])</f>
        <v>11</v>
      </c>
    </row>
    <row r="1614" spans="1:11" x14ac:dyDescent="0.25">
      <c r="A1614" s="31">
        <v>43780</v>
      </c>
      <c r="B1614" t="s">
        <v>2</v>
      </c>
      <c r="C1614" s="31">
        <v>4502</v>
      </c>
      <c r="D1614" t="s">
        <v>88</v>
      </c>
      <c r="E1614" t="s">
        <v>109</v>
      </c>
      <c r="F1614">
        <v>1</v>
      </c>
      <c r="G1614" t="s">
        <v>67</v>
      </c>
      <c r="H1614" t="s">
        <v>110</v>
      </c>
      <c r="I1614">
        <v>37</v>
      </c>
      <c r="J1614" s="19">
        <f>WEEKNUM(tblRidershipData[[#This Row],[MeasurementDate]])</f>
        <v>46</v>
      </c>
      <c r="K1614" s="19">
        <f>MONTH(tblRidershipData[[#This Row],[MeasurementDate]])</f>
        <v>11</v>
      </c>
    </row>
    <row r="1615" spans="1:11" x14ac:dyDescent="0.25">
      <c r="A1615" s="31">
        <v>43780</v>
      </c>
      <c r="B1615" t="s">
        <v>2</v>
      </c>
      <c r="C1615" s="31">
        <v>4502</v>
      </c>
      <c r="D1615" t="s">
        <v>88</v>
      </c>
      <c r="E1615" t="s">
        <v>109</v>
      </c>
      <c r="F1615">
        <v>1</v>
      </c>
      <c r="G1615" t="s">
        <v>70</v>
      </c>
      <c r="H1615" t="s">
        <v>110</v>
      </c>
      <c r="I1615">
        <v>5</v>
      </c>
      <c r="J1615" s="19">
        <f>WEEKNUM(tblRidershipData[[#This Row],[MeasurementDate]])</f>
        <v>46</v>
      </c>
      <c r="K1615" s="19">
        <f>MONTH(tblRidershipData[[#This Row],[MeasurementDate]])</f>
        <v>11</v>
      </c>
    </row>
    <row r="1616" spans="1:11" x14ac:dyDescent="0.25">
      <c r="A1616" s="31">
        <v>43780</v>
      </c>
      <c r="B1616" t="s">
        <v>2</v>
      </c>
      <c r="C1616" s="31">
        <v>4502</v>
      </c>
      <c r="D1616" t="s">
        <v>88</v>
      </c>
      <c r="E1616" t="s">
        <v>109</v>
      </c>
      <c r="F1616">
        <v>1</v>
      </c>
      <c r="G1616" t="s">
        <v>74</v>
      </c>
      <c r="H1616" t="s">
        <v>110</v>
      </c>
      <c r="I1616">
        <v>4</v>
      </c>
      <c r="J1616" s="19">
        <f>WEEKNUM(tblRidershipData[[#This Row],[MeasurementDate]])</f>
        <v>46</v>
      </c>
      <c r="K1616" s="19">
        <f>MONTH(tblRidershipData[[#This Row],[MeasurementDate]])</f>
        <v>11</v>
      </c>
    </row>
    <row r="1617" spans="1:11" x14ac:dyDescent="0.25">
      <c r="A1617" s="31">
        <v>43780</v>
      </c>
      <c r="B1617" t="s">
        <v>2</v>
      </c>
      <c r="C1617" s="31">
        <v>6552</v>
      </c>
      <c r="D1617" t="s">
        <v>85</v>
      </c>
      <c r="E1617" t="s">
        <v>111</v>
      </c>
      <c r="F1617">
        <v>1</v>
      </c>
      <c r="G1617" t="s">
        <v>56</v>
      </c>
      <c r="H1617" t="s">
        <v>110</v>
      </c>
      <c r="I1617">
        <v>2</v>
      </c>
      <c r="J1617" s="19">
        <f>WEEKNUM(tblRidershipData[[#This Row],[MeasurementDate]])</f>
        <v>46</v>
      </c>
      <c r="K1617" s="19">
        <f>MONTH(tblRidershipData[[#This Row],[MeasurementDate]])</f>
        <v>11</v>
      </c>
    </row>
    <row r="1618" spans="1:11" x14ac:dyDescent="0.25">
      <c r="A1618" s="31">
        <v>43780</v>
      </c>
      <c r="B1618" t="s">
        <v>2</v>
      </c>
      <c r="C1618" s="31">
        <v>6552</v>
      </c>
      <c r="D1618" t="s">
        <v>85</v>
      </c>
      <c r="E1618" t="s">
        <v>111</v>
      </c>
      <c r="F1618">
        <v>1</v>
      </c>
      <c r="G1618" t="s">
        <v>57</v>
      </c>
      <c r="H1618" t="s">
        <v>110</v>
      </c>
      <c r="I1618">
        <v>11</v>
      </c>
      <c r="J1618" s="19">
        <f>WEEKNUM(tblRidershipData[[#This Row],[MeasurementDate]])</f>
        <v>46</v>
      </c>
      <c r="K1618" s="19">
        <f>MONTH(tblRidershipData[[#This Row],[MeasurementDate]])</f>
        <v>11</v>
      </c>
    </row>
    <row r="1619" spans="1:11" x14ac:dyDescent="0.25">
      <c r="A1619" s="31">
        <v>43780</v>
      </c>
      <c r="B1619" t="s">
        <v>2</v>
      </c>
      <c r="C1619" s="31">
        <v>6552</v>
      </c>
      <c r="D1619" t="s">
        <v>85</v>
      </c>
      <c r="E1619" t="s">
        <v>111</v>
      </c>
      <c r="F1619">
        <v>1</v>
      </c>
      <c r="G1619" t="s">
        <v>60</v>
      </c>
      <c r="H1619" t="s">
        <v>110</v>
      </c>
      <c r="I1619">
        <v>5</v>
      </c>
      <c r="J1619" s="19">
        <f>WEEKNUM(tblRidershipData[[#This Row],[MeasurementDate]])</f>
        <v>46</v>
      </c>
      <c r="K1619" s="19">
        <f>MONTH(tblRidershipData[[#This Row],[MeasurementDate]])</f>
        <v>11</v>
      </c>
    </row>
    <row r="1620" spans="1:11" x14ac:dyDescent="0.25">
      <c r="A1620" s="31">
        <v>43780</v>
      </c>
      <c r="B1620" t="s">
        <v>2</v>
      </c>
      <c r="C1620" s="31">
        <v>6552</v>
      </c>
      <c r="D1620" t="s">
        <v>85</v>
      </c>
      <c r="E1620" t="s">
        <v>111</v>
      </c>
      <c r="F1620">
        <v>1</v>
      </c>
      <c r="G1620" t="s">
        <v>66</v>
      </c>
      <c r="H1620" t="s">
        <v>110</v>
      </c>
      <c r="I1620">
        <v>15</v>
      </c>
      <c r="J1620" s="19">
        <f>WEEKNUM(tblRidershipData[[#This Row],[MeasurementDate]])</f>
        <v>46</v>
      </c>
      <c r="K1620" s="19">
        <f>MONTH(tblRidershipData[[#This Row],[MeasurementDate]])</f>
        <v>11</v>
      </c>
    </row>
    <row r="1621" spans="1:11" x14ac:dyDescent="0.25">
      <c r="A1621" s="31">
        <v>43780</v>
      </c>
      <c r="B1621" t="s">
        <v>2</v>
      </c>
      <c r="C1621" s="31">
        <v>6552</v>
      </c>
      <c r="D1621" t="s">
        <v>85</v>
      </c>
      <c r="E1621" t="s">
        <v>111</v>
      </c>
      <c r="F1621">
        <v>1</v>
      </c>
      <c r="G1621" t="s">
        <v>67</v>
      </c>
      <c r="H1621" t="s">
        <v>110</v>
      </c>
      <c r="I1621">
        <v>8</v>
      </c>
      <c r="J1621" s="19">
        <f>WEEKNUM(tblRidershipData[[#This Row],[MeasurementDate]])</f>
        <v>46</v>
      </c>
      <c r="K1621" s="19">
        <f>MONTH(tblRidershipData[[#This Row],[MeasurementDate]])</f>
        <v>11</v>
      </c>
    </row>
    <row r="1622" spans="1:11" x14ac:dyDescent="0.25">
      <c r="A1622" s="31">
        <v>43780</v>
      </c>
      <c r="B1622" t="s">
        <v>2</v>
      </c>
      <c r="C1622" s="31">
        <v>6552</v>
      </c>
      <c r="D1622" t="s">
        <v>85</v>
      </c>
      <c r="E1622" t="s">
        <v>111</v>
      </c>
      <c r="F1622">
        <v>1</v>
      </c>
      <c r="G1622" t="s">
        <v>71</v>
      </c>
      <c r="H1622" t="s">
        <v>110</v>
      </c>
      <c r="I1622">
        <v>8</v>
      </c>
      <c r="J1622" s="19">
        <f>WEEKNUM(tblRidershipData[[#This Row],[MeasurementDate]])</f>
        <v>46</v>
      </c>
      <c r="K1622" s="19">
        <f>MONTH(tblRidershipData[[#This Row],[MeasurementDate]])</f>
        <v>11</v>
      </c>
    </row>
    <row r="1623" spans="1:11" x14ac:dyDescent="0.25">
      <c r="A1623" s="31">
        <v>43780</v>
      </c>
      <c r="B1623" t="s">
        <v>2</v>
      </c>
      <c r="C1623" s="31">
        <v>6552</v>
      </c>
      <c r="D1623" t="s">
        <v>85</v>
      </c>
      <c r="E1623" t="s">
        <v>111</v>
      </c>
      <c r="F1623">
        <v>1</v>
      </c>
      <c r="G1623" t="s">
        <v>76</v>
      </c>
      <c r="H1623" t="s">
        <v>110</v>
      </c>
      <c r="I1623">
        <v>4</v>
      </c>
      <c r="J1623" s="19">
        <f>WEEKNUM(tblRidershipData[[#This Row],[MeasurementDate]])</f>
        <v>46</v>
      </c>
      <c r="K1623" s="19">
        <f>MONTH(tblRidershipData[[#This Row],[MeasurementDate]])</f>
        <v>11</v>
      </c>
    </row>
    <row r="1624" spans="1:11" x14ac:dyDescent="0.25">
      <c r="A1624" s="31">
        <v>43780</v>
      </c>
      <c r="B1624" t="s">
        <v>2</v>
      </c>
      <c r="C1624" s="31">
        <v>6552</v>
      </c>
      <c r="D1624" t="s">
        <v>85</v>
      </c>
      <c r="E1624" t="s">
        <v>109</v>
      </c>
      <c r="F1624">
        <v>1</v>
      </c>
      <c r="G1624" t="s">
        <v>44</v>
      </c>
      <c r="H1624" t="s">
        <v>110</v>
      </c>
      <c r="I1624">
        <v>15</v>
      </c>
      <c r="J1624" s="19">
        <f>WEEKNUM(tblRidershipData[[#This Row],[MeasurementDate]])</f>
        <v>46</v>
      </c>
      <c r="K1624" s="19">
        <f>MONTH(tblRidershipData[[#This Row],[MeasurementDate]])</f>
        <v>11</v>
      </c>
    </row>
    <row r="1625" spans="1:11" x14ac:dyDescent="0.25">
      <c r="A1625" s="31">
        <v>43780</v>
      </c>
      <c r="B1625" t="s">
        <v>2</v>
      </c>
      <c r="C1625" s="31">
        <v>6552</v>
      </c>
      <c r="D1625" t="s">
        <v>85</v>
      </c>
      <c r="E1625" t="s">
        <v>109</v>
      </c>
      <c r="F1625">
        <v>1</v>
      </c>
      <c r="G1625" t="s">
        <v>57</v>
      </c>
      <c r="H1625" t="s">
        <v>110</v>
      </c>
      <c r="I1625">
        <v>12</v>
      </c>
      <c r="J1625" s="19">
        <f>WEEKNUM(tblRidershipData[[#This Row],[MeasurementDate]])</f>
        <v>46</v>
      </c>
      <c r="K1625" s="19">
        <f>MONTH(tblRidershipData[[#This Row],[MeasurementDate]])</f>
        <v>11</v>
      </c>
    </row>
    <row r="1626" spans="1:11" x14ac:dyDescent="0.25">
      <c r="A1626" s="31">
        <v>43780</v>
      </c>
      <c r="B1626" t="s">
        <v>2</v>
      </c>
      <c r="C1626" s="31">
        <v>6552</v>
      </c>
      <c r="D1626" t="s">
        <v>85</v>
      </c>
      <c r="E1626" t="s">
        <v>109</v>
      </c>
      <c r="F1626">
        <v>1</v>
      </c>
      <c r="G1626" t="s">
        <v>67</v>
      </c>
      <c r="H1626" t="s">
        <v>110</v>
      </c>
      <c r="I1626">
        <v>39</v>
      </c>
      <c r="J1626" s="19">
        <f>WEEKNUM(tblRidershipData[[#This Row],[MeasurementDate]])</f>
        <v>46</v>
      </c>
      <c r="K1626" s="19">
        <f>MONTH(tblRidershipData[[#This Row],[MeasurementDate]])</f>
        <v>11</v>
      </c>
    </row>
    <row r="1627" spans="1:11" x14ac:dyDescent="0.25">
      <c r="A1627" s="31">
        <v>43780</v>
      </c>
      <c r="B1627" t="s">
        <v>2</v>
      </c>
      <c r="C1627" s="31">
        <v>6552</v>
      </c>
      <c r="D1627" t="s">
        <v>85</v>
      </c>
      <c r="E1627" t="s">
        <v>109</v>
      </c>
      <c r="F1627">
        <v>1</v>
      </c>
      <c r="G1627" t="s">
        <v>74</v>
      </c>
      <c r="H1627" t="s">
        <v>110</v>
      </c>
      <c r="I1627">
        <v>7</v>
      </c>
      <c r="J1627" s="19">
        <f>WEEKNUM(tblRidershipData[[#This Row],[MeasurementDate]])</f>
        <v>46</v>
      </c>
      <c r="K1627" s="19">
        <f>MONTH(tblRidershipData[[#This Row],[MeasurementDate]])</f>
        <v>11</v>
      </c>
    </row>
    <row r="1628" spans="1:11" x14ac:dyDescent="0.25">
      <c r="A1628" s="31">
        <v>43780</v>
      </c>
      <c r="B1628" t="s">
        <v>2</v>
      </c>
      <c r="C1628" s="31">
        <v>6552</v>
      </c>
      <c r="E1628" t="s">
        <v>111</v>
      </c>
      <c r="F1628">
        <v>1</v>
      </c>
      <c r="G1628" t="s">
        <v>44</v>
      </c>
      <c r="H1628" t="s">
        <v>112</v>
      </c>
      <c r="I1628">
        <v>1</v>
      </c>
      <c r="J1628" s="19">
        <f>WEEKNUM(tblRidershipData[[#This Row],[MeasurementDate]])</f>
        <v>46</v>
      </c>
      <c r="K1628" s="19">
        <f>MONTH(tblRidershipData[[#This Row],[MeasurementDate]])</f>
        <v>11</v>
      </c>
    </row>
    <row r="1629" spans="1:11" x14ac:dyDescent="0.25">
      <c r="A1629" s="31">
        <v>43780</v>
      </c>
      <c r="B1629" t="s">
        <v>2</v>
      </c>
      <c r="C1629" s="31">
        <v>6552</v>
      </c>
      <c r="E1629" t="s">
        <v>111</v>
      </c>
      <c r="F1629">
        <v>1</v>
      </c>
      <c r="G1629" t="s">
        <v>52</v>
      </c>
      <c r="H1629" t="s">
        <v>112</v>
      </c>
      <c r="I1629">
        <v>11</v>
      </c>
      <c r="J1629" s="19">
        <f>WEEKNUM(tblRidershipData[[#This Row],[MeasurementDate]])</f>
        <v>46</v>
      </c>
      <c r="K1629" s="19">
        <f>MONTH(tblRidershipData[[#This Row],[MeasurementDate]])</f>
        <v>11</v>
      </c>
    </row>
    <row r="1630" spans="1:11" x14ac:dyDescent="0.25">
      <c r="A1630" s="31">
        <v>43780</v>
      </c>
      <c r="B1630" t="s">
        <v>2</v>
      </c>
      <c r="C1630" s="31">
        <v>6552</v>
      </c>
      <c r="E1630" t="s">
        <v>111</v>
      </c>
      <c r="F1630">
        <v>1</v>
      </c>
      <c r="G1630" t="s">
        <v>56</v>
      </c>
      <c r="H1630" t="s">
        <v>112</v>
      </c>
      <c r="I1630">
        <v>4</v>
      </c>
      <c r="J1630" s="19">
        <f>WEEKNUM(tblRidershipData[[#This Row],[MeasurementDate]])</f>
        <v>46</v>
      </c>
      <c r="K1630" s="19">
        <f>MONTH(tblRidershipData[[#This Row],[MeasurementDate]])</f>
        <v>11</v>
      </c>
    </row>
    <row r="1631" spans="1:11" x14ac:dyDescent="0.25">
      <c r="A1631" s="31">
        <v>43780</v>
      </c>
      <c r="B1631" t="s">
        <v>2</v>
      </c>
      <c r="C1631" s="31">
        <v>6552</v>
      </c>
      <c r="E1631" t="s">
        <v>111</v>
      </c>
      <c r="F1631">
        <v>1</v>
      </c>
      <c r="G1631" t="s">
        <v>64</v>
      </c>
      <c r="H1631" t="s">
        <v>112</v>
      </c>
      <c r="I1631">
        <v>1</v>
      </c>
      <c r="J1631" s="19">
        <f>WEEKNUM(tblRidershipData[[#This Row],[MeasurementDate]])</f>
        <v>46</v>
      </c>
      <c r="K1631" s="19">
        <f>MONTH(tblRidershipData[[#This Row],[MeasurementDate]])</f>
        <v>11</v>
      </c>
    </row>
    <row r="1632" spans="1:11" x14ac:dyDescent="0.25">
      <c r="A1632" s="31">
        <v>43780</v>
      </c>
      <c r="B1632" t="s">
        <v>2</v>
      </c>
      <c r="C1632" s="31">
        <v>6552</v>
      </c>
      <c r="E1632" t="s">
        <v>111</v>
      </c>
      <c r="F1632">
        <v>1</v>
      </c>
      <c r="G1632" t="s">
        <v>67</v>
      </c>
      <c r="H1632" t="s">
        <v>112</v>
      </c>
      <c r="I1632">
        <v>16</v>
      </c>
      <c r="J1632" s="19">
        <f>WEEKNUM(tblRidershipData[[#This Row],[MeasurementDate]])</f>
        <v>46</v>
      </c>
      <c r="K1632" s="19">
        <f>MONTH(tblRidershipData[[#This Row],[MeasurementDate]])</f>
        <v>11</v>
      </c>
    </row>
    <row r="1633" spans="1:11" x14ac:dyDescent="0.25">
      <c r="A1633" s="31">
        <v>43780</v>
      </c>
      <c r="B1633" t="s">
        <v>2</v>
      </c>
      <c r="C1633" s="31">
        <v>6552</v>
      </c>
      <c r="E1633" t="s">
        <v>111</v>
      </c>
      <c r="F1633">
        <v>1</v>
      </c>
      <c r="G1633" t="s">
        <v>72</v>
      </c>
      <c r="H1633" t="s">
        <v>112</v>
      </c>
      <c r="I1633">
        <v>4</v>
      </c>
      <c r="J1633" s="19">
        <f>WEEKNUM(tblRidershipData[[#This Row],[MeasurementDate]])</f>
        <v>46</v>
      </c>
      <c r="K1633" s="19">
        <f>MONTH(tblRidershipData[[#This Row],[MeasurementDate]])</f>
        <v>11</v>
      </c>
    </row>
    <row r="1634" spans="1:11" x14ac:dyDescent="0.25">
      <c r="A1634" s="31">
        <v>43780</v>
      </c>
      <c r="B1634" t="s">
        <v>2</v>
      </c>
      <c r="C1634" s="31">
        <v>6552</v>
      </c>
      <c r="E1634" t="s">
        <v>111</v>
      </c>
      <c r="F1634">
        <v>1</v>
      </c>
      <c r="G1634" t="s">
        <v>74</v>
      </c>
      <c r="H1634" t="s">
        <v>112</v>
      </c>
      <c r="I1634">
        <v>16</v>
      </c>
      <c r="J1634" s="19">
        <f>WEEKNUM(tblRidershipData[[#This Row],[MeasurementDate]])</f>
        <v>46</v>
      </c>
      <c r="K1634" s="19">
        <f>MONTH(tblRidershipData[[#This Row],[MeasurementDate]])</f>
        <v>11</v>
      </c>
    </row>
    <row r="1635" spans="1:11" x14ac:dyDescent="0.25">
      <c r="A1635" s="31">
        <v>43780</v>
      </c>
      <c r="B1635" t="s">
        <v>2</v>
      </c>
      <c r="C1635" s="31">
        <v>6552</v>
      </c>
      <c r="E1635" t="s">
        <v>109</v>
      </c>
      <c r="F1635">
        <v>1</v>
      </c>
      <c r="G1635" t="s">
        <v>43</v>
      </c>
      <c r="H1635" t="s">
        <v>112</v>
      </c>
      <c r="I1635">
        <v>4</v>
      </c>
      <c r="J1635" s="19">
        <f>WEEKNUM(tblRidershipData[[#This Row],[MeasurementDate]])</f>
        <v>46</v>
      </c>
      <c r="K1635" s="19">
        <f>MONTH(tblRidershipData[[#This Row],[MeasurementDate]])</f>
        <v>11</v>
      </c>
    </row>
    <row r="1636" spans="1:11" x14ac:dyDescent="0.25">
      <c r="A1636" s="31">
        <v>43780</v>
      </c>
      <c r="B1636" t="s">
        <v>2</v>
      </c>
      <c r="C1636" s="31">
        <v>6552</v>
      </c>
      <c r="E1636" t="s">
        <v>109</v>
      </c>
      <c r="F1636">
        <v>1</v>
      </c>
      <c r="G1636" t="s">
        <v>46</v>
      </c>
      <c r="H1636" t="s">
        <v>112</v>
      </c>
      <c r="I1636">
        <v>4</v>
      </c>
      <c r="J1636" s="19">
        <f>WEEKNUM(tblRidershipData[[#This Row],[MeasurementDate]])</f>
        <v>46</v>
      </c>
      <c r="K1636" s="19">
        <f>MONTH(tblRidershipData[[#This Row],[MeasurementDate]])</f>
        <v>11</v>
      </c>
    </row>
    <row r="1637" spans="1:11" x14ac:dyDescent="0.25">
      <c r="A1637" s="31">
        <v>43780</v>
      </c>
      <c r="B1637" t="s">
        <v>2</v>
      </c>
      <c r="C1637" s="31">
        <v>6552</v>
      </c>
      <c r="E1637" t="s">
        <v>109</v>
      </c>
      <c r="F1637">
        <v>1</v>
      </c>
      <c r="G1637" t="s">
        <v>55</v>
      </c>
      <c r="H1637" t="s">
        <v>112</v>
      </c>
      <c r="I1637">
        <v>2</v>
      </c>
      <c r="J1637" s="19">
        <f>WEEKNUM(tblRidershipData[[#This Row],[MeasurementDate]])</f>
        <v>46</v>
      </c>
      <c r="K1637" s="19">
        <f>MONTH(tblRidershipData[[#This Row],[MeasurementDate]])</f>
        <v>11</v>
      </c>
    </row>
    <row r="1638" spans="1:11" x14ac:dyDescent="0.25">
      <c r="A1638" s="31">
        <v>43780</v>
      </c>
      <c r="B1638" t="s">
        <v>2</v>
      </c>
      <c r="C1638" s="31">
        <v>6552</v>
      </c>
      <c r="E1638" t="s">
        <v>109</v>
      </c>
      <c r="F1638">
        <v>1</v>
      </c>
      <c r="G1638" t="s">
        <v>57</v>
      </c>
      <c r="H1638" t="s">
        <v>112</v>
      </c>
      <c r="I1638">
        <v>2</v>
      </c>
      <c r="J1638" s="19">
        <f>WEEKNUM(tblRidershipData[[#This Row],[MeasurementDate]])</f>
        <v>46</v>
      </c>
      <c r="K1638" s="19">
        <f>MONTH(tblRidershipData[[#This Row],[MeasurementDate]])</f>
        <v>11</v>
      </c>
    </row>
    <row r="1639" spans="1:11" x14ac:dyDescent="0.25">
      <c r="A1639" s="31">
        <v>43780</v>
      </c>
      <c r="B1639" t="s">
        <v>2</v>
      </c>
      <c r="C1639" s="31">
        <v>6552</v>
      </c>
      <c r="E1639" t="s">
        <v>109</v>
      </c>
      <c r="F1639">
        <v>1</v>
      </c>
      <c r="G1639" t="s">
        <v>60</v>
      </c>
      <c r="H1639" t="s">
        <v>112</v>
      </c>
      <c r="I1639">
        <v>2</v>
      </c>
      <c r="J1639" s="19">
        <f>WEEKNUM(tblRidershipData[[#This Row],[MeasurementDate]])</f>
        <v>46</v>
      </c>
      <c r="K1639" s="19">
        <f>MONTH(tblRidershipData[[#This Row],[MeasurementDate]])</f>
        <v>11</v>
      </c>
    </row>
    <row r="1640" spans="1:11" x14ac:dyDescent="0.25">
      <c r="A1640" s="31">
        <v>43780</v>
      </c>
      <c r="B1640" t="s">
        <v>2</v>
      </c>
      <c r="C1640" s="31">
        <v>6552</v>
      </c>
      <c r="E1640" t="s">
        <v>109</v>
      </c>
      <c r="F1640">
        <v>1</v>
      </c>
      <c r="G1640" t="s">
        <v>66</v>
      </c>
      <c r="H1640" t="s">
        <v>112</v>
      </c>
      <c r="I1640">
        <v>6</v>
      </c>
      <c r="J1640" s="19">
        <f>WEEKNUM(tblRidershipData[[#This Row],[MeasurementDate]])</f>
        <v>46</v>
      </c>
      <c r="K1640" s="19">
        <f>MONTH(tblRidershipData[[#This Row],[MeasurementDate]])</f>
        <v>11</v>
      </c>
    </row>
    <row r="1641" spans="1:11" x14ac:dyDescent="0.25">
      <c r="A1641" s="31">
        <v>43780</v>
      </c>
      <c r="B1641" t="s">
        <v>2</v>
      </c>
      <c r="C1641" s="31">
        <v>6552</v>
      </c>
      <c r="E1641" t="s">
        <v>109</v>
      </c>
      <c r="F1641">
        <v>1</v>
      </c>
      <c r="G1641" t="s">
        <v>69</v>
      </c>
      <c r="H1641" t="s">
        <v>112</v>
      </c>
      <c r="I1641">
        <v>3</v>
      </c>
      <c r="J1641" s="19">
        <f>WEEKNUM(tblRidershipData[[#This Row],[MeasurementDate]])</f>
        <v>46</v>
      </c>
      <c r="K1641" s="19">
        <f>MONTH(tblRidershipData[[#This Row],[MeasurementDate]])</f>
        <v>11</v>
      </c>
    </row>
    <row r="1642" spans="1:11" x14ac:dyDescent="0.25">
      <c r="A1642" s="31">
        <v>43780</v>
      </c>
      <c r="B1642" t="s">
        <v>2</v>
      </c>
      <c r="C1642" s="31">
        <v>6552</v>
      </c>
      <c r="E1642" t="s">
        <v>109</v>
      </c>
      <c r="F1642">
        <v>1</v>
      </c>
      <c r="G1642" t="s">
        <v>71</v>
      </c>
      <c r="H1642" t="s">
        <v>112</v>
      </c>
      <c r="I1642">
        <v>28</v>
      </c>
      <c r="J1642" s="19">
        <f>WEEKNUM(tblRidershipData[[#This Row],[MeasurementDate]])</f>
        <v>46</v>
      </c>
      <c r="K1642" s="19">
        <f>MONTH(tblRidershipData[[#This Row],[MeasurementDate]])</f>
        <v>11</v>
      </c>
    </row>
    <row r="1643" spans="1:11" x14ac:dyDescent="0.25">
      <c r="A1643" s="31">
        <v>43780</v>
      </c>
      <c r="B1643" t="s">
        <v>2</v>
      </c>
      <c r="C1643" s="31">
        <v>6552</v>
      </c>
      <c r="E1643" t="s">
        <v>109</v>
      </c>
      <c r="F1643">
        <v>2</v>
      </c>
      <c r="G1643" t="s">
        <v>43</v>
      </c>
      <c r="H1643" t="s">
        <v>112</v>
      </c>
      <c r="I1643">
        <v>1</v>
      </c>
      <c r="J1643" s="19">
        <f>WEEKNUM(tblRidershipData[[#This Row],[MeasurementDate]])</f>
        <v>46</v>
      </c>
      <c r="K1643" s="19">
        <f>MONTH(tblRidershipData[[#This Row],[MeasurementDate]])</f>
        <v>11</v>
      </c>
    </row>
    <row r="1644" spans="1:11" x14ac:dyDescent="0.25">
      <c r="A1644" s="31">
        <v>43780</v>
      </c>
      <c r="B1644" t="s">
        <v>2</v>
      </c>
      <c r="C1644" s="31">
        <v>6552</v>
      </c>
      <c r="E1644" t="s">
        <v>109</v>
      </c>
      <c r="F1644">
        <v>2</v>
      </c>
      <c r="G1644" t="s">
        <v>46</v>
      </c>
      <c r="H1644" t="s">
        <v>112</v>
      </c>
      <c r="I1644">
        <v>4</v>
      </c>
      <c r="J1644" s="19">
        <f>WEEKNUM(tblRidershipData[[#This Row],[MeasurementDate]])</f>
        <v>46</v>
      </c>
      <c r="K1644" s="19">
        <f>MONTH(tblRidershipData[[#This Row],[MeasurementDate]])</f>
        <v>11</v>
      </c>
    </row>
    <row r="1645" spans="1:11" x14ac:dyDescent="0.25">
      <c r="A1645" s="31">
        <v>43780</v>
      </c>
      <c r="B1645" t="s">
        <v>2</v>
      </c>
      <c r="C1645" s="31">
        <v>6552</v>
      </c>
      <c r="E1645" t="s">
        <v>109</v>
      </c>
      <c r="F1645">
        <v>2</v>
      </c>
      <c r="G1645" t="s">
        <v>55</v>
      </c>
      <c r="H1645" t="s">
        <v>112</v>
      </c>
      <c r="I1645">
        <v>3</v>
      </c>
      <c r="J1645" s="19">
        <f>WEEKNUM(tblRidershipData[[#This Row],[MeasurementDate]])</f>
        <v>46</v>
      </c>
      <c r="K1645" s="19">
        <f>MONTH(tblRidershipData[[#This Row],[MeasurementDate]])</f>
        <v>11</v>
      </c>
    </row>
    <row r="1646" spans="1:11" x14ac:dyDescent="0.25">
      <c r="A1646" s="31">
        <v>43780</v>
      </c>
      <c r="B1646" t="s">
        <v>2</v>
      </c>
      <c r="C1646" s="31">
        <v>6552</v>
      </c>
      <c r="E1646" t="s">
        <v>109</v>
      </c>
      <c r="F1646">
        <v>2</v>
      </c>
      <c r="G1646" t="s">
        <v>57</v>
      </c>
      <c r="H1646" t="s">
        <v>112</v>
      </c>
      <c r="I1646">
        <v>2</v>
      </c>
      <c r="J1646" s="19">
        <f>WEEKNUM(tblRidershipData[[#This Row],[MeasurementDate]])</f>
        <v>46</v>
      </c>
      <c r="K1646" s="19">
        <f>MONTH(tblRidershipData[[#This Row],[MeasurementDate]])</f>
        <v>11</v>
      </c>
    </row>
    <row r="1647" spans="1:11" x14ac:dyDescent="0.25">
      <c r="A1647" s="31">
        <v>43780</v>
      </c>
      <c r="B1647" t="s">
        <v>2</v>
      </c>
      <c r="C1647" s="31">
        <v>6552</v>
      </c>
      <c r="E1647" t="s">
        <v>109</v>
      </c>
      <c r="F1647">
        <v>2</v>
      </c>
      <c r="G1647" t="s">
        <v>66</v>
      </c>
      <c r="H1647" t="s">
        <v>112</v>
      </c>
      <c r="I1647">
        <v>5</v>
      </c>
      <c r="J1647" s="19">
        <f>WEEKNUM(tblRidershipData[[#This Row],[MeasurementDate]])</f>
        <v>46</v>
      </c>
      <c r="K1647" s="19">
        <f>MONTH(tblRidershipData[[#This Row],[MeasurementDate]])</f>
        <v>11</v>
      </c>
    </row>
    <row r="1648" spans="1:11" x14ac:dyDescent="0.25">
      <c r="A1648" s="31">
        <v>43780</v>
      </c>
      <c r="B1648" t="s">
        <v>2</v>
      </c>
      <c r="C1648" s="31">
        <v>6552</v>
      </c>
      <c r="E1648" t="s">
        <v>109</v>
      </c>
      <c r="F1648">
        <v>2</v>
      </c>
      <c r="G1648" t="s">
        <v>70</v>
      </c>
      <c r="H1648" t="s">
        <v>112</v>
      </c>
      <c r="I1648">
        <v>4</v>
      </c>
      <c r="J1648" s="19">
        <f>WEEKNUM(tblRidershipData[[#This Row],[MeasurementDate]])</f>
        <v>46</v>
      </c>
      <c r="K1648" s="19">
        <f>MONTH(tblRidershipData[[#This Row],[MeasurementDate]])</f>
        <v>11</v>
      </c>
    </row>
    <row r="1649" spans="1:11" x14ac:dyDescent="0.25">
      <c r="A1649" s="31">
        <v>43780</v>
      </c>
      <c r="B1649" t="s">
        <v>2</v>
      </c>
      <c r="C1649" s="31">
        <v>6552</v>
      </c>
      <c r="E1649" t="s">
        <v>109</v>
      </c>
      <c r="F1649">
        <v>2</v>
      </c>
      <c r="G1649" t="s">
        <v>71</v>
      </c>
      <c r="H1649" t="s">
        <v>112</v>
      </c>
      <c r="I1649">
        <v>3</v>
      </c>
      <c r="J1649" s="19">
        <f>WEEKNUM(tblRidershipData[[#This Row],[MeasurementDate]])</f>
        <v>46</v>
      </c>
      <c r="K1649" s="19">
        <f>MONTH(tblRidershipData[[#This Row],[MeasurementDate]])</f>
        <v>11</v>
      </c>
    </row>
    <row r="1650" spans="1:11" x14ac:dyDescent="0.25">
      <c r="A1650" s="31">
        <v>43780</v>
      </c>
      <c r="B1650" t="s">
        <v>2</v>
      </c>
      <c r="C1650" s="31">
        <v>8312</v>
      </c>
      <c r="D1650" t="s">
        <v>83</v>
      </c>
      <c r="E1650" t="s">
        <v>109</v>
      </c>
      <c r="F1650">
        <v>1</v>
      </c>
      <c r="G1650" t="s">
        <v>54</v>
      </c>
      <c r="H1650" t="s">
        <v>110</v>
      </c>
      <c r="I1650">
        <v>2</v>
      </c>
      <c r="J1650" s="19">
        <f>WEEKNUM(tblRidershipData[[#This Row],[MeasurementDate]])</f>
        <v>46</v>
      </c>
      <c r="K1650" s="19">
        <f>MONTH(tblRidershipData[[#This Row],[MeasurementDate]])</f>
        <v>11</v>
      </c>
    </row>
    <row r="1651" spans="1:11" x14ac:dyDescent="0.25">
      <c r="A1651" s="31">
        <v>43780</v>
      </c>
      <c r="B1651" t="s">
        <v>2</v>
      </c>
      <c r="C1651" s="31">
        <v>8312</v>
      </c>
      <c r="D1651" t="s">
        <v>83</v>
      </c>
      <c r="E1651" t="s">
        <v>109</v>
      </c>
      <c r="F1651">
        <v>1</v>
      </c>
      <c r="G1651" t="s">
        <v>72</v>
      </c>
      <c r="H1651" t="s">
        <v>110</v>
      </c>
      <c r="I1651">
        <v>16</v>
      </c>
      <c r="J1651" s="19">
        <f>WEEKNUM(tblRidershipData[[#This Row],[MeasurementDate]])</f>
        <v>46</v>
      </c>
      <c r="K1651" s="19">
        <f>MONTH(tblRidershipData[[#This Row],[MeasurementDate]])</f>
        <v>11</v>
      </c>
    </row>
    <row r="1652" spans="1:11" x14ac:dyDescent="0.25">
      <c r="A1652" s="31">
        <v>43780</v>
      </c>
      <c r="B1652" t="s">
        <v>2</v>
      </c>
      <c r="C1652" s="31">
        <v>8312</v>
      </c>
      <c r="D1652" t="s">
        <v>83</v>
      </c>
      <c r="E1652" t="s">
        <v>109</v>
      </c>
      <c r="F1652">
        <v>1</v>
      </c>
      <c r="G1652" t="s">
        <v>75</v>
      </c>
      <c r="H1652" t="s">
        <v>110</v>
      </c>
      <c r="I1652">
        <v>13</v>
      </c>
      <c r="J1652" s="19">
        <f>WEEKNUM(tblRidershipData[[#This Row],[MeasurementDate]])</f>
        <v>46</v>
      </c>
      <c r="K1652" s="19">
        <f>MONTH(tblRidershipData[[#This Row],[MeasurementDate]])</f>
        <v>11</v>
      </c>
    </row>
    <row r="1653" spans="1:11" x14ac:dyDescent="0.25">
      <c r="A1653" s="31">
        <v>43780</v>
      </c>
      <c r="B1653" t="s">
        <v>2</v>
      </c>
      <c r="C1653" s="31">
        <v>8312</v>
      </c>
      <c r="D1653" t="s">
        <v>83</v>
      </c>
      <c r="E1653" t="s">
        <v>109</v>
      </c>
      <c r="F1653">
        <v>2</v>
      </c>
      <c r="G1653" t="s">
        <v>74</v>
      </c>
      <c r="H1653" t="s">
        <v>110</v>
      </c>
      <c r="I1653">
        <v>27</v>
      </c>
      <c r="J1653" s="19">
        <f>WEEKNUM(tblRidershipData[[#This Row],[MeasurementDate]])</f>
        <v>46</v>
      </c>
      <c r="K1653" s="19">
        <f>MONTH(tblRidershipData[[#This Row],[MeasurementDate]])</f>
        <v>11</v>
      </c>
    </row>
    <row r="1654" spans="1:11" x14ac:dyDescent="0.25">
      <c r="A1654" s="31">
        <v>43780</v>
      </c>
      <c r="B1654" t="s">
        <v>2</v>
      </c>
      <c r="C1654" s="31">
        <v>7317</v>
      </c>
      <c r="D1654" t="s">
        <v>105</v>
      </c>
      <c r="E1654" t="s">
        <v>111</v>
      </c>
      <c r="F1654">
        <v>1</v>
      </c>
      <c r="G1654" t="s">
        <v>44</v>
      </c>
      <c r="H1654" t="s">
        <v>112</v>
      </c>
      <c r="I1654">
        <v>2</v>
      </c>
      <c r="J1654" s="19">
        <f>WEEKNUM(tblRidershipData[[#This Row],[MeasurementDate]])</f>
        <v>46</v>
      </c>
      <c r="K1654" s="19">
        <f>MONTH(tblRidershipData[[#This Row],[MeasurementDate]])</f>
        <v>11</v>
      </c>
    </row>
    <row r="1655" spans="1:11" x14ac:dyDescent="0.25">
      <c r="A1655" s="31">
        <v>43780</v>
      </c>
      <c r="B1655" t="s">
        <v>2</v>
      </c>
      <c r="C1655" s="31">
        <v>7317</v>
      </c>
      <c r="D1655" t="s">
        <v>105</v>
      </c>
      <c r="E1655" t="s">
        <v>111</v>
      </c>
      <c r="F1655">
        <v>1</v>
      </c>
      <c r="G1655" t="s">
        <v>52</v>
      </c>
      <c r="H1655" t="s">
        <v>112</v>
      </c>
      <c r="I1655">
        <v>29</v>
      </c>
      <c r="J1655" s="19">
        <f>WEEKNUM(tblRidershipData[[#This Row],[MeasurementDate]])</f>
        <v>46</v>
      </c>
      <c r="K1655" s="19">
        <f>MONTH(tblRidershipData[[#This Row],[MeasurementDate]])</f>
        <v>11</v>
      </c>
    </row>
    <row r="1656" spans="1:11" x14ac:dyDescent="0.25">
      <c r="A1656" s="31">
        <v>43780</v>
      </c>
      <c r="B1656" t="s">
        <v>2</v>
      </c>
      <c r="C1656" s="31">
        <v>7317</v>
      </c>
      <c r="D1656" t="s">
        <v>105</v>
      </c>
      <c r="E1656" t="s">
        <v>111</v>
      </c>
      <c r="F1656">
        <v>1</v>
      </c>
      <c r="G1656" t="s">
        <v>54</v>
      </c>
      <c r="H1656" t="s">
        <v>112</v>
      </c>
      <c r="I1656">
        <v>10</v>
      </c>
      <c r="J1656" s="19">
        <f>WEEKNUM(tblRidershipData[[#This Row],[MeasurementDate]])</f>
        <v>46</v>
      </c>
      <c r="K1656" s="19">
        <f>MONTH(tblRidershipData[[#This Row],[MeasurementDate]])</f>
        <v>11</v>
      </c>
    </row>
    <row r="1657" spans="1:11" x14ac:dyDescent="0.25">
      <c r="A1657" s="31">
        <v>43780</v>
      </c>
      <c r="B1657" t="s">
        <v>2</v>
      </c>
      <c r="C1657" s="31">
        <v>7317</v>
      </c>
      <c r="D1657" t="s">
        <v>105</v>
      </c>
      <c r="E1657" t="s">
        <v>111</v>
      </c>
      <c r="F1657">
        <v>1</v>
      </c>
      <c r="G1657" t="s">
        <v>64</v>
      </c>
      <c r="H1657" t="s">
        <v>112</v>
      </c>
      <c r="I1657">
        <v>1</v>
      </c>
      <c r="J1657" s="19">
        <f>WEEKNUM(tblRidershipData[[#This Row],[MeasurementDate]])</f>
        <v>46</v>
      </c>
      <c r="K1657" s="19">
        <f>MONTH(tblRidershipData[[#This Row],[MeasurementDate]])</f>
        <v>11</v>
      </c>
    </row>
    <row r="1658" spans="1:11" x14ac:dyDescent="0.25">
      <c r="A1658" s="31">
        <v>43780</v>
      </c>
      <c r="B1658" t="s">
        <v>2</v>
      </c>
      <c r="C1658" s="31">
        <v>7317</v>
      </c>
      <c r="D1658" t="s">
        <v>105</v>
      </c>
      <c r="E1658" t="s">
        <v>111</v>
      </c>
      <c r="F1658">
        <v>1</v>
      </c>
      <c r="G1658" t="s">
        <v>70</v>
      </c>
      <c r="H1658" t="s">
        <v>112</v>
      </c>
      <c r="I1658">
        <v>1</v>
      </c>
      <c r="J1658" s="19">
        <f>WEEKNUM(tblRidershipData[[#This Row],[MeasurementDate]])</f>
        <v>46</v>
      </c>
      <c r="K1658" s="19">
        <f>MONTH(tblRidershipData[[#This Row],[MeasurementDate]])</f>
        <v>11</v>
      </c>
    </row>
    <row r="1659" spans="1:11" x14ac:dyDescent="0.25">
      <c r="A1659" s="31">
        <v>43780</v>
      </c>
      <c r="B1659" t="s">
        <v>2</v>
      </c>
      <c r="C1659" s="31">
        <v>7317</v>
      </c>
      <c r="D1659" t="s">
        <v>105</v>
      </c>
      <c r="E1659" t="s">
        <v>109</v>
      </c>
      <c r="F1659">
        <v>1</v>
      </c>
      <c r="G1659" t="s">
        <v>43</v>
      </c>
      <c r="H1659" t="s">
        <v>112</v>
      </c>
      <c r="I1659">
        <v>8</v>
      </c>
      <c r="J1659" s="19">
        <f>WEEKNUM(tblRidershipData[[#This Row],[MeasurementDate]])</f>
        <v>46</v>
      </c>
      <c r="K1659" s="19">
        <f>MONTH(tblRidershipData[[#This Row],[MeasurementDate]])</f>
        <v>11</v>
      </c>
    </row>
    <row r="1660" spans="1:11" x14ac:dyDescent="0.25">
      <c r="A1660" s="31">
        <v>43780</v>
      </c>
      <c r="B1660" t="s">
        <v>2</v>
      </c>
      <c r="C1660" s="31">
        <v>7317</v>
      </c>
      <c r="D1660" t="s">
        <v>105</v>
      </c>
      <c r="E1660" t="s">
        <v>109</v>
      </c>
      <c r="F1660">
        <v>1</v>
      </c>
      <c r="G1660" t="s">
        <v>46</v>
      </c>
      <c r="H1660" t="s">
        <v>112</v>
      </c>
      <c r="I1660">
        <v>6</v>
      </c>
      <c r="J1660" s="19">
        <f>WEEKNUM(tblRidershipData[[#This Row],[MeasurementDate]])</f>
        <v>46</v>
      </c>
      <c r="K1660" s="19">
        <f>MONTH(tblRidershipData[[#This Row],[MeasurementDate]])</f>
        <v>11</v>
      </c>
    </row>
    <row r="1661" spans="1:11" x14ac:dyDescent="0.25">
      <c r="A1661" s="31">
        <v>43780</v>
      </c>
      <c r="B1661" t="s">
        <v>2</v>
      </c>
      <c r="C1661" s="31">
        <v>7317</v>
      </c>
      <c r="D1661" t="s">
        <v>105</v>
      </c>
      <c r="E1661" t="s">
        <v>109</v>
      </c>
      <c r="F1661">
        <v>1</v>
      </c>
      <c r="G1661" t="s">
        <v>52</v>
      </c>
      <c r="H1661" t="s">
        <v>112</v>
      </c>
      <c r="I1661">
        <v>1</v>
      </c>
      <c r="J1661" s="19">
        <f>WEEKNUM(tblRidershipData[[#This Row],[MeasurementDate]])</f>
        <v>46</v>
      </c>
      <c r="K1661" s="19">
        <f>MONTH(tblRidershipData[[#This Row],[MeasurementDate]])</f>
        <v>11</v>
      </c>
    </row>
    <row r="1662" spans="1:11" x14ac:dyDescent="0.25">
      <c r="A1662" s="31">
        <v>43780</v>
      </c>
      <c r="B1662" t="s">
        <v>2</v>
      </c>
      <c r="C1662" s="31">
        <v>7317</v>
      </c>
      <c r="D1662" t="s">
        <v>105</v>
      </c>
      <c r="E1662" t="s">
        <v>109</v>
      </c>
      <c r="F1662">
        <v>1</v>
      </c>
      <c r="G1662" t="s">
        <v>55</v>
      </c>
      <c r="H1662" t="s">
        <v>112</v>
      </c>
      <c r="I1662">
        <v>4</v>
      </c>
      <c r="J1662" s="19">
        <f>WEEKNUM(tblRidershipData[[#This Row],[MeasurementDate]])</f>
        <v>46</v>
      </c>
      <c r="K1662" s="19">
        <f>MONTH(tblRidershipData[[#This Row],[MeasurementDate]])</f>
        <v>11</v>
      </c>
    </row>
    <row r="1663" spans="1:11" x14ac:dyDescent="0.25">
      <c r="A1663" s="31">
        <v>43780</v>
      </c>
      <c r="B1663" t="s">
        <v>2</v>
      </c>
      <c r="C1663" s="31">
        <v>7317</v>
      </c>
      <c r="D1663" t="s">
        <v>105</v>
      </c>
      <c r="E1663" t="s">
        <v>109</v>
      </c>
      <c r="F1663">
        <v>1</v>
      </c>
      <c r="G1663" t="s">
        <v>66</v>
      </c>
      <c r="H1663" t="s">
        <v>112</v>
      </c>
      <c r="I1663">
        <v>2</v>
      </c>
      <c r="J1663" s="19">
        <f>WEEKNUM(tblRidershipData[[#This Row],[MeasurementDate]])</f>
        <v>46</v>
      </c>
      <c r="K1663" s="19">
        <f>MONTH(tblRidershipData[[#This Row],[MeasurementDate]])</f>
        <v>11</v>
      </c>
    </row>
    <row r="1664" spans="1:11" x14ac:dyDescent="0.25">
      <c r="A1664" s="31">
        <v>43780</v>
      </c>
      <c r="B1664" t="s">
        <v>2</v>
      </c>
      <c r="C1664" s="31">
        <v>7317</v>
      </c>
      <c r="D1664" t="s">
        <v>105</v>
      </c>
      <c r="E1664" t="s">
        <v>109</v>
      </c>
      <c r="F1664">
        <v>1</v>
      </c>
      <c r="G1664" t="s">
        <v>69</v>
      </c>
      <c r="H1664" t="s">
        <v>112</v>
      </c>
      <c r="I1664">
        <v>8</v>
      </c>
      <c r="J1664" s="19">
        <f>WEEKNUM(tblRidershipData[[#This Row],[MeasurementDate]])</f>
        <v>46</v>
      </c>
      <c r="K1664" s="19">
        <f>MONTH(tblRidershipData[[#This Row],[MeasurementDate]])</f>
        <v>11</v>
      </c>
    </row>
    <row r="1665" spans="1:11" x14ac:dyDescent="0.25">
      <c r="A1665" s="31">
        <v>43780</v>
      </c>
      <c r="B1665" t="s">
        <v>2</v>
      </c>
      <c r="C1665" s="31">
        <v>7317</v>
      </c>
      <c r="D1665" t="s">
        <v>105</v>
      </c>
      <c r="E1665" t="s">
        <v>109</v>
      </c>
      <c r="F1665">
        <v>1</v>
      </c>
      <c r="G1665" t="s">
        <v>70</v>
      </c>
      <c r="H1665" t="s">
        <v>112</v>
      </c>
      <c r="I1665">
        <v>9</v>
      </c>
      <c r="J1665" s="19">
        <f>WEEKNUM(tblRidershipData[[#This Row],[MeasurementDate]])</f>
        <v>46</v>
      </c>
      <c r="K1665" s="19">
        <f>MONTH(tblRidershipData[[#This Row],[MeasurementDate]])</f>
        <v>11</v>
      </c>
    </row>
    <row r="1666" spans="1:11" x14ac:dyDescent="0.25">
      <c r="A1666" s="31">
        <v>43780</v>
      </c>
      <c r="B1666" t="s">
        <v>2</v>
      </c>
      <c r="C1666" s="31">
        <v>7317</v>
      </c>
      <c r="D1666" t="s">
        <v>105</v>
      </c>
      <c r="E1666" t="s">
        <v>109</v>
      </c>
      <c r="F1666">
        <v>1</v>
      </c>
      <c r="G1666" t="s">
        <v>71</v>
      </c>
      <c r="H1666" t="s">
        <v>112</v>
      </c>
      <c r="I1666">
        <v>4</v>
      </c>
      <c r="J1666" s="19">
        <f>WEEKNUM(tblRidershipData[[#This Row],[MeasurementDate]])</f>
        <v>46</v>
      </c>
      <c r="K1666" s="19">
        <f>MONTH(tblRidershipData[[#This Row],[MeasurementDate]])</f>
        <v>11</v>
      </c>
    </row>
    <row r="1667" spans="1:11" x14ac:dyDescent="0.25">
      <c r="A1667" s="31">
        <v>43780</v>
      </c>
      <c r="B1667" t="s">
        <v>2</v>
      </c>
      <c r="C1667" s="31">
        <v>7317</v>
      </c>
      <c r="D1667" t="s">
        <v>105</v>
      </c>
      <c r="E1667" t="s">
        <v>109</v>
      </c>
      <c r="F1667">
        <v>1</v>
      </c>
      <c r="G1667" t="s">
        <v>76</v>
      </c>
      <c r="H1667" t="s">
        <v>112</v>
      </c>
      <c r="I1667">
        <v>1</v>
      </c>
      <c r="J1667" s="19">
        <f>WEEKNUM(tblRidershipData[[#This Row],[MeasurementDate]])</f>
        <v>46</v>
      </c>
      <c r="K1667" s="19">
        <f>MONTH(tblRidershipData[[#This Row],[MeasurementDate]])</f>
        <v>11</v>
      </c>
    </row>
    <row r="1668" spans="1:11" x14ac:dyDescent="0.25">
      <c r="A1668" s="31">
        <v>43780</v>
      </c>
      <c r="B1668" t="s">
        <v>2</v>
      </c>
      <c r="C1668" s="31">
        <v>8312</v>
      </c>
      <c r="D1668" t="s">
        <v>83</v>
      </c>
      <c r="E1668" t="s">
        <v>111</v>
      </c>
      <c r="F1668">
        <v>1</v>
      </c>
      <c r="G1668" t="s">
        <v>43</v>
      </c>
      <c r="H1668" t="s">
        <v>110</v>
      </c>
      <c r="I1668">
        <v>6</v>
      </c>
      <c r="J1668" s="19">
        <f>WEEKNUM(tblRidershipData[[#This Row],[MeasurementDate]])</f>
        <v>46</v>
      </c>
      <c r="K1668" s="19">
        <f>MONTH(tblRidershipData[[#This Row],[MeasurementDate]])</f>
        <v>11</v>
      </c>
    </row>
    <row r="1669" spans="1:11" x14ac:dyDescent="0.25">
      <c r="A1669" s="31">
        <v>43780</v>
      </c>
      <c r="B1669" t="s">
        <v>2</v>
      </c>
      <c r="C1669" s="31">
        <v>8312</v>
      </c>
      <c r="D1669" t="s">
        <v>83</v>
      </c>
      <c r="E1669" t="s">
        <v>111</v>
      </c>
      <c r="F1669">
        <v>1</v>
      </c>
      <c r="G1669" t="s">
        <v>46</v>
      </c>
      <c r="H1669" t="s">
        <v>110</v>
      </c>
      <c r="I1669">
        <v>10</v>
      </c>
      <c r="J1669" s="19">
        <f>WEEKNUM(tblRidershipData[[#This Row],[MeasurementDate]])</f>
        <v>46</v>
      </c>
      <c r="K1669" s="19">
        <f>MONTH(tblRidershipData[[#This Row],[MeasurementDate]])</f>
        <v>11</v>
      </c>
    </row>
    <row r="1670" spans="1:11" x14ac:dyDescent="0.25">
      <c r="A1670" s="31">
        <v>43780</v>
      </c>
      <c r="B1670" t="s">
        <v>2</v>
      </c>
      <c r="C1670" s="31">
        <v>8312</v>
      </c>
      <c r="D1670" t="s">
        <v>83</v>
      </c>
      <c r="E1670" t="s">
        <v>111</v>
      </c>
      <c r="F1670">
        <v>1</v>
      </c>
      <c r="G1670" t="s">
        <v>57</v>
      </c>
      <c r="H1670" t="s">
        <v>110</v>
      </c>
      <c r="I1670">
        <v>1</v>
      </c>
      <c r="J1670" s="19">
        <f>WEEKNUM(tblRidershipData[[#This Row],[MeasurementDate]])</f>
        <v>46</v>
      </c>
      <c r="K1670" s="19">
        <f>MONTH(tblRidershipData[[#This Row],[MeasurementDate]])</f>
        <v>11</v>
      </c>
    </row>
    <row r="1671" spans="1:11" x14ac:dyDescent="0.25">
      <c r="A1671" s="31">
        <v>43780</v>
      </c>
      <c r="B1671" t="s">
        <v>2</v>
      </c>
      <c r="C1671" s="31">
        <v>8312</v>
      </c>
      <c r="D1671" t="s">
        <v>83</v>
      </c>
      <c r="E1671" t="s">
        <v>111</v>
      </c>
      <c r="F1671">
        <v>1</v>
      </c>
      <c r="G1671" t="s">
        <v>60</v>
      </c>
      <c r="H1671" t="s">
        <v>110</v>
      </c>
      <c r="I1671">
        <v>2</v>
      </c>
      <c r="J1671" s="19">
        <f>WEEKNUM(tblRidershipData[[#This Row],[MeasurementDate]])</f>
        <v>46</v>
      </c>
      <c r="K1671" s="19">
        <f>MONTH(tblRidershipData[[#This Row],[MeasurementDate]])</f>
        <v>11</v>
      </c>
    </row>
    <row r="1672" spans="1:11" x14ac:dyDescent="0.25">
      <c r="A1672" s="31">
        <v>43780</v>
      </c>
      <c r="B1672" t="s">
        <v>2</v>
      </c>
      <c r="C1672" s="31">
        <v>8312</v>
      </c>
      <c r="D1672" t="s">
        <v>83</v>
      </c>
      <c r="E1672" t="s">
        <v>111</v>
      </c>
      <c r="F1672">
        <v>1</v>
      </c>
      <c r="G1672" t="s">
        <v>69</v>
      </c>
      <c r="H1672" t="s">
        <v>110</v>
      </c>
      <c r="I1672">
        <v>1</v>
      </c>
      <c r="J1672" s="19">
        <f>WEEKNUM(tblRidershipData[[#This Row],[MeasurementDate]])</f>
        <v>46</v>
      </c>
      <c r="K1672" s="19">
        <f>MONTH(tblRidershipData[[#This Row],[MeasurementDate]])</f>
        <v>11</v>
      </c>
    </row>
    <row r="1673" spans="1:11" x14ac:dyDescent="0.25">
      <c r="A1673" s="31">
        <v>43780</v>
      </c>
      <c r="B1673" t="s">
        <v>2</v>
      </c>
      <c r="C1673" s="31">
        <v>8312</v>
      </c>
      <c r="D1673" t="s">
        <v>83</v>
      </c>
      <c r="E1673" t="s">
        <v>111</v>
      </c>
      <c r="F1673">
        <v>1</v>
      </c>
      <c r="G1673" t="s">
        <v>70</v>
      </c>
      <c r="H1673" t="s">
        <v>110</v>
      </c>
      <c r="I1673">
        <v>3</v>
      </c>
      <c r="J1673" s="19">
        <f>WEEKNUM(tblRidershipData[[#This Row],[MeasurementDate]])</f>
        <v>46</v>
      </c>
      <c r="K1673" s="19">
        <f>MONTH(tblRidershipData[[#This Row],[MeasurementDate]])</f>
        <v>11</v>
      </c>
    </row>
    <row r="1674" spans="1:11" x14ac:dyDescent="0.25">
      <c r="A1674" s="31">
        <v>43780</v>
      </c>
      <c r="B1674" t="s">
        <v>2</v>
      </c>
      <c r="C1674" s="31">
        <v>8312</v>
      </c>
      <c r="D1674" t="s">
        <v>83</v>
      </c>
      <c r="E1674" t="s">
        <v>111</v>
      </c>
      <c r="F1674">
        <v>1</v>
      </c>
      <c r="G1674" t="s">
        <v>76</v>
      </c>
      <c r="H1674" t="s">
        <v>110</v>
      </c>
      <c r="I1674">
        <v>1</v>
      </c>
      <c r="J1674" s="19">
        <f>WEEKNUM(tblRidershipData[[#This Row],[MeasurementDate]])</f>
        <v>46</v>
      </c>
      <c r="K1674" s="19">
        <f>MONTH(tblRidershipData[[#This Row],[MeasurementDate]])</f>
        <v>11</v>
      </c>
    </row>
    <row r="1675" spans="1:11" x14ac:dyDescent="0.25">
      <c r="A1675" s="31">
        <v>43780</v>
      </c>
      <c r="B1675" t="s">
        <v>2</v>
      </c>
      <c r="C1675" s="31">
        <v>8312</v>
      </c>
      <c r="D1675" t="s">
        <v>83</v>
      </c>
      <c r="E1675" t="s">
        <v>111</v>
      </c>
      <c r="F1675">
        <v>2</v>
      </c>
      <c r="G1675" t="s">
        <v>59</v>
      </c>
      <c r="H1675" t="s">
        <v>110</v>
      </c>
      <c r="I1675">
        <v>1</v>
      </c>
      <c r="J1675" s="19">
        <f>WEEKNUM(tblRidershipData[[#This Row],[MeasurementDate]])</f>
        <v>46</v>
      </c>
      <c r="K1675" s="19">
        <f>MONTH(tblRidershipData[[#This Row],[MeasurementDate]])</f>
        <v>11</v>
      </c>
    </row>
    <row r="1676" spans="1:11" x14ac:dyDescent="0.25">
      <c r="A1676" s="31">
        <v>43780</v>
      </c>
      <c r="B1676" t="s">
        <v>2</v>
      </c>
      <c r="C1676" s="31">
        <v>8312</v>
      </c>
      <c r="D1676" t="s">
        <v>83</v>
      </c>
      <c r="E1676" t="s">
        <v>111</v>
      </c>
      <c r="F1676">
        <v>2</v>
      </c>
      <c r="G1676" t="s">
        <v>70</v>
      </c>
      <c r="H1676" t="s">
        <v>110</v>
      </c>
      <c r="I1676">
        <v>1</v>
      </c>
      <c r="J1676" s="19">
        <f>WEEKNUM(tblRidershipData[[#This Row],[MeasurementDate]])</f>
        <v>46</v>
      </c>
      <c r="K1676" s="19">
        <f>MONTH(tblRidershipData[[#This Row],[MeasurementDate]])</f>
        <v>11</v>
      </c>
    </row>
    <row r="1677" spans="1:11" x14ac:dyDescent="0.25">
      <c r="A1677" s="31">
        <v>43780</v>
      </c>
      <c r="B1677" t="s">
        <v>2</v>
      </c>
      <c r="C1677" s="31">
        <v>7307</v>
      </c>
      <c r="D1677" t="s">
        <v>82</v>
      </c>
      <c r="E1677" t="s">
        <v>111</v>
      </c>
      <c r="F1677">
        <v>1</v>
      </c>
      <c r="G1677" t="s">
        <v>46</v>
      </c>
      <c r="H1677" t="s">
        <v>110</v>
      </c>
      <c r="I1677">
        <v>2</v>
      </c>
      <c r="J1677" s="19">
        <f>WEEKNUM(tblRidershipData[[#This Row],[MeasurementDate]])</f>
        <v>46</v>
      </c>
      <c r="K1677" s="19">
        <f>MONTH(tblRidershipData[[#This Row],[MeasurementDate]])</f>
        <v>11</v>
      </c>
    </row>
    <row r="1678" spans="1:11" x14ac:dyDescent="0.25">
      <c r="A1678" s="31">
        <v>43780</v>
      </c>
      <c r="B1678" t="s">
        <v>2</v>
      </c>
      <c r="C1678" s="31">
        <v>7307</v>
      </c>
      <c r="D1678" t="s">
        <v>82</v>
      </c>
      <c r="E1678" t="s">
        <v>111</v>
      </c>
      <c r="F1678">
        <v>1</v>
      </c>
      <c r="G1678" t="s">
        <v>55</v>
      </c>
      <c r="H1678" t="s">
        <v>110</v>
      </c>
      <c r="I1678">
        <v>4</v>
      </c>
      <c r="J1678" s="19">
        <f>WEEKNUM(tblRidershipData[[#This Row],[MeasurementDate]])</f>
        <v>46</v>
      </c>
      <c r="K1678" s="19">
        <f>MONTH(tblRidershipData[[#This Row],[MeasurementDate]])</f>
        <v>11</v>
      </c>
    </row>
    <row r="1679" spans="1:11" x14ac:dyDescent="0.25">
      <c r="A1679" s="31">
        <v>43780</v>
      </c>
      <c r="B1679" t="s">
        <v>2</v>
      </c>
      <c r="C1679" s="31">
        <v>7307</v>
      </c>
      <c r="D1679" t="s">
        <v>82</v>
      </c>
      <c r="E1679" t="s">
        <v>111</v>
      </c>
      <c r="F1679">
        <v>1</v>
      </c>
      <c r="G1679" t="s">
        <v>59</v>
      </c>
      <c r="H1679" t="s">
        <v>110</v>
      </c>
      <c r="I1679">
        <v>27</v>
      </c>
      <c r="J1679" s="19">
        <f>WEEKNUM(tblRidershipData[[#This Row],[MeasurementDate]])</f>
        <v>46</v>
      </c>
      <c r="K1679" s="19">
        <f>MONTH(tblRidershipData[[#This Row],[MeasurementDate]])</f>
        <v>11</v>
      </c>
    </row>
    <row r="1680" spans="1:11" x14ac:dyDescent="0.25">
      <c r="A1680" s="31">
        <v>43780</v>
      </c>
      <c r="B1680" t="s">
        <v>2</v>
      </c>
      <c r="C1680" s="31">
        <v>7307</v>
      </c>
      <c r="D1680" t="s">
        <v>82</v>
      </c>
      <c r="E1680" t="s">
        <v>111</v>
      </c>
      <c r="F1680">
        <v>1</v>
      </c>
      <c r="G1680" t="s">
        <v>69</v>
      </c>
      <c r="H1680" t="s">
        <v>110</v>
      </c>
      <c r="I1680">
        <v>13</v>
      </c>
      <c r="J1680" s="19">
        <f>WEEKNUM(tblRidershipData[[#This Row],[MeasurementDate]])</f>
        <v>46</v>
      </c>
      <c r="K1680" s="19">
        <f>MONTH(tblRidershipData[[#This Row],[MeasurementDate]])</f>
        <v>11</v>
      </c>
    </row>
    <row r="1681" spans="1:11" x14ac:dyDescent="0.25">
      <c r="A1681" s="31">
        <v>43780</v>
      </c>
      <c r="B1681" t="s">
        <v>2</v>
      </c>
      <c r="C1681" s="31">
        <v>7307</v>
      </c>
      <c r="D1681" t="s">
        <v>82</v>
      </c>
      <c r="E1681" t="s">
        <v>111</v>
      </c>
      <c r="F1681">
        <v>1</v>
      </c>
      <c r="G1681" t="s">
        <v>73</v>
      </c>
      <c r="H1681" t="s">
        <v>110</v>
      </c>
      <c r="I1681">
        <v>13</v>
      </c>
      <c r="J1681" s="19">
        <f>WEEKNUM(tblRidershipData[[#This Row],[MeasurementDate]])</f>
        <v>46</v>
      </c>
      <c r="K1681" s="19">
        <f>MONTH(tblRidershipData[[#This Row],[MeasurementDate]])</f>
        <v>11</v>
      </c>
    </row>
    <row r="1682" spans="1:11" x14ac:dyDescent="0.25">
      <c r="A1682" s="31">
        <v>43780</v>
      </c>
      <c r="B1682" t="s">
        <v>2</v>
      </c>
      <c r="C1682" s="31">
        <v>7307</v>
      </c>
      <c r="D1682" t="s">
        <v>82</v>
      </c>
      <c r="E1682" t="s">
        <v>111</v>
      </c>
      <c r="F1682">
        <v>1</v>
      </c>
      <c r="G1682" t="s">
        <v>74</v>
      </c>
      <c r="H1682" t="s">
        <v>110</v>
      </c>
      <c r="I1682">
        <v>5</v>
      </c>
      <c r="J1682" s="19">
        <f>WEEKNUM(tblRidershipData[[#This Row],[MeasurementDate]])</f>
        <v>46</v>
      </c>
      <c r="K1682" s="19">
        <f>MONTH(tblRidershipData[[#This Row],[MeasurementDate]])</f>
        <v>11</v>
      </c>
    </row>
    <row r="1683" spans="1:11" x14ac:dyDescent="0.25">
      <c r="A1683" s="31">
        <v>43780</v>
      </c>
      <c r="B1683" t="s">
        <v>2</v>
      </c>
      <c r="C1683" s="31">
        <v>7307</v>
      </c>
      <c r="D1683" t="s">
        <v>82</v>
      </c>
      <c r="E1683" t="s">
        <v>109</v>
      </c>
      <c r="F1683">
        <v>1</v>
      </c>
      <c r="G1683" t="s">
        <v>43</v>
      </c>
      <c r="H1683" t="s">
        <v>110</v>
      </c>
      <c r="I1683">
        <v>1</v>
      </c>
      <c r="J1683" s="19">
        <f>WEEKNUM(tblRidershipData[[#This Row],[MeasurementDate]])</f>
        <v>46</v>
      </c>
      <c r="K1683" s="19">
        <f>MONTH(tblRidershipData[[#This Row],[MeasurementDate]])</f>
        <v>11</v>
      </c>
    </row>
    <row r="1684" spans="1:11" x14ac:dyDescent="0.25">
      <c r="A1684" s="31">
        <v>43780</v>
      </c>
      <c r="B1684" t="s">
        <v>2</v>
      </c>
      <c r="C1684" s="31">
        <v>7307</v>
      </c>
      <c r="D1684" t="s">
        <v>82</v>
      </c>
      <c r="E1684" t="s">
        <v>109</v>
      </c>
      <c r="F1684">
        <v>1</v>
      </c>
      <c r="G1684" t="s">
        <v>44</v>
      </c>
      <c r="H1684" t="s">
        <v>110</v>
      </c>
      <c r="I1684">
        <v>1</v>
      </c>
      <c r="J1684" s="19">
        <f>WEEKNUM(tblRidershipData[[#This Row],[MeasurementDate]])</f>
        <v>46</v>
      </c>
      <c r="K1684" s="19">
        <f>MONTH(tblRidershipData[[#This Row],[MeasurementDate]])</f>
        <v>11</v>
      </c>
    </row>
    <row r="1685" spans="1:11" x14ac:dyDescent="0.25">
      <c r="A1685" s="31">
        <v>43780</v>
      </c>
      <c r="B1685" t="s">
        <v>2</v>
      </c>
      <c r="C1685" s="31">
        <v>7307</v>
      </c>
      <c r="D1685" t="s">
        <v>82</v>
      </c>
      <c r="E1685" t="s">
        <v>109</v>
      </c>
      <c r="F1685">
        <v>1</v>
      </c>
      <c r="G1685" t="s">
        <v>46</v>
      </c>
      <c r="H1685" t="s">
        <v>110</v>
      </c>
      <c r="I1685">
        <v>5</v>
      </c>
      <c r="J1685" s="19">
        <f>WEEKNUM(tblRidershipData[[#This Row],[MeasurementDate]])</f>
        <v>46</v>
      </c>
      <c r="K1685" s="19">
        <f>MONTH(tblRidershipData[[#This Row],[MeasurementDate]])</f>
        <v>11</v>
      </c>
    </row>
    <row r="1686" spans="1:11" x14ac:dyDescent="0.25">
      <c r="A1686" s="31">
        <v>43780</v>
      </c>
      <c r="B1686" t="s">
        <v>2</v>
      </c>
      <c r="C1686" s="31">
        <v>7307</v>
      </c>
      <c r="D1686" t="s">
        <v>82</v>
      </c>
      <c r="E1686" t="s">
        <v>109</v>
      </c>
      <c r="F1686">
        <v>1</v>
      </c>
      <c r="G1686" t="s">
        <v>52</v>
      </c>
      <c r="H1686" t="s">
        <v>110</v>
      </c>
      <c r="I1686">
        <v>2</v>
      </c>
      <c r="J1686" s="19">
        <f>WEEKNUM(tblRidershipData[[#This Row],[MeasurementDate]])</f>
        <v>46</v>
      </c>
      <c r="K1686" s="19">
        <f>MONTH(tblRidershipData[[#This Row],[MeasurementDate]])</f>
        <v>11</v>
      </c>
    </row>
    <row r="1687" spans="1:11" x14ac:dyDescent="0.25">
      <c r="A1687" s="31">
        <v>43780</v>
      </c>
      <c r="B1687" t="s">
        <v>2</v>
      </c>
      <c r="C1687" s="31">
        <v>7307</v>
      </c>
      <c r="D1687" t="s">
        <v>82</v>
      </c>
      <c r="E1687" t="s">
        <v>109</v>
      </c>
      <c r="F1687">
        <v>1</v>
      </c>
      <c r="G1687" t="s">
        <v>54</v>
      </c>
      <c r="H1687" t="s">
        <v>110</v>
      </c>
      <c r="I1687">
        <v>3</v>
      </c>
      <c r="J1687" s="19">
        <f>WEEKNUM(tblRidershipData[[#This Row],[MeasurementDate]])</f>
        <v>46</v>
      </c>
      <c r="K1687" s="19">
        <f>MONTH(tblRidershipData[[#This Row],[MeasurementDate]])</f>
        <v>11</v>
      </c>
    </row>
    <row r="1688" spans="1:11" x14ac:dyDescent="0.25">
      <c r="A1688" s="31">
        <v>43780</v>
      </c>
      <c r="B1688" t="s">
        <v>2</v>
      </c>
      <c r="C1688" s="31">
        <v>7307</v>
      </c>
      <c r="D1688" t="s">
        <v>82</v>
      </c>
      <c r="E1688" t="s">
        <v>109</v>
      </c>
      <c r="F1688">
        <v>1</v>
      </c>
      <c r="G1688" t="s">
        <v>55</v>
      </c>
      <c r="H1688" t="s">
        <v>110</v>
      </c>
      <c r="I1688">
        <v>5</v>
      </c>
      <c r="J1688" s="19">
        <f>WEEKNUM(tblRidershipData[[#This Row],[MeasurementDate]])</f>
        <v>46</v>
      </c>
      <c r="K1688" s="19">
        <f>MONTH(tblRidershipData[[#This Row],[MeasurementDate]])</f>
        <v>11</v>
      </c>
    </row>
    <row r="1689" spans="1:11" x14ac:dyDescent="0.25">
      <c r="A1689" s="31">
        <v>43780</v>
      </c>
      <c r="B1689" t="s">
        <v>2</v>
      </c>
      <c r="C1689" s="31">
        <v>7307</v>
      </c>
      <c r="D1689" t="s">
        <v>82</v>
      </c>
      <c r="E1689" t="s">
        <v>109</v>
      </c>
      <c r="F1689">
        <v>1</v>
      </c>
      <c r="G1689" t="s">
        <v>59</v>
      </c>
      <c r="H1689" t="s">
        <v>110</v>
      </c>
      <c r="I1689">
        <v>3</v>
      </c>
      <c r="J1689" s="19">
        <f>WEEKNUM(tblRidershipData[[#This Row],[MeasurementDate]])</f>
        <v>46</v>
      </c>
      <c r="K1689" s="19">
        <f>MONTH(tblRidershipData[[#This Row],[MeasurementDate]])</f>
        <v>11</v>
      </c>
    </row>
    <row r="1690" spans="1:11" x14ac:dyDescent="0.25">
      <c r="A1690" s="31">
        <v>43780</v>
      </c>
      <c r="B1690" t="s">
        <v>2</v>
      </c>
      <c r="C1690" s="31">
        <v>7307</v>
      </c>
      <c r="D1690" t="s">
        <v>82</v>
      </c>
      <c r="E1690" t="s">
        <v>109</v>
      </c>
      <c r="F1690">
        <v>1</v>
      </c>
      <c r="G1690" t="s">
        <v>60</v>
      </c>
      <c r="H1690" t="s">
        <v>110</v>
      </c>
      <c r="I1690">
        <v>7</v>
      </c>
      <c r="J1690" s="19">
        <f>WEEKNUM(tblRidershipData[[#This Row],[MeasurementDate]])</f>
        <v>46</v>
      </c>
      <c r="K1690" s="19">
        <f>MONTH(tblRidershipData[[#This Row],[MeasurementDate]])</f>
        <v>11</v>
      </c>
    </row>
    <row r="1691" spans="1:11" x14ac:dyDescent="0.25">
      <c r="A1691" s="31">
        <v>43780</v>
      </c>
      <c r="B1691" t="s">
        <v>2</v>
      </c>
      <c r="C1691" s="31">
        <v>7307</v>
      </c>
      <c r="D1691" t="s">
        <v>82</v>
      </c>
      <c r="E1691" t="s">
        <v>109</v>
      </c>
      <c r="F1691">
        <v>1</v>
      </c>
      <c r="G1691" t="s">
        <v>63</v>
      </c>
      <c r="H1691" t="s">
        <v>110</v>
      </c>
      <c r="I1691">
        <v>2</v>
      </c>
      <c r="J1691" s="19">
        <f>WEEKNUM(tblRidershipData[[#This Row],[MeasurementDate]])</f>
        <v>46</v>
      </c>
      <c r="K1691" s="19">
        <f>MONTH(tblRidershipData[[#This Row],[MeasurementDate]])</f>
        <v>11</v>
      </c>
    </row>
    <row r="1692" spans="1:11" x14ac:dyDescent="0.25">
      <c r="A1692" s="31">
        <v>43780</v>
      </c>
      <c r="B1692" t="s">
        <v>2</v>
      </c>
      <c r="C1692" s="31">
        <v>7307</v>
      </c>
      <c r="D1692" t="s">
        <v>82</v>
      </c>
      <c r="E1692" t="s">
        <v>109</v>
      </c>
      <c r="F1692">
        <v>1</v>
      </c>
      <c r="G1692" t="s">
        <v>64</v>
      </c>
      <c r="H1692" t="s">
        <v>110</v>
      </c>
      <c r="I1692">
        <v>4</v>
      </c>
      <c r="J1692" s="19">
        <f>WEEKNUM(tblRidershipData[[#This Row],[MeasurementDate]])</f>
        <v>46</v>
      </c>
      <c r="K1692" s="19">
        <f>MONTH(tblRidershipData[[#This Row],[MeasurementDate]])</f>
        <v>11</v>
      </c>
    </row>
    <row r="1693" spans="1:11" x14ac:dyDescent="0.25">
      <c r="A1693" s="31">
        <v>43780</v>
      </c>
      <c r="B1693" t="s">
        <v>2</v>
      </c>
      <c r="C1693" s="31">
        <v>7307</v>
      </c>
      <c r="D1693" t="s">
        <v>82</v>
      </c>
      <c r="E1693" t="s">
        <v>109</v>
      </c>
      <c r="F1693">
        <v>1</v>
      </c>
      <c r="G1693" t="s">
        <v>66</v>
      </c>
      <c r="H1693" t="s">
        <v>110</v>
      </c>
      <c r="I1693">
        <v>13</v>
      </c>
      <c r="J1693" s="19">
        <f>WEEKNUM(tblRidershipData[[#This Row],[MeasurementDate]])</f>
        <v>46</v>
      </c>
      <c r="K1693" s="19">
        <f>MONTH(tblRidershipData[[#This Row],[MeasurementDate]])</f>
        <v>11</v>
      </c>
    </row>
    <row r="1694" spans="1:11" x14ac:dyDescent="0.25">
      <c r="A1694" s="31">
        <v>43780</v>
      </c>
      <c r="B1694" t="s">
        <v>2</v>
      </c>
      <c r="C1694" s="31">
        <v>7307</v>
      </c>
      <c r="D1694" t="s">
        <v>82</v>
      </c>
      <c r="E1694" t="s">
        <v>109</v>
      </c>
      <c r="F1694">
        <v>1</v>
      </c>
      <c r="G1694" t="s">
        <v>69</v>
      </c>
      <c r="H1694" t="s">
        <v>110</v>
      </c>
      <c r="I1694">
        <v>8</v>
      </c>
      <c r="J1694" s="19">
        <f>WEEKNUM(tblRidershipData[[#This Row],[MeasurementDate]])</f>
        <v>46</v>
      </c>
      <c r="K1694" s="19">
        <f>MONTH(tblRidershipData[[#This Row],[MeasurementDate]])</f>
        <v>11</v>
      </c>
    </row>
    <row r="1695" spans="1:11" x14ac:dyDescent="0.25">
      <c r="A1695" s="31">
        <v>43780</v>
      </c>
      <c r="B1695" t="s">
        <v>2</v>
      </c>
      <c r="C1695" s="31">
        <v>7307</v>
      </c>
      <c r="D1695" t="s">
        <v>82</v>
      </c>
      <c r="E1695" t="s">
        <v>109</v>
      </c>
      <c r="F1695">
        <v>1</v>
      </c>
      <c r="G1695" t="s">
        <v>70</v>
      </c>
      <c r="H1695" t="s">
        <v>110</v>
      </c>
      <c r="I1695">
        <v>7</v>
      </c>
      <c r="J1695" s="19">
        <f>WEEKNUM(tblRidershipData[[#This Row],[MeasurementDate]])</f>
        <v>46</v>
      </c>
      <c r="K1695" s="19">
        <f>MONTH(tblRidershipData[[#This Row],[MeasurementDate]])</f>
        <v>11</v>
      </c>
    </row>
    <row r="1696" spans="1:11" x14ac:dyDescent="0.25">
      <c r="A1696" s="31">
        <v>43780</v>
      </c>
      <c r="B1696" t="s">
        <v>2</v>
      </c>
      <c r="C1696" s="31">
        <v>7307</v>
      </c>
      <c r="D1696" t="s">
        <v>82</v>
      </c>
      <c r="E1696" t="s">
        <v>109</v>
      </c>
      <c r="F1696">
        <v>1</v>
      </c>
      <c r="G1696" t="s">
        <v>71</v>
      </c>
      <c r="H1696" t="s">
        <v>110</v>
      </c>
      <c r="I1696">
        <v>11</v>
      </c>
      <c r="J1696" s="19">
        <f>WEEKNUM(tblRidershipData[[#This Row],[MeasurementDate]])</f>
        <v>46</v>
      </c>
      <c r="K1696" s="19">
        <f>MONTH(tblRidershipData[[#This Row],[MeasurementDate]])</f>
        <v>11</v>
      </c>
    </row>
    <row r="1697" spans="1:11" x14ac:dyDescent="0.25">
      <c r="A1697" s="31">
        <v>43780</v>
      </c>
      <c r="B1697" t="s">
        <v>2</v>
      </c>
      <c r="C1697" s="31">
        <v>7307</v>
      </c>
      <c r="D1697" t="s">
        <v>82</v>
      </c>
      <c r="E1697" t="s">
        <v>109</v>
      </c>
      <c r="F1697">
        <v>1</v>
      </c>
      <c r="G1697" t="s">
        <v>76</v>
      </c>
      <c r="H1697" t="s">
        <v>110</v>
      </c>
      <c r="I1697">
        <v>1</v>
      </c>
      <c r="J1697" s="19">
        <f>WEEKNUM(tblRidershipData[[#This Row],[MeasurementDate]])</f>
        <v>46</v>
      </c>
      <c r="K1697" s="19">
        <f>MONTH(tblRidershipData[[#This Row],[MeasurementDate]])</f>
        <v>11</v>
      </c>
    </row>
    <row r="1698" spans="1:11" x14ac:dyDescent="0.25">
      <c r="A1698" s="31">
        <v>43780</v>
      </c>
      <c r="B1698" t="s">
        <v>2</v>
      </c>
      <c r="C1698" s="31">
        <v>7307</v>
      </c>
      <c r="D1698" t="s">
        <v>82</v>
      </c>
      <c r="E1698" t="s">
        <v>109</v>
      </c>
      <c r="F1698">
        <v>2</v>
      </c>
      <c r="G1698" t="s">
        <v>46</v>
      </c>
      <c r="H1698" t="s">
        <v>110</v>
      </c>
      <c r="I1698">
        <v>1</v>
      </c>
      <c r="J1698" s="19">
        <f>WEEKNUM(tblRidershipData[[#This Row],[MeasurementDate]])</f>
        <v>46</v>
      </c>
      <c r="K1698" s="19">
        <f>MONTH(tblRidershipData[[#This Row],[MeasurementDate]])</f>
        <v>11</v>
      </c>
    </row>
    <row r="1699" spans="1:11" x14ac:dyDescent="0.25">
      <c r="A1699" s="31">
        <v>43780</v>
      </c>
      <c r="B1699" t="s">
        <v>2</v>
      </c>
      <c r="C1699" s="31">
        <v>7307</v>
      </c>
      <c r="D1699" t="s">
        <v>82</v>
      </c>
      <c r="E1699" t="s">
        <v>111</v>
      </c>
      <c r="F1699">
        <v>1</v>
      </c>
      <c r="G1699" t="s">
        <v>43</v>
      </c>
      <c r="H1699" t="s">
        <v>112</v>
      </c>
      <c r="I1699">
        <v>10</v>
      </c>
      <c r="J1699" s="19">
        <f>WEEKNUM(tblRidershipData[[#This Row],[MeasurementDate]])</f>
        <v>46</v>
      </c>
      <c r="K1699" s="19">
        <f>MONTH(tblRidershipData[[#This Row],[MeasurementDate]])</f>
        <v>11</v>
      </c>
    </row>
    <row r="1700" spans="1:11" x14ac:dyDescent="0.25">
      <c r="A1700" s="31">
        <v>43780</v>
      </c>
      <c r="B1700" t="s">
        <v>2</v>
      </c>
      <c r="C1700" s="31">
        <v>7307</v>
      </c>
      <c r="D1700" t="s">
        <v>82</v>
      </c>
      <c r="E1700" t="s">
        <v>111</v>
      </c>
      <c r="F1700">
        <v>1</v>
      </c>
      <c r="G1700" t="s">
        <v>46</v>
      </c>
      <c r="H1700" t="s">
        <v>112</v>
      </c>
      <c r="I1700">
        <v>17</v>
      </c>
      <c r="J1700" s="19">
        <f>WEEKNUM(tblRidershipData[[#This Row],[MeasurementDate]])</f>
        <v>46</v>
      </c>
      <c r="K1700" s="19">
        <f>MONTH(tblRidershipData[[#This Row],[MeasurementDate]])</f>
        <v>11</v>
      </c>
    </row>
    <row r="1701" spans="1:11" x14ac:dyDescent="0.25">
      <c r="A1701" s="31">
        <v>43780</v>
      </c>
      <c r="B1701" t="s">
        <v>2</v>
      </c>
      <c r="C1701" s="31">
        <v>7307</v>
      </c>
      <c r="D1701" t="s">
        <v>82</v>
      </c>
      <c r="E1701" t="s">
        <v>111</v>
      </c>
      <c r="F1701">
        <v>1</v>
      </c>
      <c r="G1701" t="s">
        <v>55</v>
      </c>
      <c r="H1701" t="s">
        <v>112</v>
      </c>
      <c r="I1701">
        <v>2</v>
      </c>
      <c r="J1701" s="19">
        <f>WEEKNUM(tblRidershipData[[#This Row],[MeasurementDate]])</f>
        <v>46</v>
      </c>
      <c r="K1701" s="19">
        <f>MONTH(tblRidershipData[[#This Row],[MeasurementDate]])</f>
        <v>11</v>
      </c>
    </row>
    <row r="1702" spans="1:11" x14ac:dyDescent="0.25">
      <c r="A1702" s="31">
        <v>43780</v>
      </c>
      <c r="B1702" t="s">
        <v>2</v>
      </c>
      <c r="C1702" s="31">
        <v>7307</v>
      </c>
      <c r="D1702" t="s">
        <v>82</v>
      </c>
      <c r="E1702" t="s">
        <v>111</v>
      </c>
      <c r="F1702">
        <v>1</v>
      </c>
      <c r="G1702" t="s">
        <v>59</v>
      </c>
      <c r="H1702" t="s">
        <v>112</v>
      </c>
      <c r="I1702">
        <v>4</v>
      </c>
      <c r="J1702" s="19">
        <f>WEEKNUM(tblRidershipData[[#This Row],[MeasurementDate]])</f>
        <v>46</v>
      </c>
      <c r="K1702" s="19">
        <f>MONTH(tblRidershipData[[#This Row],[MeasurementDate]])</f>
        <v>11</v>
      </c>
    </row>
    <row r="1703" spans="1:11" x14ac:dyDescent="0.25">
      <c r="A1703" s="31">
        <v>43780</v>
      </c>
      <c r="B1703" t="s">
        <v>2</v>
      </c>
      <c r="C1703" s="31">
        <v>7307</v>
      </c>
      <c r="D1703" t="s">
        <v>82</v>
      </c>
      <c r="E1703" t="s">
        <v>111</v>
      </c>
      <c r="F1703">
        <v>1</v>
      </c>
      <c r="G1703" t="s">
        <v>60</v>
      </c>
      <c r="H1703" t="s">
        <v>112</v>
      </c>
      <c r="I1703">
        <v>1</v>
      </c>
      <c r="J1703" s="19">
        <f>WEEKNUM(tblRidershipData[[#This Row],[MeasurementDate]])</f>
        <v>46</v>
      </c>
      <c r="K1703" s="19">
        <f>MONTH(tblRidershipData[[#This Row],[MeasurementDate]])</f>
        <v>11</v>
      </c>
    </row>
    <row r="1704" spans="1:11" x14ac:dyDescent="0.25">
      <c r="A1704" s="31">
        <v>43780</v>
      </c>
      <c r="B1704" t="s">
        <v>2</v>
      </c>
      <c r="C1704" s="31">
        <v>7307</v>
      </c>
      <c r="D1704" t="s">
        <v>82</v>
      </c>
      <c r="E1704" t="s">
        <v>111</v>
      </c>
      <c r="F1704">
        <v>1</v>
      </c>
      <c r="G1704" t="s">
        <v>64</v>
      </c>
      <c r="H1704" t="s">
        <v>112</v>
      </c>
      <c r="I1704">
        <v>2</v>
      </c>
      <c r="J1704" s="19">
        <f>WEEKNUM(tblRidershipData[[#This Row],[MeasurementDate]])</f>
        <v>46</v>
      </c>
      <c r="K1704" s="19">
        <f>MONTH(tblRidershipData[[#This Row],[MeasurementDate]])</f>
        <v>11</v>
      </c>
    </row>
    <row r="1705" spans="1:11" x14ac:dyDescent="0.25">
      <c r="A1705" s="31">
        <v>43780</v>
      </c>
      <c r="B1705" t="s">
        <v>2</v>
      </c>
      <c r="C1705" s="31">
        <v>7307</v>
      </c>
      <c r="D1705" t="s">
        <v>82</v>
      </c>
      <c r="E1705" t="s">
        <v>111</v>
      </c>
      <c r="F1705">
        <v>1</v>
      </c>
      <c r="G1705" t="s">
        <v>66</v>
      </c>
      <c r="H1705" t="s">
        <v>112</v>
      </c>
      <c r="I1705">
        <v>11</v>
      </c>
      <c r="J1705" s="19">
        <f>WEEKNUM(tblRidershipData[[#This Row],[MeasurementDate]])</f>
        <v>46</v>
      </c>
      <c r="K1705" s="19">
        <f>MONTH(tblRidershipData[[#This Row],[MeasurementDate]])</f>
        <v>11</v>
      </c>
    </row>
    <row r="1706" spans="1:11" x14ac:dyDescent="0.25">
      <c r="A1706" s="31">
        <v>43780</v>
      </c>
      <c r="B1706" t="s">
        <v>2</v>
      </c>
      <c r="C1706" s="31">
        <v>7307</v>
      </c>
      <c r="D1706" t="s">
        <v>82</v>
      </c>
      <c r="E1706" t="s">
        <v>111</v>
      </c>
      <c r="F1706">
        <v>1</v>
      </c>
      <c r="G1706" t="s">
        <v>69</v>
      </c>
      <c r="H1706" t="s">
        <v>112</v>
      </c>
      <c r="I1706">
        <v>5</v>
      </c>
      <c r="J1706" s="19">
        <f>WEEKNUM(tblRidershipData[[#This Row],[MeasurementDate]])</f>
        <v>46</v>
      </c>
      <c r="K1706" s="19">
        <f>MONTH(tblRidershipData[[#This Row],[MeasurementDate]])</f>
        <v>11</v>
      </c>
    </row>
    <row r="1707" spans="1:11" x14ac:dyDescent="0.25">
      <c r="A1707" s="31">
        <v>43780</v>
      </c>
      <c r="B1707" t="s">
        <v>2</v>
      </c>
      <c r="C1707" s="31">
        <v>7307</v>
      </c>
      <c r="D1707" t="s">
        <v>82</v>
      </c>
      <c r="E1707" t="s">
        <v>111</v>
      </c>
      <c r="F1707">
        <v>1</v>
      </c>
      <c r="G1707" t="s">
        <v>72</v>
      </c>
      <c r="H1707" t="s">
        <v>112</v>
      </c>
      <c r="I1707">
        <v>5</v>
      </c>
      <c r="J1707" s="19">
        <f>WEEKNUM(tblRidershipData[[#This Row],[MeasurementDate]])</f>
        <v>46</v>
      </c>
      <c r="K1707" s="19">
        <f>MONTH(tblRidershipData[[#This Row],[MeasurementDate]])</f>
        <v>11</v>
      </c>
    </row>
    <row r="1708" spans="1:11" x14ac:dyDescent="0.25">
      <c r="A1708" s="31">
        <v>43780</v>
      </c>
      <c r="B1708" t="s">
        <v>2</v>
      </c>
      <c r="C1708" s="31">
        <v>7307</v>
      </c>
      <c r="D1708" t="s">
        <v>82</v>
      </c>
      <c r="E1708" t="s">
        <v>111</v>
      </c>
      <c r="F1708">
        <v>1</v>
      </c>
      <c r="G1708" t="s">
        <v>76</v>
      </c>
      <c r="H1708" t="s">
        <v>112</v>
      </c>
      <c r="I1708">
        <v>7</v>
      </c>
      <c r="J1708" s="19">
        <f>WEEKNUM(tblRidershipData[[#This Row],[MeasurementDate]])</f>
        <v>46</v>
      </c>
      <c r="K1708" s="19">
        <f>MONTH(tblRidershipData[[#This Row],[MeasurementDate]])</f>
        <v>11</v>
      </c>
    </row>
    <row r="1709" spans="1:11" x14ac:dyDescent="0.25">
      <c r="A1709" s="31">
        <v>43780</v>
      </c>
      <c r="B1709" t="s">
        <v>2</v>
      </c>
      <c r="C1709" s="31">
        <v>7307</v>
      </c>
      <c r="D1709" t="s">
        <v>82</v>
      </c>
      <c r="E1709" t="s">
        <v>109</v>
      </c>
      <c r="F1709">
        <v>1</v>
      </c>
      <c r="G1709" t="s">
        <v>53</v>
      </c>
      <c r="H1709" t="s">
        <v>112</v>
      </c>
      <c r="I1709">
        <v>15</v>
      </c>
      <c r="J1709" s="19">
        <f>WEEKNUM(tblRidershipData[[#This Row],[MeasurementDate]])</f>
        <v>46</v>
      </c>
      <c r="K1709" s="19">
        <f>MONTH(tblRidershipData[[#This Row],[MeasurementDate]])</f>
        <v>11</v>
      </c>
    </row>
    <row r="1710" spans="1:11" x14ac:dyDescent="0.25">
      <c r="A1710" s="31">
        <v>43780</v>
      </c>
      <c r="B1710" t="s">
        <v>2</v>
      </c>
      <c r="C1710" s="31">
        <v>7307</v>
      </c>
      <c r="D1710" t="s">
        <v>82</v>
      </c>
      <c r="E1710" t="s">
        <v>109</v>
      </c>
      <c r="F1710">
        <v>1</v>
      </c>
      <c r="G1710" t="s">
        <v>59</v>
      </c>
      <c r="H1710" t="s">
        <v>112</v>
      </c>
      <c r="I1710">
        <v>20</v>
      </c>
      <c r="J1710" s="19">
        <f>WEEKNUM(tblRidershipData[[#This Row],[MeasurementDate]])</f>
        <v>46</v>
      </c>
      <c r="K1710" s="19">
        <f>MONTH(tblRidershipData[[#This Row],[MeasurementDate]])</f>
        <v>11</v>
      </c>
    </row>
    <row r="1711" spans="1:11" x14ac:dyDescent="0.25">
      <c r="A1711" s="31">
        <v>43780</v>
      </c>
      <c r="B1711" t="s">
        <v>2</v>
      </c>
      <c r="C1711" s="31">
        <v>7307</v>
      </c>
      <c r="D1711" t="s">
        <v>82</v>
      </c>
      <c r="E1711" t="s">
        <v>109</v>
      </c>
      <c r="F1711">
        <v>1</v>
      </c>
      <c r="G1711" t="s">
        <v>64</v>
      </c>
      <c r="H1711" t="s">
        <v>112</v>
      </c>
      <c r="I1711">
        <v>9</v>
      </c>
      <c r="J1711" s="19">
        <f>WEEKNUM(tblRidershipData[[#This Row],[MeasurementDate]])</f>
        <v>46</v>
      </c>
      <c r="K1711" s="19">
        <f>MONTH(tblRidershipData[[#This Row],[MeasurementDate]])</f>
        <v>11</v>
      </c>
    </row>
    <row r="1712" spans="1:11" x14ac:dyDescent="0.25">
      <c r="A1712" s="31">
        <v>43780</v>
      </c>
      <c r="B1712" t="s">
        <v>2</v>
      </c>
      <c r="C1712" s="31">
        <v>7307</v>
      </c>
      <c r="D1712" t="s">
        <v>82</v>
      </c>
      <c r="E1712" t="s">
        <v>109</v>
      </c>
      <c r="F1712">
        <v>1</v>
      </c>
      <c r="G1712" t="s">
        <v>67</v>
      </c>
      <c r="H1712" t="s">
        <v>112</v>
      </c>
      <c r="I1712">
        <v>22</v>
      </c>
      <c r="J1712" s="19">
        <f>WEEKNUM(tblRidershipData[[#This Row],[MeasurementDate]])</f>
        <v>46</v>
      </c>
      <c r="K1712" s="19">
        <f>MONTH(tblRidershipData[[#This Row],[MeasurementDate]])</f>
        <v>11</v>
      </c>
    </row>
    <row r="1713" spans="1:11" x14ac:dyDescent="0.25">
      <c r="A1713" s="31">
        <v>43780</v>
      </c>
      <c r="B1713" t="s">
        <v>2</v>
      </c>
      <c r="C1713" s="31">
        <v>7307</v>
      </c>
      <c r="D1713" t="s">
        <v>82</v>
      </c>
      <c r="E1713" t="s">
        <v>109</v>
      </c>
      <c r="F1713">
        <v>1</v>
      </c>
      <c r="G1713" t="s">
        <v>68</v>
      </c>
      <c r="H1713" t="s">
        <v>112</v>
      </c>
      <c r="I1713">
        <v>14</v>
      </c>
      <c r="J1713" s="19">
        <f>WEEKNUM(tblRidershipData[[#This Row],[MeasurementDate]])</f>
        <v>46</v>
      </c>
      <c r="K1713" s="19">
        <f>MONTH(tblRidershipData[[#This Row],[MeasurementDate]])</f>
        <v>11</v>
      </c>
    </row>
    <row r="1714" spans="1:11" x14ac:dyDescent="0.25">
      <c r="A1714" s="31">
        <v>43780</v>
      </c>
      <c r="B1714" t="s">
        <v>2</v>
      </c>
      <c r="C1714" s="31">
        <v>7307</v>
      </c>
      <c r="D1714" t="s">
        <v>82</v>
      </c>
      <c r="E1714" t="s">
        <v>109</v>
      </c>
      <c r="F1714">
        <v>1</v>
      </c>
      <c r="G1714" t="s">
        <v>70</v>
      </c>
      <c r="H1714" t="s">
        <v>112</v>
      </c>
      <c r="I1714">
        <v>5</v>
      </c>
      <c r="J1714" s="19">
        <f>WEEKNUM(tblRidershipData[[#This Row],[MeasurementDate]])</f>
        <v>46</v>
      </c>
      <c r="K1714" s="19">
        <f>MONTH(tblRidershipData[[#This Row],[MeasurementDate]])</f>
        <v>11</v>
      </c>
    </row>
    <row r="1715" spans="1:11" x14ac:dyDescent="0.25">
      <c r="A1715" s="31">
        <v>43780</v>
      </c>
      <c r="B1715" t="s">
        <v>2</v>
      </c>
      <c r="C1715" s="31">
        <v>8312</v>
      </c>
      <c r="D1715" t="s">
        <v>83</v>
      </c>
      <c r="E1715" t="s">
        <v>111</v>
      </c>
      <c r="F1715">
        <v>1</v>
      </c>
      <c r="G1715" t="s">
        <v>42</v>
      </c>
      <c r="H1715" t="s">
        <v>112</v>
      </c>
      <c r="I1715">
        <v>3</v>
      </c>
      <c r="J1715" s="19">
        <f>WEEKNUM(tblRidershipData[[#This Row],[MeasurementDate]])</f>
        <v>46</v>
      </c>
      <c r="K1715" s="19">
        <f>MONTH(tblRidershipData[[#This Row],[MeasurementDate]])</f>
        <v>11</v>
      </c>
    </row>
    <row r="1716" spans="1:11" x14ac:dyDescent="0.25">
      <c r="A1716" s="31">
        <v>43780</v>
      </c>
      <c r="B1716" t="s">
        <v>2</v>
      </c>
      <c r="C1716" s="31">
        <v>8312</v>
      </c>
      <c r="D1716" t="s">
        <v>83</v>
      </c>
      <c r="E1716" t="s">
        <v>111</v>
      </c>
      <c r="F1716">
        <v>1</v>
      </c>
      <c r="G1716" t="s">
        <v>57</v>
      </c>
      <c r="H1716" t="s">
        <v>112</v>
      </c>
      <c r="I1716">
        <v>14</v>
      </c>
      <c r="J1716" s="19">
        <f>WEEKNUM(tblRidershipData[[#This Row],[MeasurementDate]])</f>
        <v>46</v>
      </c>
      <c r="K1716" s="19">
        <f>MONTH(tblRidershipData[[#This Row],[MeasurementDate]])</f>
        <v>11</v>
      </c>
    </row>
    <row r="1717" spans="1:11" x14ac:dyDescent="0.25">
      <c r="A1717" s="31">
        <v>43780</v>
      </c>
      <c r="B1717" t="s">
        <v>2</v>
      </c>
      <c r="C1717" s="31">
        <v>8312</v>
      </c>
      <c r="D1717" t="s">
        <v>83</v>
      </c>
      <c r="E1717" t="s">
        <v>111</v>
      </c>
      <c r="F1717">
        <v>1</v>
      </c>
      <c r="G1717" t="s">
        <v>66</v>
      </c>
      <c r="H1717" t="s">
        <v>112</v>
      </c>
      <c r="I1717">
        <v>3</v>
      </c>
      <c r="J1717" s="19">
        <f>WEEKNUM(tblRidershipData[[#This Row],[MeasurementDate]])</f>
        <v>46</v>
      </c>
      <c r="K1717" s="19">
        <f>MONTH(tblRidershipData[[#This Row],[MeasurementDate]])</f>
        <v>11</v>
      </c>
    </row>
    <row r="1718" spans="1:11" x14ac:dyDescent="0.25">
      <c r="A1718" s="31">
        <v>43780</v>
      </c>
      <c r="B1718" t="s">
        <v>2</v>
      </c>
      <c r="C1718" s="31">
        <v>8312</v>
      </c>
      <c r="D1718" t="s">
        <v>83</v>
      </c>
      <c r="E1718" t="s">
        <v>111</v>
      </c>
      <c r="F1718">
        <v>1</v>
      </c>
      <c r="G1718" t="s">
        <v>69</v>
      </c>
      <c r="H1718" t="s">
        <v>112</v>
      </c>
      <c r="I1718">
        <v>8</v>
      </c>
      <c r="J1718" s="19">
        <f>WEEKNUM(tblRidershipData[[#This Row],[MeasurementDate]])</f>
        <v>46</v>
      </c>
      <c r="K1718" s="19">
        <f>MONTH(tblRidershipData[[#This Row],[MeasurementDate]])</f>
        <v>11</v>
      </c>
    </row>
    <row r="1719" spans="1:11" x14ac:dyDescent="0.25">
      <c r="A1719" s="31">
        <v>43780</v>
      </c>
      <c r="B1719" t="s">
        <v>2</v>
      </c>
      <c r="C1719" s="31">
        <v>8312</v>
      </c>
      <c r="D1719" t="s">
        <v>83</v>
      </c>
      <c r="E1719" t="s">
        <v>111</v>
      </c>
      <c r="F1719">
        <v>2</v>
      </c>
      <c r="G1719" t="s">
        <v>44</v>
      </c>
      <c r="H1719" t="s">
        <v>112</v>
      </c>
      <c r="I1719">
        <v>9</v>
      </c>
      <c r="J1719" s="19">
        <f>WEEKNUM(tblRidershipData[[#This Row],[MeasurementDate]])</f>
        <v>46</v>
      </c>
      <c r="K1719" s="19">
        <f>MONTH(tblRidershipData[[#This Row],[MeasurementDate]])</f>
        <v>11</v>
      </c>
    </row>
    <row r="1720" spans="1:11" x14ac:dyDescent="0.25">
      <c r="A1720" s="31">
        <v>43780</v>
      </c>
      <c r="B1720" t="s">
        <v>2</v>
      </c>
      <c r="C1720" s="31">
        <v>8312</v>
      </c>
      <c r="D1720" t="s">
        <v>83</v>
      </c>
      <c r="E1720" t="s">
        <v>109</v>
      </c>
      <c r="F1720">
        <v>1</v>
      </c>
      <c r="G1720" t="s">
        <v>43</v>
      </c>
      <c r="H1720" t="s">
        <v>112</v>
      </c>
      <c r="I1720">
        <v>2</v>
      </c>
      <c r="J1720" s="19">
        <f>WEEKNUM(tblRidershipData[[#This Row],[MeasurementDate]])</f>
        <v>46</v>
      </c>
      <c r="K1720" s="19">
        <f>MONTH(tblRidershipData[[#This Row],[MeasurementDate]])</f>
        <v>11</v>
      </c>
    </row>
    <row r="1721" spans="1:11" x14ac:dyDescent="0.25">
      <c r="A1721" s="31">
        <v>43780</v>
      </c>
      <c r="B1721" t="s">
        <v>2</v>
      </c>
      <c r="C1721" s="31">
        <v>8312</v>
      </c>
      <c r="D1721" t="s">
        <v>83</v>
      </c>
      <c r="E1721" t="s">
        <v>109</v>
      </c>
      <c r="F1721">
        <v>1</v>
      </c>
      <c r="G1721" t="s">
        <v>44</v>
      </c>
      <c r="H1721" t="s">
        <v>112</v>
      </c>
      <c r="I1721">
        <v>7</v>
      </c>
      <c r="J1721" s="19">
        <f>WEEKNUM(tblRidershipData[[#This Row],[MeasurementDate]])</f>
        <v>46</v>
      </c>
      <c r="K1721" s="19">
        <f>MONTH(tblRidershipData[[#This Row],[MeasurementDate]])</f>
        <v>11</v>
      </c>
    </row>
    <row r="1722" spans="1:11" x14ac:dyDescent="0.25">
      <c r="A1722" s="31">
        <v>43780</v>
      </c>
      <c r="B1722" t="s">
        <v>2</v>
      </c>
      <c r="C1722" s="31">
        <v>8312</v>
      </c>
      <c r="D1722" t="s">
        <v>83</v>
      </c>
      <c r="E1722" t="s">
        <v>109</v>
      </c>
      <c r="F1722">
        <v>1</v>
      </c>
      <c r="G1722" t="s">
        <v>46</v>
      </c>
      <c r="H1722" t="s">
        <v>112</v>
      </c>
      <c r="I1722">
        <v>7</v>
      </c>
      <c r="J1722" s="19">
        <f>WEEKNUM(tblRidershipData[[#This Row],[MeasurementDate]])</f>
        <v>46</v>
      </c>
      <c r="K1722" s="19">
        <f>MONTH(tblRidershipData[[#This Row],[MeasurementDate]])</f>
        <v>11</v>
      </c>
    </row>
    <row r="1723" spans="1:11" x14ac:dyDescent="0.25">
      <c r="A1723" s="31">
        <v>43780</v>
      </c>
      <c r="B1723" t="s">
        <v>2</v>
      </c>
      <c r="C1723" s="31">
        <v>8312</v>
      </c>
      <c r="D1723" t="s">
        <v>83</v>
      </c>
      <c r="E1723" t="s">
        <v>109</v>
      </c>
      <c r="F1723">
        <v>1</v>
      </c>
      <c r="G1723" t="s">
        <v>55</v>
      </c>
      <c r="H1723" t="s">
        <v>112</v>
      </c>
      <c r="I1723">
        <v>2</v>
      </c>
      <c r="J1723" s="19">
        <f>WEEKNUM(tblRidershipData[[#This Row],[MeasurementDate]])</f>
        <v>46</v>
      </c>
      <c r="K1723" s="19">
        <f>MONTH(tblRidershipData[[#This Row],[MeasurementDate]])</f>
        <v>11</v>
      </c>
    </row>
    <row r="1724" spans="1:11" x14ac:dyDescent="0.25">
      <c r="A1724" s="31">
        <v>43780</v>
      </c>
      <c r="B1724" t="s">
        <v>2</v>
      </c>
      <c r="C1724" s="31">
        <v>8312</v>
      </c>
      <c r="D1724" t="s">
        <v>83</v>
      </c>
      <c r="E1724" t="s">
        <v>109</v>
      </c>
      <c r="F1724">
        <v>1</v>
      </c>
      <c r="G1724" t="s">
        <v>59</v>
      </c>
      <c r="H1724" t="s">
        <v>112</v>
      </c>
      <c r="I1724">
        <v>2</v>
      </c>
      <c r="J1724" s="19">
        <f>WEEKNUM(tblRidershipData[[#This Row],[MeasurementDate]])</f>
        <v>46</v>
      </c>
      <c r="K1724" s="19">
        <f>MONTH(tblRidershipData[[#This Row],[MeasurementDate]])</f>
        <v>11</v>
      </c>
    </row>
    <row r="1725" spans="1:11" x14ac:dyDescent="0.25">
      <c r="A1725" s="31">
        <v>43780</v>
      </c>
      <c r="B1725" t="s">
        <v>2</v>
      </c>
      <c r="C1725" s="31">
        <v>8312</v>
      </c>
      <c r="D1725" t="s">
        <v>83</v>
      </c>
      <c r="E1725" t="s">
        <v>109</v>
      </c>
      <c r="F1725">
        <v>1</v>
      </c>
      <c r="G1725" t="s">
        <v>60</v>
      </c>
      <c r="H1725" t="s">
        <v>112</v>
      </c>
      <c r="I1725">
        <v>13</v>
      </c>
      <c r="J1725" s="19">
        <f>WEEKNUM(tblRidershipData[[#This Row],[MeasurementDate]])</f>
        <v>46</v>
      </c>
      <c r="K1725" s="19">
        <f>MONTH(tblRidershipData[[#This Row],[MeasurementDate]])</f>
        <v>11</v>
      </c>
    </row>
    <row r="1726" spans="1:11" x14ac:dyDescent="0.25">
      <c r="A1726" s="31">
        <v>43780</v>
      </c>
      <c r="B1726" t="s">
        <v>2</v>
      </c>
      <c r="C1726" s="31">
        <v>8312</v>
      </c>
      <c r="D1726" t="s">
        <v>83</v>
      </c>
      <c r="E1726" t="s">
        <v>109</v>
      </c>
      <c r="F1726">
        <v>1</v>
      </c>
      <c r="G1726" t="s">
        <v>66</v>
      </c>
      <c r="H1726" t="s">
        <v>112</v>
      </c>
      <c r="I1726">
        <v>4</v>
      </c>
      <c r="J1726" s="19">
        <f>WEEKNUM(tblRidershipData[[#This Row],[MeasurementDate]])</f>
        <v>46</v>
      </c>
      <c r="K1726" s="19">
        <f>MONTH(tblRidershipData[[#This Row],[MeasurementDate]])</f>
        <v>11</v>
      </c>
    </row>
    <row r="1727" spans="1:11" x14ac:dyDescent="0.25">
      <c r="A1727" s="31">
        <v>43780</v>
      </c>
      <c r="B1727" t="s">
        <v>2</v>
      </c>
      <c r="C1727" s="31">
        <v>8312</v>
      </c>
      <c r="D1727" t="s">
        <v>83</v>
      </c>
      <c r="E1727" t="s">
        <v>109</v>
      </c>
      <c r="F1727">
        <v>1</v>
      </c>
      <c r="G1727" t="s">
        <v>69</v>
      </c>
      <c r="H1727" t="s">
        <v>112</v>
      </c>
      <c r="I1727">
        <v>5</v>
      </c>
      <c r="J1727" s="19">
        <f>WEEKNUM(tblRidershipData[[#This Row],[MeasurementDate]])</f>
        <v>46</v>
      </c>
      <c r="K1727" s="19">
        <f>MONTH(tblRidershipData[[#This Row],[MeasurementDate]])</f>
        <v>11</v>
      </c>
    </row>
    <row r="1728" spans="1:11" x14ac:dyDescent="0.25">
      <c r="A1728" s="31">
        <v>43780</v>
      </c>
      <c r="B1728" t="s">
        <v>2</v>
      </c>
      <c r="C1728" s="31">
        <v>8312</v>
      </c>
      <c r="D1728" t="s">
        <v>83</v>
      </c>
      <c r="E1728" t="s">
        <v>109</v>
      </c>
      <c r="F1728">
        <v>1</v>
      </c>
      <c r="G1728" t="s">
        <v>70</v>
      </c>
      <c r="H1728" t="s">
        <v>112</v>
      </c>
      <c r="I1728">
        <v>4</v>
      </c>
      <c r="J1728" s="19">
        <f>WEEKNUM(tblRidershipData[[#This Row],[MeasurementDate]])</f>
        <v>46</v>
      </c>
      <c r="K1728" s="19">
        <f>MONTH(tblRidershipData[[#This Row],[MeasurementDate]])</f>
        <v>11</v>
      </c>
    </row>
    <row r="1729" spans="1:11" x14ac:dyDescent="0.25">
      <c r="A1729" s="31">
        <v>43780</v>
      </c>
      <c r="B1729" t="s">
        <v>2</v>
      </c>
      <c r="C1729" s="31">
        <v>8312</v>
      </c>
      <c r="D1729" t="s">
        <v>83</v>
      </c>
      <c r="E1729" t="s">
        <v>109</v>
      </c>
      <c r="F1729">
        <v>1</v>
      </c>
      <c r="G1729" t="s">
        <v>71</v>
      </c>
      <c r="H1729" t="s">
        <v>112</v>
      </c>
      <c r="I1729">
        <v>8</v>
      </c>
      <c r="J1729" s="19">
        <f>WEEKNUM(tblRidershipData[[#This Row],[MeasurementDate]])</f>
        <v>46</v>
      </c>
      <c r="K1729" s="19">
        <f>MONTH(tblRidershipData[[#This Row],[MeasurementDate]])</f>
        <v>11</v>
      </c>
    </row>
    <row r="1730" spans="1:11" x14ac:dyDescent="0.25">
      <c r="A1730" s="31">
        <v>43780</v>
      </c>
      <c r="B1730" t="s">
        <v>2</v>
      </c>
      <c r="C1730" s="31">
        <v>8312</v>
      </c>
      <c r="D1730" t="s">
        <v>83</v>
      </c>
      <c r="E1730" t="s">
        <v>109</v>
      </c>
      <c r="F1730">
        <v>1</v>
      </c>
      <c r="G1730" t="s">
        <v>72</v>
      </c>
      <c r="H1730" t="s">
        <v>112</v>
      </c>
      <c r="I1730">
        <v>3</v>
      </c>
      <c r="J1730" s="19">
        <f>WEEKNUM(tblRidershipData[[#This Row],[MeasurementDate]])</f>
        <v>46</v>
      </c>
      <c r="K1730" s="19">
        <f>MONTH(tblRidershipData[[#This Row],[MeasurementDate]])</f>
        <v>11</v>
      </c>
    </row>
    <row r="1731" spans="1:11" x14ac:dyDescent="0.25">
      <c r="A1731" s="31">
        <v>43780</v>
      </c>
      <c r="B1731" t="s">
        <v>2</v>
      </c>
      <c r="C1731" s="31">
        <v>8314</v>
      </c>
      <c r="D1731" t="s">
        <v>87</v>
      </c>
      <c r="E1731" t="s">
        <v>111</v>
      </c>
      <c r="F1731">
        <v>1</v>
      </c>
      <c r="G1731" t="s">
        <v>43</v>
      </c>
      <c r="H1731" t="s">
        <v>110</v>
      </c>
      <c r="I1731">
        <v>19</v>
      </c>
      <c r="J1731" s="19">
        <f>WEEKNUM(tblRidershipData[[#This Row],[MeasurementDate]])</f>
        <v>46</v>
      </c>
      <c r="K1731" s="19">
        <f>MONTH(tblRidershipData[[#This Row],[MeasurementDate]])</f>
        <v>11</v>
      </c>
    </row>
    <row r="1732" spans="1:11" x14ac:dyDescent="0.25">
      <c r="A1732" s="31">
        <v>43780</v>
      </c>
      <c r="B1732" t="s">
        <v>2</v>
      </c>
      <c r="C1732" s="31">
        <v>8314</v>
      </c>
      <c r="D1732" t="s">
        <v>87</v>
      </c>
      <c r="E1732" t="s">
        <v>111</v>
      </c>
      <c r="F1732">
        <v>1</v>
      </c>
      <c r="G1732" t="s">
        <v>46</v>
      </c>
      <c r="H1732" t="s">
        <v>110</v>
      </c>
      <c r="I1732">
        <v>1</v>
      </c>
      <c r="J1732" s="19">
        <f>WEEKNUM(tblRidershipData[[#This Row],[MeasurementDate]])</f>
        <v>46</v>
      </c>
      <c r="K1732" s="19">
        <f>MONTH(tblRidershipData[[#This Row],[MeasurementDate]])</f>
        <v>11</v>
      </c>
    </row>
    <row r="1733" spans="1:11" x14ac:dyDescent="0.25">
      <c r="A1733" s="31">
        <v>43780</v>
      </c>
      <c r="B1733" t="s">
        <v>2</v>
      </c>
      <c r="C1733" s="31">
        <v>8314</v>
      </c>
      <c r="D1733" t="s">
        <v>87</v>
      </c>
      <c r="E1733" t="s">
        <v>111</v>
      </c>
      <c r="F1733">
        <v>1</v>
      </c>
      <c r="G1733" t="s">
        <v>57</v>
      </c>
      <c r="H1733" t="s">
        <v>110</v>
      </c>
      <c r="I1733">
        <v>2</v>
      </c>
      <c r="J1733" s="19">
        <f>WEEKNUM(tblRidershipData[[#This Row],[MeasurementDate]])</f>
        <v>46</v>
      </c>
      <c r="K1733" s="19">
        <f>MONTH(tblRidershipData[[#This Row],[MeasurementDate]])</f>
        <v>11</v>
      </c>
    </row>
    <row r="1734" spans="1:11" x14ac:dyDescent="0.25">
      <c r="A1734" s="31">
        <v>43780</v>
      </c>
      <c r="B1734" t="s">
        <v>2</v>
      </c>
      <c r="C1734" s="31">
        <v>8314</v>
      </c>
      <c r="D1734" t="s">
        <v>87</v>
      </c>
      <c r="E1734" t="s">
        <v>111</v>
      </c>
      <c r="F1734">
        <v>1</v>
      </c>
      <c r="G1734" t="s">
        <v>60</v>
      </c>
      <c r="H1734" t="s">
        <v>110</v>
      </c>
      <c r="I1734">
        <v>6</v>
      </c>
      <c r="J1734" s="19">
        <f>WEEKNUM(tblRidershipData[[#This Row],[MeasurementDate]])</f>
        <v>46</v>
      </c>
      <c r="K1734" s="19">
        <f>MONTH(tblRidershipData[[#This Row],[MeasurementDate]])</f>
        <v>11</v>
      </c>
    </row>
    <row r="1735" spans="1:11" x14ac:dyDescent="0.25">
      <c r="A1735" s="31">
        <v>43780</v>
      </c>
      <c r="B1735" t="s">
        <v>2</v>
      </c>
      <c r="C1735" s="31">
        <v>8314</v>
      </c>
      <c r="D1735" t="s">
        <v>87</v>
      </c>
      <c r="E1735" t="s">
        <v>111</v>
      </c>
      <c r="F1735">
        <v>1</v>
      </c>
      <c r="G1735" t="s">
        <v>65</v>
      </c>
      <c r="H1735" t="s">
        <v>110</v>
      </c>
      <c r="I1735">
        <v>3</v>
      </c>
      <c r="J1735" s="19">
        <f>WEEKNUM(tblRidershipData[[#This Row],[MeasurementDate]])</f>
        <v>46</v>
      </c>
      <c r="K1735" s="19">
        <f>MONTH(tblRidershipData[[#This Row],[MeasurementDate]])</f>
        <v>11</v>
      </c>
    </row>
    <row r="1736" spans="1:11" x14ac:dyDescent="0.25">
      <c r="A1736" s="31">
        <v>43780</v>
      </c>
      <c r="B1736" t="s">
        <v>2</v>
      </c>
      <c r="C1736" s="31">
        <v>8314</v>
      </c>
      <c r="D1736" t="s">
        <v>87</v>
      </c>
      <c r="E1736" t="s">
        <v>111</v>
      </c>
      <c r="F1736">
        <v>1</v>
      </c>
      <c r="G1736" t="s">
        <v>66</v>
      </c>
      <c r="H1736" t="s">
        <v>110</v>
      </c>
      <c r="I1736">
        <v>11</v>
      </c>
      <c r="J1736" s="19">
        <f>WEEKNUM(tblRidershipData[[#This Row],[MeasurementDate]])</f>
        <v>46</v>
      </c>
      <c r="K1736" s="19">
        <f>MONTH(tblRidershipData[[#This Row],[MeasurementDate]])</f>
        <v>11</v>
      </c>
    </row>
    <row r="1737" spans="1:11" x14ac:dyDescent="0.25">
      <c r="A1737" s="31">
        <v>43780</v>
      </c>
      <c r="B1737" t="s">
        <v>2</v>
      </c>
      <c r="C1737" s="31">
        <v>8314</v>
      </c>
      <c r="D1737" t="s">
        <v>87</v>
      </c>
      <c r="E1737" t="s">
        <v>111</v>
      </c>
      <c r="F1737">
        <v>1</v>
      </c>
      <c r="G1737" t="s">
        <v>71</v>
      </c>
      <c r="H1737" t="s">
        <v>110</v>
      </c>
      <c r="I1737">
        <v>1</v>
      </c>
      <c r="J1737" s="19">
        <f>WEEKNUM(tblRidershipData[[#This Row],[MeasurementDate]])</f>
        <v>46</v>
      </c>
      <c r="K1737" s="19">
        <f>MONTH(tblRidershipData[[#This Row],[MeasurementDate]])</f>
        <v>11</v>
      </c>
    </row>
    <row r="1738" spans="1:11" x14ac:dyDescent="0.25">
      <c r="A1738" s="31">
        <v>43780</v>
      </c>
      <c r="B1738" t="s">
        <v>2</v>
      </c>
      <c r="C1738" s="31">
        <v>8314</v>
      </c>
      <c r="D1738" t="s">
        <v>87</v>
      </c>
      <c r="E1738" t="s">
        <v>111</v>
      </c>
      <c r="F1738">
        <v>2</v>
      </c>
      <c r="G1738" t="s">
        <v>60</v>
      </c>
      <c r="H1738" t="s">
        <v>110</v>
      </c>
      <c r="I1738">
        <v>5</v>
      </c>
      <c r="J1738" s="19">
        <f>WEEKNUM(tblRidershipData[[#This Row],[MeasurementDate]])</f>
        <v>46</v>
      </c>
      <c r="K1738" s="19">
        <f>MONTH(tblRidershipData[[#This Row],[MeasurementDate]])</f>
        <v>11</v>
      </c>
    </row>
    <row r="1739" spans="1:11" x14ac:dyDescent="0.25">
      <c r="A1739" s="31">
        <v>43780</v>
      </c>
      <c r="B1739" t="s">
        <v>2</v>
      </c>
      <c r="C1739" s="31">
        <v>8314</v>
      </c>
      <c r="D1739" t="s">
        <v>87</v>
      </c>
      <c r="E1739" t="s">
        <v>109</v>
      </c>
      <c r="F1739">
        <v>1</v>
      </c>
      <c r="G1739" t="s">
        <v>44</v>
      </c>
      <c r="H1739" t="s">
        <v>110</v>
      </c>
      <c r="I1739">
        <v>10</v>
      </c>
      <c r="J1739" s="19">
        <f>WEEKNUM(tblRidershipData[[#This Row],[MeasurementDate]])</f>
        <v>46</v>
      </c>
      <c r="K1739" s="19">
        <f>MONTH(tblRidershipData[[#This Row],[MeasurementDate]])</f>
        <v>11</v>
      </c>
    </row>
    <row r="1740" spans="1:11" x14ac:dyDescent="0.25">
      <c r="A1740" s="31">
        <v>43780</v>
      </c>
      <c r="B1740" t="s">
        <v>2</v>
      </c>
      <c r="C1740" s="31">
        <v>8314</v>
      </c>
      <c r="D1740" t="s">
        <v>87</v>
      </c>
      <c r="E1740" t="s">
        <v>109</v>
      </c>
      <c r="F1740">
        <v>1</v>
      </c>
      <c r="G1740" t="s">
        <v>51</v>
      </c>
      <c r="H1740" t="s">
        <v>110</v>
      </c>
      <c r="I1740">
        <v>5</v>
      </c>
      <c r="J1740" s="19">
        <f>WEEKNUM(tblRidershipData[[#This Row],[MeasurementDate]])</f>
        <v>46</v>
      </c>
      <c r="K1740" s="19">
        <f>MONTH(tblRidershipData[[#This Row],[MeasurementDate]])</f>
        <v>11</v>
      </c>
    </row>
    <row r="1741" spans="1:11" x14ac:dyDescent="0.25">
      <c r="A1741" s="31">
        <v>43780</v>
      </c>
      <c r="B1741" t="s">
        <v>2</v>
      </c>
      <c r="C1741" s="31">
        <v>8314</v>
      </c>
      <c r="D1741" t="s">
        <v>87</v>
      </c>
      <c r="E1741" t="s">
        <v>109</v>
      </c>
      <c r="F1741">
        <v>1</v>
      </c>
      <c r="G1741" t="s">
        <v>52</v>
      </c>
      <c r="H1741" t="s">
        <v>110</v>
      </c>
      <c r="I1741">
        <v>13</v>
      </c>
      <c r="J1741" s="19">
        <f>WEEKNUM(tblRidershipData[[#This Row],[MeasurementDate]])</f>
        <v>46</v>
      </c>
      <c r="K1741" s="19">
        <f>MONTH(tblRidershipData[[#This Row],[MeasurementDate]])</f>
        <v>11</v>
      </c>
    </row>
    <row r="1742" spans="1:11" x14ac:dyDescent="0.25">
      <c r="A1742" s="31">
        <v>43780</v>
      </c>
      <c r="B1742" t="s">
        <v>2</v>
      </c>
      <c r="C1742" s="31">
        <v>8314</v>
      </c>
      <c r="D1742" t="s">
        <v>87</v>
      </c>
      <c r="E1742" t="s">
        <v>109</v>
      </c>
      <c r="F1742">
        <v>1</v>
      </c>
      <c r="G1742" t="s">
        <v>59</v>
      </c>
      <c r="H1742" t="s">
        <v>110</v>
      </c>
      <c r="I1742">
        <v>36</v>
      </c>
      <c r="J1742" s="19">
        <f>WEEKNUM(tblRidershipData[[#This Row],[MeasurementDate]])</f>
        <v>46</v>
      </c>
      <c r="K1742" s="19">
        <f>MONTH(tblRidershipData[[#This Row],[MeasurementDate]])</f>
        <v>11</v>
      </c>
    </row>
    <row r="1743" spans="1:11" x14ac:dyDescent="0.25">
      <c r="A1743" s="31">
        <v>43780</v>
      </c>
      <c r="B1743" t="s">
        <v>2</v>
      </c>
      <c r="C1743" s="31">
        <v>8314</v>
      </c>
      <c r="D1743" t="s">
        <v>87</v>
      </c>
      <c r="E1743" t="s">
        <v>109</v>
      </c>
      <c r="F1743">
        <v>1</v>
      </c>
      <c r="G1743" t="s">
        <v>65</v>
      </c>
      <c r="H1743" t="s">
        <v>110</v>
      </c>
      <c r="I1743">
        <v>24</v>
      </c>
      <c r="J1743" s="19">
        <f>WEEKNUM(tblRidershipData[[#This Row],[MeasurementDate]])</f>
        <v>46</v>
      </c>
      <c r="K1743" s="19">
        <f>MONTH(tblRidershipData[[#This Row],[MeasurementDate]])</f>
        <v>11</v>
      </c>
    </row>
    <row r="1744" spans="1:11" x14ac:dyDescent="0.25">
      <c r="A1744" s="31">
        <v>43780</v>
      </c>
      <c r="B1744" t="s">
        <v>2</v>
      </c>
      <c r="C1744" s="31">
        <v>8314</v>
      </c>
      <c r="D1744" t="s">
        <v>87</v>
      </c>
      <c r="E1744" t="s">
        <v>109</v>
      </c>
      <c r="F1744">
        <v>1</v>
      </c>
      <c r="G1744" t="s">
        <v>66</v>
      </c>
      <c r="H1744" t="s">
        <v>110</v>
      </c>
      <c r="I1744">
        <v>12</v>
      </c>
      <c r="J1744" s="19">
        <f>WEEKNUM(tblRidershipData[[#This Row],[MeasurementDate]])</f>
        <v>46</v>
      </c>
      <c r="K1744" s="19">
        <f>MONTH(tblRidershipData[[#This Row],[MeasurementDate]])</f>
        <v>11</v>
      </c>
    </row>
    <row r="1745" spans="1:11" x14ac:dyDescent="0.25">
      <c r="A1745" s="31">
        <v>43780</v>
      </c>
      <c r="B1745" t="s">
        <v>2</v>
      </c>
      <c r="C1745" s="31">
        <v>8314</v>
      </c>
      <c r="D1745" t="s">
        <v>87</v>
      </c>
      <c r="E1745" t="s">
        <v>109</v>
      </c>
      <c r="F1745">
        <v>1</v>
      </c>
      <c r="G1745" t="s">
        <v>69</v>
      </c>
      <c r="H1745" t="s">
        <v>110</v>
      </c>
      <c r="I1745">
        <v>19</v>
      </c>
      <c r="J1745" s="19">
        <f>WEEKNUM(tblRidershipData[[#This Row],[MeasurementDate]])</f>
        <v>46</v>
      </c>
      <c r="K1745" s="19">
        <f>MONTH(tblRidershipData[[#This Row],[MeasurementDate]])</f>
        <v>11</v>
      </c>
    </row>
    <row r="1746" spans="1:11" x14ac:dyDescent="0.25">
      <c r="A1746" s="31">
        <v>43780</v>
      </c>
      <c r="B1746" t="s">
        <v>2</v>
      </c>
      <c r="C1746" s="31">
        <v>8314</v>
      </c>
      <c r="D1746" t="s">
        <v>87</v>
      </c>
      <c r="E1746" t="s">
        <v>109</v>
      </c>
      <c r="F1746">
        <v>1</v>
      </c>
      <c r="G1746" t="s">
        <v>70</v>
      </c>
      <c r="H1746" t="s">
        <v>110</v>
      </c>
      <c r="I1746">
        <v>9</v>
      </c>
      <c r="J1746" s="19">
        <f>WEEKNUM(tblRidershipData[[#This Row],[MeasurementDate]])</f>
        <v>46</v>
      </c>
      <c r="K1746" s="19">
        <f>MONTH(tblRidershipData[[#This Row],[MeasurementDate]])</f>
        <v>11</v>
      </c>
    </row>
    <row r="1747" spans="1:11" x14ac:dyDescent="0.25">
      <c r="A1747" s="31">
        <v>43780</v>
      </c>
      <c r="B1747" t="s">
        <v>2</v>
      </c>
      <c r="C1747" s="31">
        <v>8314</v>
      </c>
      <c r="D1747" t="s">
        <v>87</v>
      </c>
      <c r="E1747" t="s">
        <v>109</v>
      </c>
      <c r="F1747">
        <v>2</v>
      </c>
      <c r="G1747" t="s">
        <v>44</v>
      </c>
      <c r="H1747" t="s">
        <v>110</v>
      </c>
      <c r="I1747">
        <v>8</v>
      </c>
      <c r="J1747" s="19">
        <f>WEEKNUM(tblRidershipData[[#This Row],[MeasurementDate]])</f>
        <v>46</v>
      </c>
      <c r="K1747" s="19">
        <f>MONTH(tblRidershipData[[#This Row],[MeasurementDate]])</f>
        <v>11</v>
      </c>
    </row>
    <row r="1748" spans="1:11" x14ac:dyDescent="0.25">
      <c r="A1748" s="31">
        <v>43780</v>
      </c>
      <c r="B1748" t="s">
        <v>2</v>
      </c>
      <c r="C1748" s="31">
        <v>8314</v>
      </c>
      <c r="D1748" t="s">
        <v>87</v>
      </c>
      <c r="E1748" t="s">
        <v>109</v>
      </c>
      <c r="F1748">
        <v>2</v>
      </c>
      <c r="G1748" t="s">
        <v>70</v>
      </c>
      <c r="H1748" t="s">
        <v>110</v>
      </c>
      <c r="I1748">
        <v>2</v>
      </c>
      <c r="J1748" s="19">
        <f>WEEKNUM(tblRidershipData[[#This Row],[MeasurementDate]])</f>
        <v>46</v>
      </c>
      <c r="K1748" s="19">
        <f>MONTH(tblRidershipData[[#This Row],[MeasurementDate]])</f>
        <v>11</v>
      </c>
    </row>
    <row r="1749" spans="1:11" x14ac:dyDescent="0.25">
      <c r="A1749" s="31">
        <v>43780</v>
      </c>
      <c r="B1749" t="s">
        <v>2</v>
      </c>
      <c r="C1749" s="31">
        <v>8314</v>
      </c>
      <c r="D1749" t="s">
        <v>87</v>
      </c>
      <c r="E1749" t="s">
        <v>111</v>
      </c>
      <c r="F1749">
        <v>1</v>
      </c>
      <c r="G1749" t="s">
        <v>52</v>
      </c>
      <c r="H1749" t="s">
        <v>112</v>
      </c>
      <c r="I1749">
        <v>32</v>
      </c>
      <c r="J1749" s="19">
        <f>WEEKNUM(tblRidershipData[[#This Row],[MeasurementDate]])</f>
        <v>46</v>
      </c>
      <c r="K1749" s="19">
        <f>MONTH(tblRidershipData[[#This Row],[MeasurementDate]])</f>
        <v>11</v>
      </c>
    </row>
    <row r="1750" spans="1:11" x14ac:dyDescent="0.25">
      <c r="A1750" s="31">
        <v>43780</v>
      </c>
      <c r="B1750" t="s">
        <v>2</v>
      </c>
      <c r="C1750" s="31">
        <v>8314</v>
      </c>
      <c r="D1750" t="s">
        <v>87</v>
      </c>
      <c r="E1750" t="s">
        <v>111</v>
      </c>
      <c r="F1750">
        <v>1</v>
      </c>
      <c r="G1750" t="s">
        <v>59</v>
      </c>
      <c r="H1750" t="s">
        <v>112</v>
      </c>
      <c r="I1750">
        <v>6</v>
      </c>
      <c r="J1750" s="19">
        <f>WEEKNUM(tblRidershipData[[#This Row],[MeasurementDate]])</f>
        <v>46</v>
      </c>
      <c r="K1750" s="19">
        <f>MONTH(tblRidershipData[[#This Row],[MeasurementDate]])</f>
        <v>11</v>
      </c>
    </row>
    <row r="1751" spans="1:11" x14ac:dyDescent="0.25">
      <c r="A1751" s="31">
        <v>43780</v>
      </c>
      <c r="B1751" t="s">
        <v>2</v>
      </c>
      <c r="C1751" s="31">
        <v>8314</v>
      </c>
      <c r="D1751" t="s">
        <v>87</v>
      </c>
      <c r="E1751" t="s">
        <v>111</v>
      </c>
      <c r="F1751">
        <v>1</v>
      </c>
      <c r="G1751" t="s">
        <v>70</v>
      </c>
      <c r="H1751" t="s">
        <v>112</v>
      </c>
      <c r="I1751">
        <v>2</v>
      </c>
      <c r="J1751" s="19">
        <f>WEEKNUM(tblRidershipData[[#This Row],[MeasurementDate]])</f>
        <v>46</v>
      </c>
      <c r="K1751" s="19">
        <f>MONTH(tblRidershipData[[#This Row],[MeasurementDate]])</f>
        <v>11</v>
      </c>
    </row>
    <row r="1752" spans="1:11" x14ac:dyDescent="0.25">
      <c r="A1752" s="31">
        <v>43780</v>
      </c>
      <c r="B1752" t="s">
        <v>2</v>
      </c>
      <c r="C1752" s="31">
        <v>8314</v>
      </c>
      <c r="D1752" t="s">
        <v>87</v>
      </c>
      <c r="E1752" t="s">
        <v>111</v>
      </c>
      <c r="F1752">
        <v>2</v>
      </c>
      <c r="G1752" t="s">
        <v>52</v>
      </c>
      <c r="H1752" t="s">
        <v>112</v>
      </c>
      <c r="I1752">
        <v>7</v>
      </c>
      <c r="J1752" s="19">
        <f>WEEKNUM(tblRidershipData[[#This Row],[MeasurementDate]])</f>
        <v>46</v>
      </c>
      <c r="K1752" s="19">
        <f>MONTH(tblRidershipData[[#This Row],[MeasurementDate]])</f>
        <v>11</v>
      </c>
    </row>
    <row r="1753" spans="1:11" x14ac:dyDescent="0.25">
      <c r="A1753" s="31">
        <v>43780</v>
      </c>
      <c r="B1753" t="s">
        <v>2</v>
      </c>
      <c r="C1753" s="31">
        <v>8314</v>
      </c>
      <c r="D1753" t="s">
        <v>87</v>
      </c>
      <c r="E1753" t="s">
        <v>111</v>
      </c>
      <c r="F1753">
        <v>2</v>
      </c>
      <c r="G1753" t="s">
        <v>57</v>
      </c>
      <c r="H1753" t="s">
        <v>112</v>
      </c>
      <c r="I1753">
        <v>1</v>
      </c>
      <c r="J1753" s="19">
        <f>WEEKNUM(tblRidershipData[[#This Row],[MeasurementDate]])</f>
        <v>46</v>
      </c>
      <c r="K1753" s="19">
        <f>MONTH(tblRidershipData[[#This Row],[MeasurementDate]])</f>
        <v>11</v>
      </c>
    </row>
    <row r="1754" spans="1:11" x14ac:dyDescent="0.25">
      <c r="A1754" s="31">
        <v>43780</v>
      </c>
      <c r="B1754" t="s">
        <v>2</v>
      </c>
      <c r="C1754" s="31">
        <v>8314</v>
      </c>
      <c r="D1754" t="s">
        <v>87</v>
      </c>
      <c r="E1754" t="s">
        <v>109</v>
      </c>
      <c r="F1754">
        <v>1</v>
      </c>
      <c r="G1754" t="s">
        <v>43</v>
      </c>
      <c r="H1754" t="s">
        <v>112</v>
      </c>
      <c r="I1754">
        <v>27</v>
      </c>
      <c r="J1754" s="19">
        <f>WEEKNUM(tblRidershipData[[#This Row],[MeasurementDate]])</f>
        <v>46</v>
      </c>
      <c r="K1754" s="19">
        <f>MONTH(tblRidershipData[[#This Row],[MeasurementDate]])</f>
        <v>11</v>
      </c>
    </row>
    <row r="1755" spans="1:11" x14ac:dyDescent="0.25">
      <c r="A1755" s="31">
        <v>43780</v>
      </c>
      <c r="B1755" t="s">
        <v>2</v>
      </c>
      <c r="C1755" s="31">
        <v>8314</v>
      </c>
      <c r="D1755" t="s">
        <v>87</v>
      </c>
      <c r="E1755" t="s">
        <v>109</v>
      </c>
      <c r="F1755">
        <v>1</v>
      </c>
      <c r="G1755" t="s">
        <v>44</v>
      </c>
      <c r="H1755" t="s">
        <v>112</v>
      </c>
      <c r="I1755">
        <v>1</v>
      </c>
      <c r="J1755" s="19">
        <f>WEEKNUM(tblRidershipData[[#This Row],[MeasurementDate]])</f>
        <v>46</v>
      </c>
      <c r="K1755" s="19">
        <f>MONTH(tblRidershipData[[#This Row],[MeasurementDate]])</f>
        <v>11</v>
      </c>
    </row>
    <row r="1756" spans="1:11" x14ac:dyDescent="0.25">
      <c r="A1756" s="31">
        <v>43780</v>
      </c>
      <c r="B1756" t="s">
        <v>2</v>
      </c>
      <c r="C1756" s="31">
        <v>8314</v>
      </c>
      <c r="D1756" t="s">
        <v>87</v>
      </c>
      <c r="E1756" t="s">
        <v>109</v>
      </c>
      <c r="F1756">
        <v>1</v>
      </c>
      <c r="G1756" t="s">
        <v>46</v>
      </c>
      <c r="H1756" t="s">
        <v>112</v>
      </c>
      <c r="I1756">
        <v>7</v>
      </c>
      <c r="J1756" s="19">
        <f>WEEKNUM(tblRidershipData[[#This Row],[MeasurementDate]])</f>
        <v>46</v>
      </c>
      <c r="K1756" s="19">
        <f>MONTH(tblRidershipData[[#This Row],[MeasurementDate]])</f>
        <v>11</v>
      </c>
    </row>
    <row r="1757" spans="1:11" x14ac:dyDescent="0.25">
      <c r="A1757" s="31">
        <v>43780</v>
      </c>
      <c r="B1757" t="s">
        <v>2</v>
      </c>
      <c r="C1757" s="31">
        <v>8314</v>
      </c>
      <c r="D1757" t="s">
        <v>87</v>
      </c>
      <c r="E1757" t="s">
        <v>109</v>
      </c>
      <c r="F1757">
        <v>1</v>
      </c>
      <c r="G1757" t="s">
        <v>51</v>
      </c>
      <c r="H1757" t="s">
        <v>112</v>
      </c>
      <c r="I1757">
        <v>9</v>
      </c>
      <c r="J1757" s="19">
        <f>WEEKNUM(tblRidershipData[[#This Row],[MeasurementDate]])</f>
        <v>46</v>
      </c>
      <c r="K1757" s="19">
        <f>MONTH(tblRidershipData[[#This Row],[MeasurementDate]])</f>
        <v>11</v>
      </c>
    </row>
    <row r="1758" spans="1:11" x14ac:dyDescent="0.25">
      <c r="A1758" s="31">
        <v>43780</v>
      </c>
      <c r="B1758" t="s">
        <v>2</v>
      </c>
      <c r="C1758" s="31">
        <v>8314</v>
      </c>
      <c r="D1758" t="s">
        <v>87</v>
      </c>
      <c r="E1758" t="s">
        <v>109</v>
      </c>
      <c r="F1758">
        <v>1</v>
      </c>
      <c r="G1758" t="s">
        <v>60</v>
      </c>
      <c r="H1758" t="s">
        <v>112</v>
      </c>
      <c r="I1758">
        <v>9</v>
      </c>
      <c r="J1758" s="19">
        <f>WEEKNUM(tblRidershipData[[#This Row],[MeasurementDate]])</f>
        <v>46</v>
      </c>
      <c r="K1758" s="19">
        <f>MONTH(tblRidershipData[[#This Row],[MeasurementDate]])</f>
        <v>11</v>
      </c>
    </row>
    <row r="1759" spans="1:11" x14ac:dyDescent="0.25">
      <c r="A1759" s="31">
        <v>43780</v>
      </c>
      <c r="B1759" t="s">
        <v>2</v>
      </c>
      <c r="C1759" s="31">
        <v>8314</v>
      </c>
      <c r="D1759" t="s">
        <v>87</v>
      </c>
      <c r="E1759" t="s">
        <v>109</v>
      </c>
      <c r="F1759">
        <v>1</v>
      </c>
      <c r="G1759" t="s">
        <v>65</v>
      </c>
      <c r="H1759" t="s">
        <v>112</v>
      </c>
      <c r="I1759">
        <v>6</v>
      </c>
      <c r="J1759" s="19">
        <f>WEEKNUM(tblRidershipData[[#This Row],[MeasurementDate]])</f>
        <v>46</v>
      </c>
      <c r="K1759" s="19">
        <f>MONTH(tblRidershipData[[#This Row],[MeasurementDate]])</f>
        <v>11</v>
      </c>
    </row>
    <row r="1760" spans="1:11" x14ac:dyDescent="0.25">
      <c r="A1760" s="31">
        <v>43780</v>
      </c>
      <c r="B1760" t="s">
        <v>2</v>
      </c>
      <c r="C1760" s="31">
        <v>8314</v>
      </c>
      <c r="D1760" t="s">
        <v>87</v>
      </c>
      <c r="E1760" t="s">
        <v>109</v>
      </c>
      <c r="F1760">
        <v>1</v>
      </c>
      <c r="G1760" t="s">
        <v>66</v>
      </c>
      <c r="H1760" t="s">
        <v>112</v>
      </c>
      <c r="I1760">
        <v>21</v>
      </c>
      <c r="J1760" s="19">
        <f>WEEKNUM(tblRidershipData[[#This Row],[MeasurementDate]])</f>
        <v>46</v>
      </c>
      <c r="K1760" s="19">
        <f>MONTH(tblRidershipData[[#This Row],[MeasurementDate]])</f>
        <v>11</v>
      </c>
    </row>
    <row r="1761" spans="1:11" x14ac:dyDescent="0.25">
      <c r="A1761" s="31">
        <v>43780</v>
      </c>
      <c r="B1761" t="s">
        <v>2</v>
      </c>
      <c r="C1761" s="31">
        <v>8314</v>
      </c>
      <c r="D1761" t="s">
        <v>87</v>
      </c>
      <c r="E1761" t="s">
        <v>109</v>
      </c>
      <c r="F1761">
        <v>1</v>
      </c>
      <c r="G1761" t="s">
        <v>69</v>
      </c>
      <c r="H1761" t="s">
        <v>112</v>
      </c>
      <c r="I1761">
        <v>2</v>
      </c>
      <c r="J1761" s="19">
        <f>WEEKNUM(tblRidershipData[[#This Row],[MeasurementDate]])</f>
        <v>46</v>
      </c>
      <c r="K1761" s="19">
        <f>MONTH(tblRidershipData[[#This Row],[MeasurementDate]])</f>
        <v>11</v>
      </c>
    </row>
    <row r="1762" spans="1:11" x14ac:dyDescent="0.25">
      <c r="A1762" s="31">
        <v>43780</v>
      </c>
      <c r="B1762" t="s">
        <v>2</v>
      </c>
      <c r="C1762" s="31">
        <v>8314</v>
      </c>
      <c r="D1762" t="s">
        <v>87</v>
      </c>
      <c r="E1762" t="s">
        <v>109</v>
      </c>
      <c r="F1762">
        <v>1</v>
      </c>
      <c r="G1762" t="s">
        <v>70</v>
      </c>
      <c r="H1762" t="s">
        <v>112</v>
      </c>
      <c r="I1762">
        <v>4</v>
      </c>
      <c r="J1762" s="19">
        <f>WEEKNUM(tblRidershipData[[#This Row],[MeasurementDate]])</f>
        <v>46</v>
      </c>
      <c r="K1762" s="19">
        <f>MONTH(tblRidershipData[[#This Row],[MeasurementDate]])</f>
        <v>11</v>
      </c>
    </row>
    <row r="1763" spans="1:11" x14ac:dyDescent="0.25">
      <c r="A1763" s="31">
        <v>43780</v>
      </c>
      <c r="B1763" t="s">
        <v>2</v>
      </c>
      <c r="C1763" s="31">
        <v>8314</v>
      </c>
      <c r="D1763" t="s">
        <v>87</v>
      </c>
      <c r="E1763" t="s">
        <v>109</v>
      </c>
      <c r="F1763">
        <v>1</v>
      </c>
      <c r="G1763" t="s">
        <v>71</v>
      </c>
      <c r="H1763" t="s">
        <v>112</v>
      </c>
      <c r="I1763">
        <v>8</v>
      </c>
      <c r="J1763" s="19">
        <f>WEEKNUM(tblRidershipData[[#This Row],[MeasurementDate]])</f>
        <v>46</v>
      </c>
      <c r="K1763" s="19">
        <f>MONTH(tblRidershipData[[#This Row],[MeasurementDate]])</f>
        <v>11</v>
      </c>
    </row>
    <row r="1764" spans="1:11" x14ac:dyDescent="0.25">
      <c r="A1764" s="31">
        <v>43780</v>
      </c>
      <c r="B1764" t="s">
        <v>2</v>
      </c>
      <c r="C1764" s="31">
        <v>8314</v>
      </c>
      <c r="D1764" t="s">
        <v>87</v>
      </c>
      <c r="E1764" t="s">
        <v>109</v>
      </c>
      <c r="F1764">
        <v>2</v>
      </c>
      <c r="G1764" t="s">
        <v>44</v>
      </c>
      <c r="H1764" t="s">
        <v>112</v>
      </c>
      <c r="I1764">
        <v>7</v>
      </c>
      <c r="J1764" s="19">
        <f>WEEKNUM(tblRidershipData[[#This Row],[MeasurementDate]])</f>
        <v>46</v>
      </c>
      <c r="K1764" s="19">
        <f>MONTH(tblRidershipData[[#This Row],[MeasurementDate]])</f>
        <v>11</v>
      </c>
    </row>
    <row r="1765" spans="1:11" x14ac:dyDescent="0.25">
      <c r="A1765" s="31">
        <v>43780</v>
      </c>
      <c r="B1765" t="s">
        <v>2</v>
      </c>
      <c r="C1765" s="31">
        <v>8314</v>
      </c>
      <c r="D1765" t="s">
        <v>87</v>
      </c>
      <c r="E1765" t="s">
        <v>109</v>
      </c>
      <c r="F1765">
        <v>2</v>
      </c>
      <c r="G1765" t="s">
        <v>46</v>
      </c>
      <c r="H1765" t="s">
        <v>112</v>
      </c>
      <c r="I1765">
        <v>19</v>
      </c>
      <c r="J1765" s="19">
        <f>WEEKNUM(tblRidershipData[[#This Row],[MeasurementDate]])</f>
        <v>46</v>
      </c>
      <c r="K1765" s="19">
        <f>MONTH(tblRidershipData[[#This Row],[MeasurementDate]])</f>
        <v>11</v>
      </c>
    </row>
    <row r="1766" spans="1:11" x14ac:dyDescent="0.25">
      <c r="A1766" s="31">
        <v>43780</v>
      </c>
      <c r="B1766" t="s">
        <v>2</v>
      </c>
      <c r="C1766" s="31">
        <v>8314</v>
      </c>
      <c r="D1766" t="s">
        <v>87</v>
      </c>
      <c r="E1766" t="s">
        <v>109</v>
      </c>
      <c r="F1766">
        <v>2</v>
      </c>
      <c r="G1766" t="s">
        <v>55</v>
      </c>
      <c r="H1766" t="s">
        <v>112</v>
      </c>
      <c r="I1766">
        <v>7</v>
      </c>
      <c r="J1766" s="19">
        <f>WEEKNUM(tblRidershipData[[#This Row],[MeasurementDate]])</f>
        <v>46</v>
      </c>
      <c r="K1766" s="19">
        <f>MONTH(tblRidershipData[[#This Row],[MeasurementDate]])</f>
        <v>11</v>
      </c>
    </row>
    <row r="1767" spans="1:11" x14ac:dyDescent="0.25">
      <c r="A1767" s="31">
        <v>43780</v>
      </c>
      <c r="B1767" t="s">
        <v>2</v>
      </c>
      <c r="C1767" s="31">
        <v>8314</v>
      </c>
      <c r="D1767" t="s">
        <v>87</v>
      </c>
      <c r="E1767" t="s">
        <v>109</v>
      </c>
      <c r="F1767">
        <v>2</v>
      </c>
      <c r="G1767" t="s">
        <v>69</v>
      </c>
      <c r="H1767" t="s">
        <v>112</v>
      </c>
      <c r="I1767">
        <v>3</v>
      </c>
      <c r="J1767" s="19">
        <f>WEEKNUM(tblRidershipData[[#This Row],[MeasurementDate]])</f>
        <v>46</v>
      </c>
      <c r="K1767" s="19">
        <f>MONTH(tblRidershipData[[#This Row],[MeasurementDate]])</f>
        <v>11</v>
      </c>
    </row>
    <row r="1768" spans="1:11" x14ac:dyDescent="0.25">
      <c r="A1768" s="31">
        <v>43780</v>
      </c>
      <c r="B1768" t="s">
        <v>2</v>
      </c>
      <c r="C1768" s="31">
        <v>8314</v>
      </c>
      <c r="D1768" t="s">
        <v>87</v>
      </c>
      <c r="E1768" t="s">
        <v>109</v>
      </c>
      <c r="F1768">
        <v>2</v>
      </c>
      <c r="G1768" t="s">
        <v>70</v>
      </c>
      <c r="H1768" t="s">
        <v>112</v>
      </c>
      <c r="I1768">
        <v>8</v>
      </c>
      <c r="J1768" s="19">
        <f>WEEKNUM(tblRidershipData[[#This Row],[MeasurementDate]])</f>
        <v>46</v>
      </c>
      <c r="K1768" s="19">
        <f>MONTH(tblRidershipData[[#This Row],[MeasurementDate]])</f>
        <v>11</v>
      </c>
    </row>
    <row r="1769" spans="1:11" x14ac:dyDescent="0.25">
      <c r="A1769" s="31">
        <v>43780</v>
      </c>
      <c r="B1769" t="s">
        <v>2</v>
      </c>
      <c r="C1769" s="31">
        <v>9311</v>
      </c>
      <c r="D1769" t="s">
        <v>90</v>
      </c>
      <c r="E1769" t="s">
        <v>111</v>
      </c>
      <c r="F1769">
        <v>1</v>
      </c>
      <c r="G1769" t="s">
        <v>46</v>
      </c>
      <c r="H1769" t="s">
        <v>110</v>
      </c>
      <c r="I1769">
        <v>10</v>
      </c>
      <c r="J1769" s="19">
        <f>WEEKNUM(tblRidershipData[[#This Row],[MeasurementDate]])</f>
        <v>46</v>
      </c>
      <c r="K1769" s="19">
        <f>MONTH(tblRidershipData[[#This Row],[MeasurementDate]])</f>
        <v>11</v>
      </c>
    </row>
    <row r="1770" spans="1:11" x14ac:dyDescent="0.25">
      <c r="A1770" s="31">
        <v>43780</v>
      </c>
      <c r="B1770" t="s">
        <v>2</v>
      </c>
      <c r="C1770" s="31">
        <v>9311</v>
      </c>
      <c r="D1770" t="s">
        <v>90</v>
      </c>
      <c r="E1770" t="s">
        <v>111</v>
      </c>
      <c r="F1770">
        <v>1</v>
      </c>
      <c r="G1770" t="s">
        <v>55</v>
      </c>
      <c r="H1770" t="s">
        <v>110</v>
      </c>
      <c r="I1770">
        <v>3</v>
      </c>
      <c r="J1770" s="19">
        <f>WEEKNUM(tblRidershipData[[#This Row],[MeasurementDate]])</f>
        <v>46</v>
      </c>
      <c r="K1770" s="19">
        <f>MONTH(tblRidershipData[[#This Row],[MeasurementDate]])</f>
        <v>11</v>
      </c>
    </row>
    <row r="1771" spans="1:11" x14ac:dyDescent="0.25">
      <c r="A1771" s="31">
        <v>43780</v>
      </c>
      <c r="B1771" t="s">
        <v>2</v>
      </c>
      <c r="C1771" s="31">
        <v>9311</v>
      </c>
      <c r="D1771" t="s">
        <v>90</v>
      </c>
      <c r="E1771" t="s">
        <v>111</v>
      </c>
      <c r="F1771">
        <v>1</v>
      </c>
      <c r="G1771" t="s">
        <v>69</v>
      </c>
      <c r="H1771" t="s">
        <v>110</v>
      </c>
      <c r="I1771">
        <v>9</v>
      </c>
      <c r="J1771" s="19">
        <f>WEEKNUM(tblRidershipData[[#This Row],[MeasurementDate]])</f>
        <v>46</v>
      </c>
      <c r="K1771" s="19">
        <f>MONTH(tblRidershipData[[#This Row],[MeasurementDate]])</f>
        <v>11</v>
      </c>
    </row>
    <row r="1772" spans="1:11" x14ac:dyDescent="0.25">
      <c r="A1772" s="31">
        <v>43780</v>
      </c>
      <c r="B1772" t="s">
        <v>2</v>
      </c>
      <c r="C1772" s="31">
        <v>9311</v>
      </c>
      <c r="D1772" t="s">
        <v>90</v>
      </c>
      <c r="E1772" t="s">
        <v>111</v>
      </c>
      <c r="F1772">
        <v>1</v>
      </c>
      <c r="G1772" t="s">
        <v>70</v>
      </c>
      <c r="H1772" t="s">
        <v>110</v>
      </c>
      <c r="I1772">
        <v>1</v>
      </c>
      <c r="J1772" s="19">
        <f>WEEKNUM(tblRidershipData[[#This Row],[MeasurementDate]])</f>
        <v>46</v>
      </c>
      <c r="K1772" s="19">
        <f>MONTH(tblRidershipData[[#This Row],[MeasurementDate]])</f>
        <v>11</v>
      </c>
    </row>
    <row r="1773" spans="1:11" x14ac:dyDescent="0.25">
      <c r="A1773" s="31">
        <v>43780</v>
      </c>
      <c r="B1773" t="s">
        <v>2</v>
      </c>
      <c r="C1773" s="31">
        <v>9311</v>
      </c>
      <c r="D1773" t="s">
        <v>90</v>
      </c>
      <c r="E1773" t="s">
        <v>111</v>
      </c>
      <c r="F1773">
        <v>1</v>
      </c>
      <c r="G1773" t="s">
        <v>71</v>
      </c>
      <c r="H1773" t="s">
        <v>110</v>
      </c>
      <c r="I1773">
        <v>2</v>
      </c>
      <c r="J1773" s="19">
        <f>WEEKNUM(tblRidershipData[[#This Row],[MeasurementDate]])</f>
        <v>46</v>
      </c>
      <c r="K1773" s="19">
        <f>MONTH(tblRidershipData[[#This Row],[MeasurementDate]])</f>
        <v>11</v>
      </c>
    </row>
    <row r="1774" spans="1:11" x14ac:dyDescent="0.25">
      <c r="A1774" s="31">
        <v>43780</v>
      </c>
      <c r="B1774" t="s">
        <v>2</v>
      </c>
      <c r="C1774" s="31">
        <v>9311</v>
      </c>
      <c r="D1774" t="s">
        <v>90</v>
      </c>
      <c r="E1774" t="s">
        <v>109</v>
      </c>
      <c r="F1774">
        <v>1</v>
      </c>
      <c r="G1774" t="s">
        <v>55</v>
      </c>
      <c r="H1774" t="s">
        <v>110</v>
      </c>
      <c r="I1774">
        <v>6</v>
      </c>
      <c r="J1774" s="19">
        <f>WEEKNUM(tblRidershipData[[#This Row],[MeasurementDate]])</f>
        <v>46</v>
      </c>
      <c r="K1774" s="19">
        <f>MONTH(tblRidershipData[[#This Row],[MeasurementDate]])</f>
        <v>11</v>
      </c>
    </row>
    <row r="1775" spans="1:11" x14ac:dyDescent="0.25">
      <c r="A1775" s="31">
        <v>43780</v>
      </c>
      <c r="B1775" t="s">
        <v>2</v>
      </c>
      <c r="C1775" s="31">
        <v>9311</v>
      </c>
      <c r="D1775" t="s">
        <v>90</v>
      </c>
      <c r="E1775" t="s">
        <v>109</v>
      </c>
      <c r="F1775">
        <v>1</v>
      </c>
      <c r="G1775" t="s">
        <v>56</v>
      </c>
      <c r="H1775" t="s">
        <v>110</v>
      </c>
      <c r="I1775">
        <v>3</v>
      </c>
      <c r="J1775" s="19">
        <f>WEEKNUM(tblRidershipData[[#This Row],[MeasurementDate]])</f>
        <v>46</v>
      </c>
      <c r="K1775" s="19">
        <f>MONTH(tblRidershipData[[#This Row],[MeasurementDate]])</f>
        <v>11</v>
      </c>
    </row>
    <row r="1776" spans="1:11" x14ac:dyDescent="0.25">
      <c r="A1776" s="31">
        <v>43780</v>
      </c>
      <c r="B1776" t="s">
        <v>2</v>
      </c>
      <c r="C1776" s="31">
        <v>9311</v>
      </c>
      <c r="D1776" t="s">
        <v>90</v>
      </c>
      <c r="E1776" t="s">
        <v>109</v>
      </c>
      <c r="F1776">
        <v>1</v>
      </c>
      <c r="G1776" t="s">
        <v>67</v>
      </c>
      <c r="H1776" t="s">
        <v>110</v>
      </c>
      <c r="I1776">
        <v>43</v>
      </c>
      <c r="J1776" s="19">
        <f>WEEKNUM(tblRidershipData[[#This Row],[MeasurementDate]])</f>
        <v>46</v>
      </c>
      <c r="K1776" s="19">
        <f>MONTH(tblRidershipData[[#This Row],[MeasurementDate]])</f>
        <v>11</v>
      </c>
    </row>
    <row r="1777" spans="1:11" x14ac:dyDescent="0.25">
      <c r="A1777" s="31">
        <v>43780</v>
      </c>
      <c r="B1777" t="s">
        <v>2</v>
      </c>
      <c r="C1777" s="31">
        <v>9311</v>
      </c>
      <c r="D1777" t="s">
        <v>90</v>
      </c>
      <c r="E1777" t="s">
        <v>109</v>
      </c>
      <c r="F1777">
        <v>2</v>
      </c>
      <c r="G1777" t="s">
        <v>42</v>
      </c>
      <c r="H1777" t="s">
        <v>110</v>
      </c>
      <c r="I1777">
        <v>3</v>
      </c>
      <c r="J1777" s="19">
        <f>WEEKNUM(tblRidershipData[[#This Row],[MeasurementDate]])</f>
        <v>46</v>
      </c>
      <c r="K1777" s="19">
        <f>MONTH(tblRidershipData[[#This Row],[MeasurementDate]])</f>
        <v>11</v>
      </c>
    </row>
    <row r="1778" spans="1:11" x14ac:dyDescent="0.25">
      <c r="A1778" s="31">
        <v>43780</v>
      </c>
      <c r="B1778" t="s">
        <v>2</v>
      </c>
      <c r="C1778" s="31">
        <v>9311</v>
      </c>
      <c r="D1778" t="s">
        <v>90</v>
      </c>
      <c r="E1778" t="s">
        <v>109</v>
      </c>
      <c r="F1778">
        <v>2</v>
      </c>
      <c r="G1778" t="s">
        <v>70</v>
      </c>
      <c r="H1778" t="s">
        <v>110</v>
      </c>
      <c r="I1778">
        <v>6</v>
      </c>
      <c r="J1778" s="19">
        <f>WEEKNUM(tblRidershipData[[#This Row],[MeasurementDate]])</f>
        <v>46</v>
      </c>
      <c r="K1778" s="19">
        <f>MONTH(tblRidershipData[[#This Row],[MeasurementDate]])</f>
        <v>11</v>
      </c>
    </row>
    <row r="1779" spans="1:11" x14ac:dyDescent="0.25">
      <c r="A1779" s="31">
        <v>43780</v>
      </c>
      <c r="B1779" t="s">
        <v>2</v>
      </c>
      <c r="C1779" s="31">
        <v>9311</v>
      </c>
      <c r="D1779" t="s">
        <v>90</v>
      </c>
      <c r="E1779" t="s">
        <v>111</v>
      </c>
      <c r="F1779">
        <v>1</v>
      </c>
      <c r="G1779" t="s">
        <v>51</v>
      </c>
      <c r="H1779" t="s">
        <v>112</v>
      </c>
      <c r="I1779">
        <v>21</v>
      </c>
      <c r="J1779" s="19">
        <f>WEEKNUM(tblRidershipData[[#This Row],[MeasurementDate]])</f>
        <v>46</v>
      </c>
      <c r="K1779" s="19">
        <f>MONTH(tblRidershipData[[#This Row],[MeasurementDate]])</f>
        <v>11</v>
      </c>
    </row>
    <row r="1780" spans="1:11" x14ac:dyDescent="0.25">
      <c r="A1780" s="31">
        <v>43780</v>
      </c>
      <c r="B1780" t="s">
        <v>2</v>
      </c>
      <c r="C1780" s="31">
        <v>9311</v>
      </c>
      <c r="D1780" t="s">
        <v>90</v>
      </c>
      <c r="E1780" t="s">
        <v>111</v>
      </c>
      <c r="F1780">
        <v>1</v>
      </c>
      <c r="G1780" t="s">
        <v>59</v>
      </c>
      <c r="H1780" t="s">
        <v>112</v>
      </c>
      <c r="I1780">
        <v>2</v>
      </c>
      <c r="J1780" s="19">
        <f>WEEKNUM(tblRidershipData[[#This Row],[MeasurementDate]])</f>
        <v>46</v>
      </c>
      <c r="K1780" s="19">
        <f>MONTH(tblRidershipData[[#This Row],[MeasurementDate]])</f>
        <v>11</v>
      </c>
    </row>
    <row r="1781" spans="1:11" x14ac:dyDescent="0.25">
      <c r="A1781" s="31">
        <v>43780</v>
      </c>
      <c r="B1781" t="s">
        <v>2</v>
      </c>
      <c r="C1781" s="31">
        <v>9311</v>
      </c>
      <c r="D1781" t="s">
        <v>90</v>
      </c>
      <c r="E1781" t="s">
        <v>111</v>
      </c>
      <c r="F1781">
        <v>1</v>
      </c>
      <c r="G1781" t="s">
        <v>66</v>
      </c>
      <c r="H1781" t="s">
        <v>112</v>
      </c>
      <c r="I1781">
        <v>2</v>
      </c>
      <c r="J1781" s="19">
        <f>WEEKNUM(tblRidershipData[[#This Row],[MeasurementDate]])</f>
        <v>46</v>
      </c>
      <c r="K1781" s="19">
        <f>MONTH(tblRidershipData[[#This Row],[MeasurementDate]])</f>
        <v>11</v>
      </c>
    </row>
    <row r="1782" spans="1:11" x14ac:dyDescent="0.25">
      <c r="A1782" s="31">
        <v>43780</v>
      </c>
      <c r="B1782" t="s">
        <v>2</v>
      </c>
      <c r="C1782" s="31">
        <v>9311</v>
      </c>
      <c r="D1782" t="s">
        <v>90</v>
      </c>
      <c r="E1782" t="s">
        <v>109</v>
      </c>
      <c r="F1782">
        <v>1</v>
      </c>
      <c r="G1782" t="s">
        <v>44</v>
      </c>
      <c r="H1782" t="s">
        <v>112</v>
      </c>
      <c r="I1782">
        <v>9</v>
      </c>
      <c r="J1782" s="19">
        <f>WEEKNUM(tblRidershipData[[#This Row],[MeasurementDate]])</f>
        <v>46</v>
      </c>
      <c r="K1782" s="19">
        <f>MONTH(tblRidershipData[[#This Row],[MeasurementDate]])</f>
        <v>11</v>
      </c>
    </row>
    <row r="1783" spans="1:11" x14ac:dyDescent="0.25">
      <c r="A1783" s="31">
        <v>43780</v>
      </c>
      <c r="B1783" t="s">
        <v>2</v>
      </c>
      <c r="C1783" s="31">
        <v>9311</v>
      </c>
      <c r="D1783" t="s">
        <v>90</v>
      </c>
      <c r="E1783" t="s">
        <v>109</v>
      </c>
      <c r="F1783">
        <v>1</v>
      </c>
      <c r="G1783" t="s">
        <v>55</v>
      </c>
      <c r="H1783" t="s">
        <v>112</v>
      </c>
      <c r="I1783">
        <v>19</v>
      </c>
      <c r="J1783" s="19">
        <f>WEEKNUM(tblRidershipData[[#This Row],[MeasurementDate]])</f>
        <v>46</v>
      </c>
      <c r="K1783" s="19">
        <f>MONTH(tblRidershipData[[#This Row],[MeasurementDate]])</f>
        <v>11</v>
      </c>
    </row>
    <row r="1784" spans="1:11" x14ac:dyDescent="0.25">
      <c r="A1784" s="31">
        <v>43780</v>
      </c>
      <c r="B1784" t="s">
        <v>2</v>
      </c>
      <c r="C1784" s="31">
        <v>9311</v>
      </c>
      <c r="D1784" t="s">
        <v>90</v>
      </c>
      <c r="E1784" t="s">
        <v>109</v>
      </c>
      <c r="F1784">
        <v>1</v>
      </c>
      <c r="G1784" t="s">
        <v>59</v>
      </c>
      <c r="H1784" t="s">
        <v>112</v>
      </c>
      <c r="I1784">
        <v>1</v>
      </c>
      <c r="J1784" s="19">
        <f>WEEKNUM(tblRidershipData[[#This Row],[MeasurementDate]])</f>
        <v>46</v>
      </c>
      <c r="K1784" s="19">
        <f>MONTH(tblRidershipData[[#This Row],[MeasurementDate]])</f>
        <v>11</v>
      </c>
    </row>
    <row r="1785" spans="1:11" x14ac:dyDescent="0.25">
      <c r="A1785" s="31">
        <v>43780</v>
      </c>
      <c r="B1785" t="s">
        <v>2</v>
      </c>
      <c r="C1785" s="31">
        <v>9311</v>
      </c>
      <c r="D1785" t="s">
        <v>90</v>
      </c>
      <c r="E1785" t="s">
        <v>109</v>
      </c>
      <c r="F1785">
        <v>1</v>
      </c>
      <c r="G1785" t="s">
        <v>60</v>
      </c>
      <c r="H1785" t="s">
        <v>112</v>
      </c>
      <c r="I1785">
        <v>5</v>
      </c>
      <c r="J1785" s="19">
        <f>WEEKNUM(tblRidershipData[[#This Row],[MeasurementDate]])</f>
        <v>46</v>
      </c>
      <c r="K1785" s="19">
        <f>MONTH(tblRidershipData[[#This Row],[MeasurementDate]])</f>
        <v>11</v>
      </c>
    </row>
    <row r="1786" spans="1:11" x14ac:dyDescent="0.25">
      <c r="A1786" s="31">
        <v>43780</v>
      </c>
      <c r="B1786" t="s">
        <v>2</v>
      </c>
      <c r="C1786" s="31">
        <v>9311</v>
      </c>
      <c r="D1786" t="s">
        <v>90</v>
      </c>
      <c r="E1786" t="s">
        <v>109</v>
      </c>
      <c r="F1786">
        <v>1</v>
      </c>
      <c r="G1786" t="s">
        <v>66</v>
      </c>
      <c r="H1786" t="s">
        <v>112</v>
      </c>
      <c r="I1786">
        <v>6</v>
      </c>
      <c r="J1786" s="19">
        <f>WEEKNUM(tblRidershipData[[#This Row],[MeasurementDate]])</f>
        <v>46</v>
      </c>
      <c r="K1786" s="19">
        <f>MONTH(tblRidershipData[[#This Row],[MeasurementDate]])</f>
        <v>11</v>
      </c>
    </row>
    <row r="1787" spans="1:11" x14ac:dyDescent="0.25">
      <c r="A1787" s="31">
        <v>43780</v>
      </c>
      <c r="B1787" t="s">
        <v>2</v>
      </c>
      <c r="C1787" s="31">
        <v>9311</v>
      </c>
      <c r="D1787" t="s">
        <v>90</v>
      </c>
      <c r="E1787" t="s">
        <v>109</v>
      </c>
      <c r="F1787">
        <v>1</v>
      </c>
      <c r="G1787" t="s">
        <v>69</v>
      </c>
      <c r="H1787" t="s">
        <v>112</v>
      </c>
      <c r="I1787">
        <v>2</v>
      </c>
      <c r="J1787" s="19">
        <f>WEEKNUM(tblRidershipData[[#This Row],[MeasurementDate]])</f>
        <v>46</v>
      </c>
      <c r="K1787" s="19">
        <f>MONTH(tblRidershipData[[#This Row],[MeasurementDate]])</f>
        <v>11</v>
      </c>
    </row>
    <row r="1788" spans="1:11" x14ac:dyDescent="0.25">
      <c r="A1788" s="31">
        <v>43780</v>
      </c>
      <c r="B1788" t="s">
        <v>2</v>
      </c>
      <c r="C1788" s="31">
        <v>9311</v>
      </c>
      <c r="D1788" t="s">
        <v>90</v>
      </c>
      <c r="E1788" t="s">
        <v>109</v>
      </c>
      <c r="F1788">
        <v>1</v>
      </c>
      <c r="G1788" t="s">
        <v>70</v>
      </c>
      <c r="H1788" t="s">
        <v>112</v>
      </c>
      <c r="I1788">
        <v>6</v>
      </c>
      <c r="J1788" s="19">
        <f>WEEKNUM(tblRidershipData[[#This Row],[MeasurementDate]])</f>
        <v>46</v>
      </c>
      <c r="K1788" s="19">
        <f>MONTH(tblRidershipData[[#This Row],[MeasurementDate]])</f>
        <v>11</v>
      </c>
    </row>
    <row r="1789" spans="1:11" x14ac:dyDescent="0.25">
      <c r="A1789" s="31">
        <v>43780</v>
      </c>
      <c r="B1789" t="s">
        <v>2</v>
      </c>
      <c r="C1789" s="31">
        <v>9311</v>
      </c>
      <c r="D1789" t="s">
        <v>90</v>
      </c>
      <c r="E1789" t="s">
        <v>109</v>
      </c>
      <c r="F1789">
        <v>1</v>
      </c>
      <c r="G1789" t="s">
        <v>71</v>
      </c>
      <c r="H1789" t="s">
        <v>112</v>
      </c>
      <c r="I1789">
        <v>1</v>
      </c>
      <c r="J1789" s="19">
        <f>WEEKNUM(tblRidershipData[[#This Row],[MeasurementDate]])</f>
        <v>46</v>
      </c>
      <c r="K1789" s="19">
        <f>MONTH(tblRidershipData[[#This Row],[MeasurementDate]])</f>
        <v>11</v>
      </c>
    </row>
    <row r="1790" spans="1:11" x14ac:dyDescent="0.25">
      <c r="A1790" s="31">
        <v>43780</v>
      </c>
      <c r="B1790" t="s">
        <v>2</v>
      </c>
      <c r="C1790" s="31">
        <v>9311</v>
      </c>
      <c r="D1790" t="s">
        <v>90</v>
      </c>
      <c r="E1790" t="s">
        <v>109</v>
      </c>
      <c r="F1790">
        <v>1</v>
      </c>
      <c r="G1790" t="s">
        <v>76</v>
      </c>
      <c r="H1790" t="s">
        <v>112</v>
      </c>
      <c r="I1790">
        <v>2</v>
      </c>
      <c r="J1790" s="19">
        <f>WEEKNUM(tblRidershipData[[#This Row],[MeasurementDate]])</f>
        <v>46</v>
      </c>
      <c r="K1790" s="19">
        <f>MONTH(tblRidershipData[[#This Row],[MeasurementDate]])</f>
        <v>11</v>
      </c>
    </row>
    <row r="1791" spans="1:11" x14ac:dyDescent="0.25">
      <c r="A1791" s="31">
        <v>43780</v>
      </c>
      <c r="B1791" t="s">
        <v>2</v>
      </c>
      <c r="C1791" s="31">
        <v>9311</v>
      </c>
      <c r="D1791" t="s">
        <v>90</v>
      </c>
      <c r="E1791" t="s">
        <v>109</v>
      </c>
      <c r="F1791">
        <v>2</v>
      </c>
      <c r="G1791" t="s">
        <v>43</v>
      </c>
      <c r="H1791" t="s">
        <v>112</v>
      </c>
      <c r="I1791">
        <v>2</v>
      </c>
      <c r="J1791" s="19">
        <f>WEEKNUM(tblRidershipData[[#This Row],[MeasurementDate]])</f>
        <v>46</v>
      </c>
      <c r="K1791" s="19">
        <f>MONTH(tblRidershipData[[#This Row],[MeasurementDate]])</f>
        <v>11</v>
      </c>
    </row>
    <row r="1792" spans="1:11" x14ac:dyDescent="0.25">
      <c r="A1792" s="31">
        <v>43780</v>
      </c>
      <c r="B1792" t="s">
        <v>2</v>
      </c>
      <c r="C1792" s="31">
        <v>9311</v>
      </c>
      <c r="D1792" t="s">
        <v>90</v>
      </c>
      <c r="E1792" t="s">
        <v>109</v>
      </c>
      <c r="F1792">
        <v>2</v>
      </c>
      <c r="G1792" t="s">
        <v>44</v>
      </c>
      <c r="H1792" t="s">
        <v>112</v>
      </c>
      <c r="I1792">
        <v>2</v>
      </c>
      <c r="J1792" s="19">
        <f>WEEKNUM(tblRidershipData[[#This Row],[MeasurementDate]])</f>
        <v>46</v>
      </c>
      <c r="K1792" s="19">
        <f>MONTH(tblRidershipData[[#This Row],[MeasurementDate]])</f>
        <v>11</v>
      </c>
    </row>
    <row r="1793" spans="1:11" x14ac:dyDescent="0.25">
      <c r="A1793" s="31">
        <v>43780</v>
      </c>
      <c r="B1793" t="s">
        <v>2</v>
      </c>
      <c r="C1793" s="31">
        <v>9311</v>
      </c>
      <c r="D1793" t="s">
        <v>90</v>
      </c>
      <c r="E1793" t="s">
        <v>109</v>
      </c>
      <c r="F1793">
        <v>2</v>
      </c>
      <c r="G1793" t="s">
        <v>66</v>
      </c>
      <c r="H1793" t="s">
        <v>112</v>
      </c>
      <c r="I1793">
        <v>3</v>
      </c>
      <c r="J1793" s="19">
        <f>WEEKNUM(tblRidershipData[[#This Row],[MeasurementDate]])</f>
        <v>46</v>
      </c>
      <c r="K1793" s="19">
        <f>MONTH(tblRidershipData[[#This Row],[MeasurementDate]])</f>
        <v>11</v>
      </c>
    </row>
    <row r="1794" spans="1:11" x14ac:dyDescent="0.25">
      <c r="A1794" s="31">
        <v>43780</v>
      </c>
      <c r="B1794" t="s">
        <v>2</v>
      </c>
      <c r="C1794" s="31">
        <v>9311</v>
      </c>
      <c r="D1794" t="s">
        <v>90</v>
      </c>
      <c r="E1794" t="s">
        <v>109</v>
      </c>
      <c r="F1794">
        <v>2</v>
      </c>
      <c r="G1794" t="s">
        <v>69</v>
      </c>
      <c r="H1794" t="s">
        <v>112</v>
      </c>
      <c r="I1794">
        <v>1</v>
      </c>
      <c r="J1794" s="19">
        <f>WEEKNUM(tblRidershipData[[#This Row],[MeasurementDate]])</f>
        <v>46</v>
      </c>
      <c r="K1794" s="19">
        <f>MONTH(tblRidershipData[[#This Row],[MeasurementDate]])</f>
        <v>11</v>
      </c>
    </row>
    <row r="1795" spans="1:11" x14ac:dyDescent="0.25">
      <c r="A1795" s="31">
        <v>43780</v>
      </c>
      <c r="B1795" t="s">
        <v>2</v>
      </c>
      <c r="C1795" s="31">
        <v>9311</v>
      </c>
      <c r="D1795" t="s">
        <v>90</v>
      </c>
      <c r="E1795" t="s">
        <v>109</v>
      </c>
      <c r="F1795">
        <v>2</v>
      </c>
      <c r="G1795" t="s">
        <v>70</v>
      </c>
      <c r="H1795" t="s">
        <v>112</v>
      </c>
      <c r="I1795">
        <v>1</v>
      </c>
      <c r="J1795" s="19">
        <f>WEEKNUM(tblRidershipData[[#This Row],[MeasurementDate]])</f>
        <v>46</v>
      </c>
      <c r="K1795" s="19">
        <f>MONTH(tblRidershipData[[#This Row],[MeasurementDate]])</f>
        <v>11</v>
      </c>
    </row>
    <row r="1796" spans="1:11" x14ac:dyDescent="0.25">
      <c r="A1796" s="31">
        <v>43780</v>
      </c>
      <c r="B1796" t="s">
        <v>2</v>
      </c>
      <c r="C1796" s="31">
        <v>9311</v>
      </c>
      <c r="D1796" t="s">
        <v>90</v>
      </c>
      <c r="E1796" t="s">
        <v>109</v>
      </c>
      <c r="F1796">
        <v>2</v>
      </c>
      <c r="G1796" t="s">
        <v>71</v>
      </c>
      <c r="H1796" t="s">
        <v>112</v>
      </c>
      <c r="I1796">
        <v>1</v>
      </c>
      <c r="J1796" s="19">
        <f>WEEKNUM(tblRidershipData[[#This Row],[MeasurementDate]])</f>
        <v>46</v>
      </c>
      <c r="K1796" s="19">
        <f>MONTH(tblRidershipData[[#This Row],[MeasurementDate]])</f>
        <v>11</v>
      </c>
    </row>
    <row r="1797" spans="1:11" x14ac:dyDescent="0.25">
      <c r="A1797" s="31">
        <v>43780</v>
      </c>
      <c r="B1797" t="s">
        <v>2</v>
      </c>
      <c r="C1797" s="31">
        <v>9313</v>
      </c>
      <c r="D1797" t="s">
        <v>89</v>
      </c>
      <c r="E1797" t="s">
        <v>109</v>
      </c>
      <c r="F1797">
        <v>1</v>
      </c>
      <c r="G1797" t="s">
        <v>43</v>
      </c>
      <c r="H1797" t="s">
        <v>112</v>
      </c>
      <c r="I1797">
        <v>4</v>
      </c>
      <c r="J1797" s="19">
        <f>WEEKNUM(tblRidershipData[[#This Row],[MeasurementDate]])</f>
        <v>46</v>
      </c>
      <c r="K1797" s="19">
        <f>MONTH(tblRidershipData[[#This Row],[MeasurementDate]])</f>
        <v>11</v>
      </c>
    </row>
    <row r="1798" spans="1:11" x14ac:dyDescent="0.25">
      <c r="A1798" s="31">
        <v>43780</v>
      </c>
      <c r="B1798" t="s">
        <v>2</v>
      </c>
      <c r="C1798" s="31">
        <v>9313</v>
      </c>
      <c r="D1798" t="s">
        <v>89</v>
      </c>
      <c r="E1798" t="s">
        <v>109</v>
      </c>
      <c r="F1798">
        <v>1</v>
      </c>
      <c r="G1798" t="s">
        <v>44</v>
      </c>
      <c r="H1798" t="s">
        <v>112</v>
      </c>
      <c r="I1798">
        <v>3</v>
      </c>
      <c r="J1798" s="19">
        <f>WEEKNUM(tblRidershipData[[#This Row],[MeasurementDate]])</f>
        <v>46</v>
      </c>
      <c r="K1798" s="19">
        <f>MONTH(tblRidershipData[[#This Row],[MeasurementDate]])</f>
        <v>11</v>
      </c>
    </row>
    <row r="1799" spans="1:11" x14ac:dyDescent="0.25">
      <c r="A1799" s="31">
        <v>43780</v>
      </c>
      <c r="B1799" t="s">
        <v>2</v>
      </c>
      <c r="C1799" s="31">
        <v>9313</v>
      </c>
      <c r="D1799" t="s">
        <v>89</v>
      </c>
      <c r="E1799" t="s">
        <v>109</v>
      </c>
      <c r="F1799">
        <v>1</v>
      </c>
      <c r="G1799" t="s">
        <v>46</v>
      </c>
      <c r="H1799" t="s">
        <v>112</v>
      </c>
      <c r="I1799">
        <v>2</v>
      </c>
      <c r="J1799" s="19">
        <f>WEEKNUM(tblRidershipData[[#This Row],[MeasurementDate]])</f>
        <v>46</v>
      </c>
      <c r="K1799" s="19">
        <f>MONTH(tblRidershipData[[#This Row],[MeasurementDate]])</f>
        <v>11</v>
      </c>
    </row>
    <row r="1800" spans="1:11" x14ac:dyDescent="0.25">
      <c r="A1800" s="31">
        <v>43780</v>
      </c>
      <c r="B1800" t="s">
        <v>2</v>
      </c>
      <c r="C1800" s="31">
        <v>9313</v>
      </c>
      <c r="D1800" t="s">
        <v>89</v>
      </c>
      <c r="E1800" t="s">
        <v>109</v>
      </c>
      <c r="F1800">
        <v>1</v>
      </c>
      <c r="G1800" t="s">
        <v>55</v>
      </c>
      <c r="H1800" t="s">
        <v>112</v>
      </c>
      <c r="I1800">
        <v>4</v>
      </c>
      <c r="J1800" s="19">
        <f>WEEKNUM(tblRidershipData[[#This Row],[MeasurementDate]])</f>
        <v>46</v>
      </c>
      <c r="K1800" s="19">
        <f>MONTH(tblRidershipData[[#This Row],[MeasurementDate]])</f>
        <v>11</v>
      </c>
    </row>
    <row r="1801" spans="1:11" x14ac:dyDescent="0.25">
      <c r="A1801" s="31">
        <v>43780</v>
      </c>
      <c r="B1801" t="s">
        <v>2</v>
      </c>
      <c r="C1801" s="31">
        <v>9313</v>
      </c>
      <c r="D1801" t="s">
        <v>89</v>
      </c>
      <c r="E1801" t="s">
        <v>109</v>
      </c>
      <c r="F1801">
        <v>1</v>
      </c>
      <c r="G1801" t="s">
        <v>60</v>
      </c>
      <c r="H1801" t="s">
        <v>112</v>
      </c>
      <c r="I1801">
        <v>12</v>
      </c>
      <c r="J1801" s="19">
        <f>WEEKNUM(tblRidershipData[[#This Row],[MeasurementDate]])</f>
        <v>46</v>
      </c>
      <c r="K1801" s="19">
        <f>MONTH(tblRidershipData[[#This Row],[MeasurementDate]])</f>
        <v>11</v>
      </c>
    </row>
    <row r="1802" spans="1:11" x14ac:dyDescent="0.25">
      <c r="A1802" s="31">
        <v>43780</v>
      </c>
      <c r="B1802" t="s">
        <v>2</v>
      </c>
      <c r="C1802" s="31">
        <v>9313</v>
      </c>
      <c r="D1802" t="s">
        <v>89</v>
      </c>
      <c r="E1802" t="s">
        <v>109</v>
      </c>
      <c r="F1802">
        <v>1</v>
      </c>
      <c r="G1802" t="s">
        <v>66</v>
      </c>
      <c r="H1802" t="s">
        <v>112</v>
      </c>
      <c r="I1802">
        <v>3</v>
      </c>
      <c r="J1802" s="19">
        <f>WEEKNUM(tblRidershipData[[#This Row],[MeasurementDate]])</f>
        <v>46</v>
      </c>
      <c r="K1802" s="19">
        <f>MONTH(tblRidershipData[[#This Row],[MeasurementDate]])</f>
        <v>11</v>
      </c>
    </row>
    <row r="1803" spans="1:11" x14ac:dyDescent="0.25">
      <c r="A1803" s="31">
        <v>43780</v>
      </c>
      <c r="B1803" t="s">
        <v>2</v>
      </c>
      <c r="C1803" s="31">
        <v>9313</v>
      </c>
      <c r="D1803" t="s">
        <v>89</v>
      </c>
      <c r="E1803" t="s">
        <v>109</v>
      </c>
      <c r="F1803">
        <v>1</v>
      </c>
      <c r="G1803" t="s">
        <v>70</v>
      </c>
      <c r="H1803" t="s">
        <v>112</v>
      </c>
      <c r="I1803">
        <v>20</v>
      </c>
      <c r="J1803" s="19">
        <f>WEEKNUM(tblRidershipData[[#This Row],[MeasurementDate]])</f>
        <v>46</v>
      </c>
      <c r="K1803" s="19">
        <f>MONTH(tblRidershipData[[#This Row],[MeasurementDate]])</f>
        <v>11</v>
      </c>
    </row>
    <row r="1804" spans="1:11" x14ac:dyDescent="0.25">
      <c r="A1804" s="31">
        <v>43780</v>
      </c>
      <c r="B1804" t="s">
        <v>2</v>
      </c>
      <c r="C1804" s="31">
        <v>9313</v>
      </c>
      <c r="D1804" t="s">
        <v>89</v>
      </c>
      <c r="E1804" t="s">
        <v>109</v>
      </c>
      <c r="F1804">
        <v>1</v>
      </c>
      <c r="G1804" t="s">
        <v>71</v>
      </c>
      <c r="H1804" t="s">
        <v>112</v>
      </c>
      <c r="I1804">
        <v>4</v>
      </c>
      <c r="J1804" s="19">
        <f>WEEKNUM(tblRidershipData[[#This Row],[MeasurementDate]])</f>
        <v>46</v>
      </c>
      <c r="K1804" s="19">
        <f>MONTH(tblRidershipData[[#This Row],[MeasurementDate]])</f>
        <v>11</v>
      </c>
    </row>
    <row r="1805" spans="1:11" x14ac:dyDescent="0.25">
      <c r="A1805" s="31">
        <v>43780</v>
      </c>
      <c r="B1805" t="s">
        <v>2</v>
      </c>
      <c r="C1805" s="31">
        <v>9313</v>
      </c>
      <c r="D1805" t="s">
        <v>89</v>
      </c>
      <c r="E1805" t="s">
        <v>109</v>
      </c>
      <c r="F1805">
        <v>1</v>
      </c>
      <c r="G1805" t="s">
        <v>76</v>
      </c>
      <c r="H1805" t="s">
        <v>112</v>
      </c>
      <c r="I1805">
        <v>10</v>
      </c>
      <c r="J1805" s="19">
        <f>WEEKNUM(tblRidershipData[[#This Row],[MeasurementDate]])</f>
        <v>46</v>
      </c>
      <c r="K1805" s="19">
        <f>MONTH(tblRidershipData[[#This Row],[MeasurementDate]])</f>
        <v>11</v>
      </c>
    </row>
    <row r="1806" spans="1:11" x14ac:dyDescent="0.25">
      <c r="A1806" s="31">
        <v>43780</v>
      </c>
      <c r="B1806" t="s">
        <v>2</v>
      </c>
      <c r="C1806" s="31">
        <v>9318</v>
      </c>
      <c r="D1806" t="s">
        <v>86</v>
      </c>
      <c r="E1806" t="s">
        <v>111</v>
      </c>
      <c r="F1806">
        <v>1</v>
      </c>
      <c r="G1806" t="s">
        <v>43</v>
      </c>
      <c r="H1806" t="s">
        <v>110</v>
      </c>
      <c r="I1806">
        <v>2</v>
      </c>
      <c r="J1806" s="19">
        <f>WEEKNUM(tblRidershipData[[#This Row],[MeasurementDate]])</f>
        <v>46</v>
      </c>
      <c r="K1806" s="19">
        <f>MONTH(tblRidershipData[[#This Row],[MeasurementDate]])</f>
        <v>11</v>
      </c>
    </row>
    <row r="1807" spans="1:11" x14ac:dyDescent="0.25">
      <c r="A1807" s="31">
        <v>43780</v>
      </c>
      <c r="B1807" t="s">
        <v>2</v>
      </c>
      <c r="C1807" s="31">
        <v>9318</v>
      </c>
      <c r="D1807" t="s">
        <v>86</v>
      </c>
      <c r="E1807" t="s">
        <v>111</v>
      </c>
      <c r="F1807">
        <v>1</v>
      </c>
      <c r="G1807" t="s">
        <v>64</v>
      </c>
      <c r="H1807" t="s">
        <v>110</v>
      </c>
      <c r="I1807">
        <v>2</v>
      </c>
      <c r="J1807" s="19">
        <f>WEEKNUM(tblRidershipData[[#This Row],[MeasurementDate]])</f>
        <v>46</v>
      </c>
      <c r="K1807" s="19">
        <f>MONTH(tblRidershipData[[#This Row],[MeasurementDate]])</f>
        <v>11</v>
      </c>
    </row>
    <row r="1808" spans="1:11" x14ac:dyDescent="0.25">
      <c r="A1808" s="31">
        <v>43780</v>
      </c>
      <c r="B1808" t="s">
        <v>2</v>
      </c>
      <c r="C1808" s="31">
        <v>9318</v>
      </c>
      <c r="D1808" t="s">
        <v>86</v>
      </c>
      <c r="E1808" t="s">
        <v>111</v>
      </c>
      <c r="F1808">
        <v>1</v>
      </c>
      <c r="G1808" t="s">
        <v>66</v>
      </c>
      <c r="H1808" t="s">
        <v>110</v>
      </c>
      <c r="I1808">
        <v>3</v>
      </c>
      <c r="J1808" s="19">
        <f>WEEKNUM(tblRidershipData[[#This Row],[MeasurementDate]])</f>
        <v>46</v>
      </c>
      <c r="K1808" s="19">
        <f>MONTH(tblRidershipData[[#This Row],[MeasurementDate]])</f>
        <v>11</v>
      </c>
    </row>
    <row r="1809" spans="1:11" x14ac:dyDescent="0.25">
      <c r="A1809" s="31">
        <v>43780</v>
      </c>
      <c r="B1809" t="s">
        <v>2</v>
      </c>
      <c r="C1809" s="31">
        <v>9318</v>
      </c>
      <c r="D1809" t="s">
        <v>86</v>
      </c>
      <c r="E1809" t="s">
        <v>111</v>
      </c>
      <c r="F1809">
        <v>1</v>
      </c>
      <c r="G1809" t="s">
        <v>69</v>
      </c>
      <c r="H1809" t="s">
        <v>110</v>
      </c>
      <c r="I1809">
        <v>3</v>
      </c>
      <c r="J1809" s="19">
        <f>WEEKNUM(tblRidershipData[[#This Row],[MeasurementDate]])</f>
        <v>46</v>
      </c>
      <c r="K1809" s="19">
        <f>MONTH(tblRidershipData[[#This Row],[MeasurementDate]])</f>
        <v>11</v>
      </c>
    </row>
    <row r="1810" spans="1:11" x14ac:dyDescent="0.25">
      <c r="A1810" s="31">
        <v>43780</v>
      </c>
      <c r="B1810" t="s">
        <v>2</v>
      </c>
      <c r="C1810" s="31">
        <v>9318</v>
      </c>
      <c r="D1810" t="s">
        <v>86</v>
      </c>
      <c r="E1810" t="s">
        <v>111</v>
      </c>
      <c r="F1810">
        <v>1</v>
      </c>
      <c r="G1810" t="s">
        <v>70</v>
      </c>
      <c r="H1810" t="s">
        <v>110</v>
      </c>
      <c r="I1810">
        <v>2</v>
      </c>
      <c r="J1810" s="19">
        <f>WEEKNUM(tblRidershipData[[#This Row],[MeasurementDate]])</f>
        <v>46</v>
      </c>
      <c r="K1810" s="19">
        <f>MONTH(tblRidershipData[[#This Row],[MeasurementDate]])</f>
        <v>11</v>
      </c>
    </row>
    <row r="1811" spans="1:11" x14ac:dyDescent="0.25">
      <c r="A1811" s="31">
        <v>43780</v>
      </c>
      <c r="B1811" t="s">
        <v>2</v>
      </c>
      <c r="C1811" s="31">
        <v>9318</v>
      </c>
      <c r="D1811" t="s">
        <v>86</v>
      </c>
      <c r="E1811" t="s">
        <v>111</v>
      </c>
      <c r="F1811">
        <v>1</v>
      </c>
      <c r="G1811" t="s">
        <v>71</v>
      </c>
      <c r="H1811" t="s">
        <v>110</v>
      </c>
      <c r="I1811">
        <v>6</v>
      </c>
      <c r="J1811" s="19">
        <f>WEEKNUM(tblRidershipData[[#This Row],[MeasurementDate]])</f>
        <v>46</v>
      </c>
      <c r="K1811" s="19">
        <f>MONTH(tblRidershipData[[#This Row],[MeasurementDate]])</f>
        <v>11</v>
      </c>
    </row>
    <row r="1812" spans="1:11" x14ac:dyDescent="0.25">
      <c r="A1812" s="31">
        <v>43780</v>
      </c>
      <c r="B1812" t="s">
        <v>2</v>
      </c>
      <c r="C1812" s="31">
        <v>9318</v>
      </c>
      <c r="D1812" t="s">
        <v>86</v>
      </c>
      <c r="E1812" t="s">
        <v>109</v>
      </c>
      <c r="F1812">
        <v>1</v>
      </c>
      <c r="G1812" t="s">
        <v>68</v>
      </c>
      <c r="H1812" t="s">
        <v>110</v>
      </c>
      <c r="I1812">
        <v>9</v>
      </c>
      <c r="J1812" s="19">
        <f>WEEKNUM(tblRidershipData[[#This Row],[MeasurementDate]])</f>
        <v>46</v>
      </c>
      <c r="K1812" s="19">
        <f>MONTH(tblRidershipData[[#This Row],[MeasurementDate]])</f>
        <v>11</v>
      </c>
    </row>
    <row r="1813" spans="1:11" x14ac:dyDescent="0.25">
      <c r="A1813" s="31">
        <v>43780</v>
      </c>
      <c r="B1813" t="s">
        <v>2</v>
      </c>
      <c r="C1813" s="31">
        <v>9318</v>
      </c>
      <c r="D1813" t="s">
        <v>86</v>
      </c>
      <c r="E1813" t="s">
        <v>111</v>
      </c>
      <c r="F1813">
        <v>1</v>
      </c>
      <c r="G1813" t="s">
        <v>46</v>
      </c>
      <c r="H1813" t="s">
        <v>112</v>
      </c>
      <c r="I1813">
        <v>2</v>
      </c>
      <c r="J1813" s="19">
        <f>WEEKNUM(tblRidershipData[[#This Row],[MeasurementDate]])</f>
        <v>46</v>
      </c>
      <c r="K1813" s="19">
        <f>MONTH(tblRidershipData[[#This Row],[MeasurementDate]])</f>
        <v>11</v>
      </c>
    </row>
    <row r="1814" spans="1:11" x14ac:dyDescent="0.25">
      <c r="A1814" s="31">
        <v>43780</v>
      </c>
      <c r="B1814" t="s">
        <v>2</v>
      </c>
      <c r="C1814" s="31">
        <v>9318</v>
      </c>
      <c r="D1814" t="s">
        <v>86</v>
      </c>
      <c r="E1814" t="s">
        <v>111</v>
      </c>
      <c r="F1814">
        <v>1</v>
      </c>
      <c r="G1814" t="s">
        <v>54</v>
      </c>
      <c r="H1814" t="s">
        <v>112</v>
      </c>
      <c r="I1814">
        <v>9</v>
      </c>
      <c r="J1814" s="19">
        <f>WEEKNUM(tblRidershipData[[#This Row],[MeasurementDate]])</f>
        <v>46</v>
      </c>
      <c r="K1814" s="19">
        <f>MONTH(tblRidershipData[[#This Row],[MeasurementDate]])</f>
        <v>11</v>
      </c>
    </row>
    <row r="1815" spans="1:11" x14ac:dyDescent="0.25">
      <c r="A1815" s="31">
        <v>43780</v>
      </c>
      <c r="B1815" t="s">
        <v>2</v>
      </c>
      <c r="C1815" s="31">
        <v>9318</v>
      </c>
      <c r="D1815" t="s">
        <v>86</v>
      </c>
      <c r="E1815" t="s">
        <v>111</v>
      </c>
      <c r="F1815">
        <v>1</v>
      </c>
      <c r="G1815" t="s">
        <v>64</v>
      </c>
      <c r="H1815" t="s">
        <v>112</v>
      </c>
      <c r="I1815">
        <v>2</v>
      </c>
      <c r="J1815" s="19">
        <f>WEEKNUM(tblRidershipData[[#This Row],[MeasurementDate]])</f>
        <v>46</v>
      </c>
      <c r="K1815" s="19">
        <f>MONTH(tblRidershipData[[#This Row],[MeasurementDate]])</f>
        <v>11</v>
      </c>
    </row>
    <row r="1816" spans="1:11" x14ac:dyDescent="0.25">
      <c r="A1816" s="31">
        <v>43780</v>
      </c>
      <c r="B1816" t="s">
        <v>2</v>
      </c>
      <c r="C1816" s="31">
        <v>9318</v>
      </c>
      <c r="D1816" t="s">
        <v>86</v>
      </c>
      <c r="E1816" t="s">
        <v>111</v>
      </c>
      <c r="F1816">
        <v>1</v>
      </c>
      <c r="G1816" t="s">
        <v>70</v>
      </c>
      <c r="H1816" t="s">
        <v>112</v>
      </c>
      <c r="I1816">
        <v>4</v>
      </c>
      <c r="J1816" s="19">
        <f>WEEKNUM(tblRidershipData[[#This Row],[MeasurementDate]])</f>
        <v>46</v>
      </c>
      <c r="K1816" s="19">
        <f>MONTH(tblRidershipData[[#This Row],[MeasurementDate]])</f>
        <v>11</v>
      </c>
    </row>
    <row r="1817" spans="1:11" x14ac:dyDescent="0.25">
      <c r="A1817" s="31">
        <v>43780</v>
      </c>
      <c r="B1817" t="s">
        <v>2</v>
      </c>
      <c r="C1817" s="31">
        <v>9318</v>
      </c>
      <c r="D1817" t="s">
        <v>86</v>
      </c>
      <c r="E1817" t="s">
        <v>111</v>
      </c>
      <c r="F1817">
        <v>1</v>
      </c>
      <c r="G1817" t="s">
        <v>73</v>
      </c>
      <c r="H1817" t="s">
        <v>112</v>
      </c>
      <c r="I1817">
        <v>2</v>
      </c>
      <c r="J1817" s="19">
        <f>WEEKNUM(tblRidershipData[[#This Row],[MeasurementDate]])</f>
        <v>46</v>
      </c>
      <c r="K1817" s="19">
        <f>MONTH(tblRidershipData[[#This Row],[MeasurementDate]])</f>
        <v>11</v>
      </c>
    </row>
    <row r="1818" spans="1:11" x14ac:dyDescent="0.25">
      <c r="A1818" s="31">
        <v>43780</v>
      </c>
      <c r="B1818" t="s">
        <v>2</v>
      </c>
      <c r="C1818" s="31">
        <v>9318</v>
      </c>
      <c r="D1818" t="s">
        <v>86</v>
      </c>
      <c r="E1818" t="s">
        <v>109</v>
      </c>
      <c r="F1818">
        <v>1</v>
      </c>
      <c r="G1818" t="s">
        <v>43</v>
      </c>
      <c r="H1818" t="s">
        <v>112</v>
      </c>
      <c r="I1818">
        <v>3</v>
      </c>
      <c r="J1818" s="19">
        <f>WEEKNUM(tblRidershipData[[#This Row],[MeasurementDate]])</f>
        <v>46</v>
      </c>
      <c r="K1818" s="19">
        <f>MONTH(tblRidershipData[[#This Row],[MeasurementDate]])</f>
        <v>11</v>
      </c>
    </row>
    <row r="1819" spans="1:11" x14ac:dyDescent="0.25">
      <c r="A1819" s="31">
        <v>43780</v>
      </c>
      <c r="B1819" t="s">
        <v>2</v>
      </c>
      <c r="C1819" s="31">
        <v>9318</v>
      </c>
      <c r="D1819" t="s">
        <v>86</v>
      </c>
      <c r="E1819" t="s">
        <v>109</v>
      </c>
      <c r="F1819">
        <v>1</v>
      </c>
      <c r="G1819" t="s">
        <v>44</v>
      </c>
      <c r="H1819" t="s">
        <v>112</v>
      </c>
      <c r="I1819">
        <v>1</v>
      </c>
      <c r="J1819" s="19">
        <f>WEEKNUM(tblRidershipData[[#This Row],[MeasurementDate]])</f>
        <v>46</v>
      </c>
      <c r="K1819" s="19">
        <f>MONTH(tblRidershipData[[#This Row],[MeasurementDate]])</f>
        <v>11</v>
      </c>
    </row>
    <row r="1820" spans="1:11" x14ac:dyDescent="0.25">
      <c r="A1820" s="31">
        <v>43780</v>
      </c>
      <c r="B1820" t="s">
        <v>2</v>
      </c>
      <c r="C1820" s="31">
        <v>9318</v>
      </c>
      <c r="D1820" t="s">
        <v>86</v>
      </c>
      <c r="E1820" t="s">
        <v>109</v>
      </c>
      <c r="F1820">
        <v>1</v>
      </c>
      <c r="G1820" t="s">
        <v>57</v>
      </c>
      <c r="H1820" t="s">
        <v>112</v>
      </c>
      <c r="I1820">
        <v>3</v>
      </c>
      <c r="J1820" s="19">
        <f>WEEKNUM(tblRidershipData[[#This Row],[MeasurementDate]])</f>
        <v>46</v>
      </c>
      <c r="K1820" s="19">
        <f>MONTH(tblRidershipData[[#This Row],[MeasurementDate]])</f>
        <v>11</v>
      </c>
    </row>
    <row r="1821" spans="1:11" x14ac:dyDescent="0.25">
      <c r="A1821" s="31">
        <v>43780</v>
      </c>
      <c r="B1821" t="s">
        <v>2</v>
      </c>
      <c r="C1821" s="31">
        <v>9318</v>
      </c>
      <c r="D1821" t="s">
        <v>86</v>
      </c>
      <c r="E1821" t="s">
        <v>109</v>
      </c>
      <c r="F1821">
        <v>1</v>
      </c>
      <c r="G1821" t="s">
        <v>60</v>
      </c>
      <c r="H1821" t="s">
        <v>112</v>
      </c>
      <c r="I1821">
        <v>1</v>
      </c>
      <c r="J1821" s="19">
        <f>WEEKNUM(tblRidershipData[[#This Row],[MeasurementDate]])</f>
        <v>46</v>
      </c>
      <c r="K1821" s="19">
        <f>MONTH(tblRidershipData[[#This Row],[MeasurementDate]])</f>
        <v>11</v>
      </c>
    </row>
    <row r="1822" spans="1:11" x14ac:dyDescent="0.25">
      <c r="A1822" s="31">
        <v>43780</v>
      </c>
      <c r="B1822" t="s">
        <v>2</v>
      </c>
      <c r="C1822" s="31">
        <v>9318</v>
      </c>
      <c r="D1822" t="s">
        <v>86</v>
      </c>
      <c r="E1822" t="s">
        <v>109</v>
      </c>
      <c r="F1822">
        <v>1</v>
      </c>
      <c r="G1822" t="s">
        <v>69</v>
      </c>
      <c r="H1822" t="s">
        <v>112</v>
      </c>
      <c r="I1822">
        <v>1</v>
      </c>
      <c r="J1822" s="19">
        <f>WEEKNUM(tblRidershipData[[#This Row],[MeasurementDate]])</f>
        <v>46</v>
      </c>
      <c r="K1822" s="19">
        <f>MONTH(tblRidershipData[[#This Row],[MeasurementDate]])</f>
        <v>11</v>
      </c>
    </row>
    <row r="1823" spans="1:11" x14ac:dyDescent="0.25">
      <c r="A1823" s="31">
        <v>43780</v>
      </c>
      <c r="B1823" t="s">
        <v>2</v>
      </c>
      <c r="C1823" s="31">
        <v>4503</v>
      </c>
      <c r="D1823" t="s">
        <v>84</v>
      </c>
      <c r="E1823" t="s">
        <v>109</v>
      </c>
      <c r="F1823">
        <v>1</v>
      </c>
      <c r="G1823" t="s">
        <v>46</v>
      </c>
      <c r="H1823" t="s">
        <v>110</v>
      </c>
      <c r="I1823">
        <v>6</v>
      </c>
      <c r="J1823" s="19">
        <f>WEEKNUM(tblRidershipData[[#This Row],[MeasurementDate]])</f>
        <v>46</v>
      </c>
      <c r="K1823" s="19">
        <f>MONTH(tblRidershipData[[#This Row],[MeasurementDate]])</f>
        <v>11</v>
      </c>
    </row>
    <row r="1824" spans="1:11" x14ac:dyDescent="0.25">
      <c r="A1824" s="31">
        <v>43780</v>
      </c>
      <c r="B1824" t="s">
        <v>2</v>
      </c>
      <c r="C1824" s="31">
        <v>4503</v>
      </c>
      <c r="D1824" t="s">
        <v>84</v>
      </c>
      <c r="E1824" t="s">
        <v>109</v>
      </c>
      <c r="F1824">
        <v>1</v>
      </c>
      <c r="G1824" t="s">
        <v>69</v>
      </c>
      <c r="H1824" t="s">
        <v>110</v>
      </c>
      <c r="I1824">
        <v>16</v>
      </c>
      <c r="J1824" s="19">
        <f>WEEKNUM(tblRidershipData[[#This Row],[MeasurementDate]])</f>
        <v>46</v>
      </c>
      <c r="K1824" s="19">
        <f>MONTH(tblRidershipData[[#This Row],[MeasurementDate]])</f>
        <v>11</v>
      </c>
    </row>
    <row r="1825" spans="1:11" x14ac:dyDescent="0.25">
      <c r="A1825" s="31">
        <v>43780</v>
      </c>
      <c r="B1825" t="s">
        <v>2</v>
      </c>
      <c r="C1825" s="31">
        <v>4503</v>
      </c>
      <c r="D1825" t="s">
        <v>84</v>
      </c>
      <c r="E1825" t="s">
        <v>109</v>
      </c>
      <c r="F1825">
        <v>1</v>
      </c>
      <c r="G1825" t="s">
        <v>70</v>
      </c>
      <c r="H1825" t="s">
        <v>110</v>
      </c>
      <c r="I1825">
        <v>11</v>
      </c>
      <c r="J1825" s="19">
        <f>WEEKNUM(tblRidershipData[[#This Row],[MeasurementDate]])</f>
        <v>46</v>
      </c>
      <c r="K1825" s="19">
        <f>MONTH(tblRidershipData[[#This Row],[MeasurementDate]])</f>
        <v>11</v>
      </c>
    </row>
    <row r="1826" spans="1:11" x14ac:dyDescent="0.25">
      <c r="A1826" s="31">
        <v>43780</v>
      </c>
      <c r="B1826" t="s">
        <v>2</v>
      </c>
      <c r="C1826" s="31">
        <v>4503</v>
      </c>
      <c r="D1826" t="s">
        <v>84</v>
      </c>
      <c r="E1826" t="s">
        <v>109</v>
      </c>
      <c r="F1826">
        <v>1</v>
      </c>
      <c r="G1826" t="s">
        <v>74</v>
      </c>
      <c r="H1826" t="s">
        <v>110</v>
      </c>
      <c r="I1826">
        <v>19</v>
      </c>
      <c r="J1826" s="19">
        <f>WEEKNUM(tblRidershipData[[#This Row],[MeasurementDate]])</f>
        <v>46</v>
      </c>
      <c r="K1826" s="19">
        <f>MONTH(tblRidershipData[[#This Row],[MeasurementDate]])</f>
        <v>11</v>
      </c>
    </row>
    <row r="1827" spans="1:11" x14ac:dyDescent="0.25">
      <c r="A1827" s="31">
        <v>43780</v>
      </c>
      <c r="B1827" t="s">
        <v>2</v>
      </c>
      <c r="C1827" s="31">
        <v>4503</v>
      </c>
      <c r="D1827" t="s">
        <v>84</v>
      </c>
      <c r="E1827" t="s">
        <v>109</v>
      </c>
      <c r="F1827">
        <v>1</v>
      </c>
      <c r="G1827" t="s">
        <v>75</v>
      </c>
      <c r="H1827" t="s">
        <v>110</v>
      </c>
      <c r="I1827">
        <v>29</v>
      </c>
      <c r="J1827" s="19">
        <f>WEEKNUM(tblRidershipData[[#This Row],[MeasurementDate]])</f>
        <v>46</v>
      </c>
      <c r="K1827" s="19">
        <f>MONTH(tblRidershipData[[#This Row],[MeasurementDate]])</f>
        <v>11</v>
      </c>
    </row>
    <row r="1828" spans="1:11" x14ac:dyDescent="0.25">
      <c r="A1828" s="31">
        <v>43780</v>
      </c>
      <c r="B1828" t="s">
        <v>2</v>
      </c>
      <c r="C1828" s="31">
        <v>9313</v>
      </c>
      <c r="D1828" t="s">
        <v>89</v>
      </c>
      <c r="E1828" t="s">
        <v>111</v>
      </c>
      <c r="F1828">
        <v>1</v>
      </c>
      <c r="G1828" t="s">
        <v>45</v>
      </c>
      <c r="H1828" t="s">
        <v>110</v>
      </c>
      <c r="I1828">
        <v>1</v>
      </c>
      <c r="J1828" s="19">
        <f>WEEKNUM(tblRidershipData[[#This Row],[MeasurementDate]])</f>
        <v>46</v>
      </c>
      <c r="K1828" s="19">
        <f>MONTH(tblRidershipData[[#This Row],[MeasurementDate]])</f>
        <v>11</v>
      </c>
    </row>
    <row r="1829" spans="1:11" x14ac:dyDescent="0.25">
      <c r="A1829" s="31">
        <v>43780</v>
      </c>
      <c r="B1829" t="s">
        <v>2</v>
      </c>
      <c r="C1829" s="31">
        <v>9313</v>
      </c>
      <c r="D1829" t="s">
        <v>89</v>
      </c>
      <c r="E1829" t="s">
        <v>111</v>
      </c>
      <c r="F1829">
        <v>1</v>
      </c>
      <c r="G1829" t="s">
        <v>46</v>
      </c>
      <c r="H1829" t="s">
        <v>110</v>
      </c>
      <c r="I1829">
        <v>1</v>
      </c>
      <c r="J1829" s="19">
        <f>WEEKNUM(tblRidershipData[[#This Row],[MeasurementDate]])</f>
        <v>46</v>
      </c>
      <c r="K1829" s="19">
        <f>MONTH(tblRidershipData[[#This Row],[MeasurementDate]])</f>
        <v>11</v>
      </c>
    </row>
    <row r="1830" spans="1:11" x14ac:dyDescent="0.25">
      <c r="A1830" s="31">
        <v>43780</v>
      </c>
      <c r="B1830" t="s">
        <v>2</v>
      </c>
      <c r="C1830" s="31">
        <v>9313</v>
      </c>
      <c r="D1830" t="s">
        <v>89</v>
      </c>
      <c r="E1830" t="s">
        <v>111</v>
      </c>
      <c r="F1830">
        <v>1</v>
      </c>
      <c r="G1830" t="s">
        <v>47</v>
      </c>
      <c r="H1830" t="s">
        <v>110</v>
      </c>
      <c r="I1830">
        <v>2</v>
      </c>
      <c r="J1830" s="19">
        <f>WEEKNUM(tblRidershipData[[#This Row],[MeasurementDate]])</f>
        <v>46</v>
      </c>
      <c r="K1830" s="19">
        <f>MONTH(tblRidershipData[[#This Row],[MeasurementDate]])</f>
        <v>11</v>
      </c>
    </row>
    <row r="1831" spans="1:11" x14ac:dyDescent="0.25">
      <c r="A1831" s="31">
        <v>43780</v>
      </c>
      <c r="B1831" t="s">
        <v>2</v>
      </c>
      <c r="C1831" s="31">
        <v>9313</v>
      </c>
      <c r="D1831" t="s">
        <v>89</v>
      </c>
      <c r="E1831" t="s">
        <v>111</v>
      </c>
      <c r="F1831">
        <v>1</v>
      </c>
      <c r="G1831" t="s">
        <v>50</v>
      </c>
      <c r="H1831" t="s">
        <v>110</v>
      </c>
      <c r="I1831">
        <v>8</v>
      </c>
      <c r="J1831" s="19">
        <f>WEEKNUM(tblRidershipData[[#This Row],[MeasurementDate]])</f>
        <v>46</v>
      </c>
      <c r="K1831" s="19">
        <f>MONTH(tblRidershipData[[#This Row],[MeasurementDate]])</f>
        <v>11</v>
      </c>
    </row>
    <row r="1832" spans="1:11" x14ac:dyDescent="0.25">
      <c r="A1832" s="31">
        <v>43780</v>
      </c>
      <c r="B1832" t="s">
        <v>2</v>
      </c>
      <c r="C1832" s="31">
        <v>9313</v>
      </c>
      <c r="D1832" t="s">
        <v>89</v>
      </c>
      <c r="E1832" t="s">
        <v>111</v>
      </c>
      <c r="F1832">
        <v>1</v>
      </c>
      <c r="G1832" t="s">
        <v>55</v>
      </c>
      <c r="H1832" t="s">
        <v>110</v>
      </c>
      <c r="I1832">
        <v>1</v>
      </c>
      <c r="J1832" s="19">
        <f>WEEKNUM(tblRidershipData[[#This Row],[MeasurementDate]])</f>
        <v>46</v>
      </c>
      <c r="K1832" s="19">
        <f>MONTH(tblRidershipData[[#This Row],[MeasurementDate]])</f>
        <v>11</v>
      </c>
    </row>
    <row r="1833" spans="1:11" x14ac:dyDescent="0.25">
      <c r="A1833" s="31">
        <v>43780</v>
      </c>
      <c r="B1833" t="s">
        <v>2</v>
      </c>
      <c r="C1833" s="31">
        <v>9313</v>
      </c>
      <c r="D1833" t="s">
        <v>89</v>
      </c>
      <c r="E1833" t="s">
        <v>111</v>
      </c>
      <c r="F1833">
        <v>1</v>
      </c>
      <c r="G1833" t="s">
        <v>58</v>
      </c>
      <c r="H1833" t="s">
        <v>110</v>
      </c>
      <c r="I1833">
        <v>4</v>
      </c>
      <c r="J1833" s="19">
        <f>WEEKNUM(tblRidershipData[[#This Row],[MeasurementDate]])</f>
        <v>46</v>
      </c>
      <c r="K1833" s="19">
        <f>MONTH(tblRidershipData[[#This Row],[MeasurementDate]])</f>
        <v>11</v>
      </c>
    </row>
    <row r="1834" spans="1:11" x14ac:dyDescent="0.25">
      <c r="A1834" s="31">
        <v>43780</v>
      </c>
      <c r="B1834" t="s">
        <v>2</v>
      </c>
      <c r="C1834" s="31">
        <v>9313</v>
      </c>
      <c r="D1834" t="s">
        <v>89</v>
      </c>
      <c r="E1834" t="s">
        <v>111</v>
      </c>
      <c r="F1834">
        <v>1</v>
      </c>
      <c r="G1834" t="s">
        <v>69</v>
      </c>
      <c r="H1834" t="s">
        <v>110</v>
      </c>
      <c r="I1834">
        <v>1</v>
      </c>
      <c r="J1834" s="19">
        <f>WEEKNUM(tblRidershipData[[#This Row],[MeasurementDate]])</f>
        <v>46</v>
      </c>
      <c r="K1834" s="19">
        <f>MONTH(tblRidershipData[[#This Row],[MeasurementDate]])</f>
        <v>11</v>
      </c>
    </row>
    <row r="1835" spans="1:11" x14ac:dyDescent="0.25">
      <c r="A1835" s="31">
        <v>43780</v>
      </c>
      <c r="B1835" t="s">
        <v>2</v>
      </c>
      <c r="C1835" s="31">
        <v>9313</v>
      </c>
      <c r="D1835" t="s">
        <v>89</v>
      </c>
      <c r="E1835" t="s">
        <v>111</v>
      </c>
      <c r="F1835">
        <v>1</v>
      </c>
      <c r="G1835" t="s">
        <v>70</v>
      </c>
      <c r="H1835" t="s">
        <v>110</v>
      </c>
      <c r="I1835">
        <v>1</v>
      </c>
      <c r="J1835" s="19">
        <f>WEEKNUM(tblRidershipData[[#This Row],[MeasurementDate]])</f>
        <v>46</v>
      </c>
      <c r="K1835" s="19">
        <f>MONTH(tblRidershipData[[#This Row],[MeasurementDate]])</f>
        <v>11</v>
      </c>
    </row>
    <row r="1836" spans="1:11" x14ac:dyDescent="0.25">
      <c r="A1836" s="31">
        <v>43780</v>
      </c>
      <c r="B1836" t="s">
        <v>2</v>
      </c>
      <c r="C1836" s="31">
        <v>9313</v>
      </c>
      <c r="D1836" t="s">
        <v>89</v>
      </c>
      <c r="E1836" t="s">
        <v>111</v>
      </c>
      <c r="F1836">
        <v>1</v>
      </c>
      <c r="G1836" t="s">
        <v>72</v>
      </c>
      <c r="H1836" t="s">
        <v>110</v>
      </c>
      <c r="I1836">
        <v>6</v>
      </c>
      <c r="J1836" s="19">
        <f>WEEKNUM(tblRidershipData[[#This Row],[MeasurementDate]])</f>
        <v>46</v>
      </c>
      <c r="K1836" s="19">
        <f>MONTH(tblRidershipData[[#This Row],[MeasurementDate]])</f>
        <v>11</v>
      </c>
    </row>
    <row r="1837" spans="1:11" x14ac:dyDescent="0.25">
      <c r="A1837" s="31">
        <v>43780</v>
      </c>
      <c r="B1837" t="s">
        <v>2</v>
      </c>
      <c r="C1837" s="31">
        <v>9313</v>
      </c>
      <c r="D1837" t="s">
        <v>89</v>
      </c>
      <c r="E1837" t="s">
        <v>111</v>
      </c>
      <c r="F1837">
        <v>1</v>
      </c>
      <c r="G1837" t="s">
        <v>77</v>
      </c>
      <c r="H1837" t="s">
        <v>110</v>
      </c>
      <c r="I1837">
        <v>2</v>
      </c>
      <c r="J1837" s="19">
        <f>WEEKNUM(tblRidershipData[[#This Row],[MeasurementDate]])</f>
        <v>46</v>
      </c>
      <c r="K1837" s="19">
        <f>MONTH(tblRidershipData[[#This Row],[MeasurementDate]])</f>
        <v>11</v>
      </c>
    </row>
    <row r="1838" spans="1:11" x14ac:dyDescent="0.25">
      <c r="A1838" s="31">
        <v>43780</v>
      </c>
      <c r="B1838" t="s">
        <v>2</v>
      </c>
      <c r="C1838" s="31">
        <v>9313</v>
      </c>
      <c r="D1838" t="s">
        <v>89</v>
      </c>
      <c r="E1838" t="s">
        <v>109</v>
      </c>
      <c r="F1838">
        <v>1</v>
      </c>
      <c r="G1838" t="s">
        <v>52</v>
      </c>
      <c r="H1838" t="s">
        <v>110</v>
      </c>
      <c r="I1838">
        <v>63</v>
      </c>
      <c r="J1838" s="19">
        <f>WEEKNUM(tblRidershipData[[#This Row],[MeasurementDate]])</f>
        <v>46</v>
      </c>
      <c r="K1838" s="19">
        <f>MONTH(tblRidershipData[[#This Row],[MeasurementDate]])</f>
        <v>11</v>
      </c>
    </row>
    <row r="1839" spans="1:11" x14ac:dyDescent="0.25">
      <c r="A1839" s="31">
        <v>43780</v>
      </c>
      <c r="B1839" t="s">
        <v>2</v>
      </c>
      <c r="C1839" s="31">
        <v>9313</v>
      </c>
      <c r="D1839" t="s">
        <v>89</v>
      </c>
      <c r="E1839" t="s">
        <v>109</v>
      </c>
      <c r="F1839">
        <v>1</v>
      </c>
      <c r="G1839" t="s">
        <v>70</v>
      </c>
      <c r="H1839" t="s">
        <v>110</v>
      </c>
      <c r="I1839">
        <v>2</v>
      </c>
      <c r="J1839" s="19">
        <f>WEEKNUM(tblRidershipData[[#This Row],[MeasurementDate]])</f>
        <v>46</v>
      </c>
      <c r="K1839" s="19">
        <f>MONTH(tblRidershipData[[#This Row],[MeasurementDate]])</f>
        <v>11</v>
      </c>
    </row>
    <row r="1840" spans="1:11" x14ac:dyDescent="0.25">
      <c r="A1840" s="31">
        <v>43811</v>
      </c>
      <c r="B1840" t="s">
        <v>5</v>
      </c>
      <c r="C1840" s="31">
        <v>1030</v>
      </c>
      <c r="D1840" t="s">
        <v>80</v>
      </c>
      <c r="E1840" t="s">
        <v>109</v>
      </c>
      <c r="F1840">
        <v>1</v>
      </c>
      <c r="G1840" t="s">
        <v>44</v>
      </c>
      <c r="H1840" t="s">
        <v>110</v>
      </c>
      <c r="I1840">
        <v>18</v>
      </c>
      <c r="J1840" s="19">
        <f>WEEKNUM(tblRidershipData[[#This Row],[MeasurementDate]])</f>
        <v>50</v>
      </c>
      <c r="K1840" s="19">
        <f>MONTH(tblRidershipData[[#This Row],[MeasurementDate]])</f>
        <v>12</v>
      </c>
    </row>
    <row r="1841" spans="1:11" x14ac:dyDescent="0.25">
      <c r="A1841" s="31">
        <v>43811</v>
      </c>
      <c r="B1841" t="s">
        <v>5</v>
      </c>
      <c r="C1841" s="31">
        <v>1030</v>
      </c>
      <c r="D1841" t="s">
        <v>80</v>
      </c>
      <c r="E1841" t="s">
        <v>109</v>
      </c>
      <c r="F1841">
        <v>1</v>
      </c>
      <c r="G1841" t="s">
        <v>57</v>
      </c>
      <c r="H1841" t="s">
        <v>110</v>
      </c>
      <c r="I1841">
        <v>15</v>
      </c>
      <c r="J1841" s="19">
        <f>WEEKNUM(tblRidershipData[[#This Row],[MeasurementDate]])</f>
        <v>50</v>
      </c>
      <c r="K1841" s="19">
        <f>MONTH(tblRidershipData[[#This Row],[MeasurementDate]])</f>
        <v>12</v>
      </c>
    </row>
    <row r="1842" spans="1:11" x14ac:dyDescent="0.25">
      <c r="A1842" s="31">
        <v>43811</v>
      </c>
      <c r="B1842" t="s">
        <v>5</v>
      </c>
      <c r="C1842" s="31">
        <v>1030</v>
      </c>
      <c r="D1842" t="s">
        <v>80</v>
      </c>
      <c r="E1842" t="s">
        <v>109</v>
      </c>
      <c r="F1842">
        <v>1</v>
      </c>
      <c r="G1842" t="s">
        <v>59</v>
      </c>
      <c r="H1842" t="s">
        <v>110</v>
      </c>
      <c r="I1842">
        <v>40</v>
      </c>
      <c r="J1842" s="19">
        <f>WEEKNUM(tblRidershipData[[#This Row],[MeasurementDate]])</f>
        <v>50</v>
      </c>
      <c r="K1842" s="19">
        <f>MONTH(tblRidershipData[[#This Row],[MeasurementDate]])</f>
        <v>12</v>
      </c>
    </row>
    <row r="1843" spans="1:11" x14ac:dyDescent="0.25">
      <c r="A1843" s="31">
        <v>43811</v>
      </c>
      <c r="B1843" t="s">
        <v>5</v>
      </c>
      <c r="C1843" s="31">
        <v>1030</v>
      </c>
      <c r="D1843" t="s">
        <v>80</v>
      </c>
      <c r="E1843" t="s">
        <v>109</v>
      </c>
      <c r="F1843">
        <v>1</v>
      </c>
      <c r="G1843" t="s">
        <v>70</v>
      </c>
      <c r="H1843" t="s">
        <v>110</v>
      </c>
      <c r="I1843">
        <v>5</v>
      </c>
      <c r="J1843" s="19">
        <f>WEEKNUM(tblRidershipData[[#This Row],[MeasurementDate]])</f>
        <v>50</v>
      </c>
      <c r="K1843" s="19">
        <f>MONTH(tblRidershipData[[#This Row],[MeasurementDate]])</f>
        <v>12</v>
      </c>
    </row>
    <row r="1844" spans="1:11" x14ac:dyDescent="0.25">
      <c r="A1844" s="31">
        <v>43811</v>
      </c>
      <c r="B1844" t="s">
        <v>5</v>
      </c>
      <c r="C1844" s="31">
        <v>1057</v>
      </c>
      <c r="D1844" t="s">
        <v>90</v>
      </c>
      <c r="E1844" t="s">
        <v>111</v>
      </c>
      <c r="F1844">
        <v>1</v>
      </c>
      <c r="G1844" t="s">
        <v>42</v>
      </c>
      <c r="H1844" t="s">
        <v>112</v>
      </c>
      <c r="I1844">
        <v>1</v>
      </c>
      <c r="J1844" s="19">
        <f>WEEKNUM(tblRidershipData[[#This Row],[MeasurementDate]])</f>
        <v>50</v>
      </c>
      <c r="K1844" s="19">
        <f>MONTH(tblRidershipData[[#This Row],[MeasurementDate]])</f>
        <v>12</v>
      </c>
    </row>
    <row r="1845" spans="1:11" x14ac:dyDescent="0.25">
      <c r="A1845" s="31">
        <v>43811</v>
      </c>
      <c r="B1845" t="s">
        <v>5</v>
      </c>
      <c r="C1845" s="31">
        <v>1057</v>
      </c>
      <c r="D1845" t="s">
        <v>90</v>
      </c>
      <c r="E1845" t="s">
        <v>111</v>
      </c>
      <c r="F1845">
        <v>1</v>
      </c>
      <c r="G1845" t="s">
        <v>52</v>
      </c>
      <c r="H1845" t="s">
        <v>112</v>
      </c>
      <c r="I1845">
        <v>25</v>
      </c>
      <c r="J1845" s="19">
        <f>WEEKNUM(tblRidershipData[[#This Row],[MeasurementDate]])</f>
        <v>50</v>
      </c>
      <c r="K1845" s="19">
        <f>MONTH(tblRidershipData[[#This Row],[MeasurementDate]])</f>
        <v>12</v>
      </c>
    </row>
    <row r="1846" spans="1:11" x14ac:dyDescent="0.25">
      <c r="A1846" s="31">
        <v>43811</v>
      </c>
      <c r="B1846" t="s">
        <v>5</v>
      </c>
      <c r="C1846" s="31">
        <v>1057</v>
      </c>
      <c r="D1846" t="s">
        <v>90</v>
      </c>
      <c r="E1846" t="s">
        <v>111</v>
      </c>
      <c r="F1846">
        <v>1</v>
      </c>
      <c r="G1846" t="s">
        <v>57</v>
      </c>
      <c r="H1846" t="s">
        <v>112</v>
      </c>
      <c r="I1846">
        <v>4</v>
      </c>
      <c r="J1846" s="19">
        <f>WEEKNUM(tblRidershipData[[#This Row],[MeasurementDate]])</f>
        <v>50</v>
      </c>
      <c r="K1846" s="19">
        <f>MONTH(tblRidershipData[[#This Row],[MeasurementDate]])</f>
        <v>12</v>
      </c>
    </row>
    <row r="1847" spans="1:11" x14ac:dyDescent="0.25">
      <c r="A1847" s="31">
        <v>43811</v>
      </c>
      <c r="B1847" t="s">
        <v>5</v>
      </c>
      <c r="C1847" s="31">
        <v>1057</v>
      </c>
      <c r="D1847" t="s">
        <v>90</v>
      </c>
      <c r="E1847" t="s">
        <v>111</v>
      </c>
      <c r="F1847">
        <v>1</v>
      </c>
      <c r="G1847" t="s">
        <v>59</v>
      </c>
      <c r="H1847" t="s">
        <v>112</v>
      </c>
      <c r="I1847">
        <v>1</v>
      </c>
      <c r="J1847" s="19">
        <f>WEEKNUM(tblRidershipData[[#This Row],[MeasurementDate]])</f>
        <v>50</v>
      </c>
      <c r="K1847" s="19">
        <f>MONTH(tblRidershipData[[#This Row],[MeasurementDate]])</f>
        <v>12</v>
      </c>
    </row>
    <row r="1848" spans="1:11" x14ac:dyDescent="0.25">
      <c r="A1848" s="31">
        <v>43811</v>
      </c>
      <c r="B1848" t="s">
        <v>5</v>
      </c>
      <c r="C1848" s="31">
        <v>1057</v>
      </c>
      <c r="D1848" t="s">
        <v>90</v>
      </c>
      <c r="E1848" t="s">
        <v>111</v>
      </c>
      <c r="F1848">
        <v>1</v>
      </c>
      <c r="G1848" t="s">
        <v>66</v>
      </c>
      <c r="H1848" t="s">
        <v>112</v>
      </c>
      <c r="I1848">
        <v>2</v>
      </c>
      <c r="J1848" s="19">
        <f>WEEKNUM(tblRidershipData[[#This Row],[MeasurementDate]])</f>
        <v>50</v>
      </c>
      <c r="K1848" s="19">
        <f>MONTH(tblRidershipData[[#This Row],[MeasurementDate]])</f>
        <v>12</v>
      </c>
    </row>
    <row r="1849" spans="1:11" x14ac:dyDescent="0.25">
      <c r="A1849" s="31">
        <v>43811</v>
      </c>
      <c r="B1849" t="s">
        <v>5</v>
      </c>
      <c r="C1849" s="31">
        <v>1057</v>
      </c>
      <c r="D1849" t="s">
        <v>90</v>
      </c>
      <c r="E1849" t="s">
        <v>111</v>
      </c>
      <c r="F1849">
        <v>1</v>
      </c>
      <c r="G1849" t="s">
        <v>71</v>
      </c>
      <c r="H1849" t="s">
        <v>112</v>
      </c>
      <c r="I1849">
        <v>1</v>
      </c>
      <c r="J1849" s="19">
        <f>WEEKNUM(tblRidershipData[[#This Row],[MeasurementDate]])</f>
        <v>50</v>
      </c>
      <c r="K1849" s="19">
        <f>MONTH(tblRidershipData[[#This Row],[MeasurementDate]])</f>
        <v>12</v>
      </c>
    </row>
    <row r="1850" spans="1:11" x14ac:dyDescent="0.25">
      <c r="A1850" s="31">
        <v>43811</v>
      </c>
      <c r="B1850" t="s">
        <v>5</v>
      </c>
      <c r="C1850" s="31">
        <v>1057</v>
      </c>
      <c r="D1850" t="s">
        <v>90</v>
      </c>
      <c r="E1850" t="s">
        <v>109</v>
      </c>
      <c r="F1850">
        <v>1</v>
      </c>
      <c r="G1850" t="s">
        <v>43</v>
      </c>
      <c r="H1850" t="s">
        <v>112</v>
      </c>
      <c r="I1850">
        <v>1</v>
      </c>
      <c r="J1850" s="19">
        <f>WEEKNUM(tblRidershipData[[#This Row],[MeasurementDate]])</f>
        <v>50</v>
      </c>
      <c r="K1850" s="19">
        <f>MONTH(tblRidershipData[[#This Row],[MeasurementDate]])</f>
        <v>12</v>
      </c>
    </row>
    <row r="1851" spans="1:11" x14ac:dyDescent="0.25">
      <c r="A1851" s="31">
        <v>43811</v>
      </c>
      <c r="B1851" t="s">
        <v>5</v>
      </c>
      <c r="C1851" s="31">
        <v>1057</v>
      </c>
      <c r="D1851" t="s">
        <v>90</v>
      </c>
      <c r="E1851" t="s">
        <v>109</v>
      </c>
      <c r="F1851">
        <v>1</v>
      </c>
      <c r="G1851" t="s">
        <v>44</v>
      </c>
      <c r="H1851" t="s">
        <v>112</v>
      </c>
      <c r="I1851">
        <v>11</v>
      </c>
      <c r="J1851" s="19">
        <f>WEEKNUM(tblRidershipData[[#This Row],[MeasurementDate]])</f>
        <v>50</v>
      </c>
      <c r="K1851" s="19">
        <f>MONTH(tblRidershipData[[#This Row],[MeasurementDate]])</f>
        <v>12</v>
      </c>
    </row>
    <row r="1852" spans="1:11" x14ac:dyDescent="0.25">
      <c r="A1852" s="31">
        <v>43811</v>
      </c>
      <c r="B1852" t="s">
        <v>5</v>
      </c>
      <c r="C1852" s="31">
        <v>1057</v>
      </c>
      <c r="D1852" t="s">
        <v>90</v>
      </c>
      <c r="E1852" t="s">
        <v>109</v>
      </c>
      <c r="F1852">
        <v>1</v>
      </c>
      <c r="G1852" t="s">
        <v>55</v>
      </c>
      <c r="H1852" t="s">
        <v>112</v>
      </c>
      <c r="I1852">
        <v>12</v>
      </c>
      <c r="J1852" s="19">
        <f>WEEKNUM(tblRidershipData[[#This Row],[MeasurementDate]])</f>
        <v>50</v>
      </c>
      <c r="K1852" s="19">
        <f>MONTH(tblRidershipData[[#This Row],[MeasurementDate]])</f>
        <v>12</v>
      </c>
    </row>
    <row r="1853" spans="1:11" x14ac:dyDescent="0.25">
      <c r="A1853" s="31">
        <v>43811</v>
      </c>
      <c r="B1853" t="s">
        <v>5</v>
      </c>
      <c r="C1853" s="31">
        <v>1057</v>
      </c>
      <c r="D1853" t="s">
        <v>90</v>
      </c>
      <c r="E1853" t="s">
        <v>109</v>
      </c>
      <c r="F1853">
        <v>1</v>
      </c>
      <c r="G1853" t="s">
        <v>59</v>
      </c>
      <c r="H1853" t="s">
        <v>112</v>
      </c>
      <c r="I1853">
        <v>1</v>
      </c>
      <c r="J1853" s="19">
        <f>WEEKNUM(tblRidershipData[[#This Row],[MeasurementDate]])</f>
        <v>50</v>
      </c>
      <c r="K1853" s="19">
        <f>MONTH(tblRidershipData[[#This Row],[MeasurementDate]])</f>
        <v>12</v>
      </c>
    </row>
    <row r="1854" spans="1:11" x14ac:dyDescent="0.25">
      <c r="A1854" s="31">
        <v>43811</v>
      </c>
      <c r="B1854" t="s">
        <v>5</v>
      </c>
      <c r="C1854" s="31">
        <v>1057</v>
      </c>
      <c r="D1854" t="s">
        <v>90</v>
      </c>
      <c r="E1854" t="s">
        <v>109</v>
      </c>
      <c r="F1854">
        <v>1</v>
      </c>
      <c r="G1854" t="s">
        <v>60</v>
      </c>
      <c r="H1854" t="s">
        <v>112</v>
      </c>
      <c r="I1854">
        <v>1</v>
      </c>
      <c r="J1854" s="19">
        <f>WEEKNUM(tblRidershipData[[#This Row],[MeasurementDate]])</f>
        <v>50</v>
      </c>
      <c r="K1854" s="19">
        <f>MONTH(tblRidershipData[[#This Row],[MeasurementDate]])</f>
        <v>12</v>
      </c>
    </row>
    <row r="1855" spans="1:11" x14ac:dyDescent="0.25">
      <c r="A1855" s="31">
        <v>43811</v>
      </c>
      <c r="B1855" t="s">
        <v>5</v>
      </c>
      <c r="C1855" s="31">
        <v>1057</v>
      </c>
      <c r="D1855" t="s">
        <v>90</v>
      </c>
      <c r="E1855" t="s">
        <v>109</v>
      </c>
      <c r="F1855">
        <v>1</v>
      </c>
      <c r="G1855" t="s">
        <v>66</v>
      </c>
      <c r="H1855" t="s">
        <v>112</v>
      </c>
      <c r="I1855">
        <v>8</v>
      </c>
      <c r="J1855" s="19">
        <f>WEEKNUM(tblRidershipData[[#This Row],[MeasurementDate]])</f>
        <v>50</v>
      </c>
      <c r="K1855" s="19">
        <f>MONTH(tblRidershipData[[#This Row],[MeasurementDate]])</f>
        <v>12</v>
      </c>
    </row>
    <row r="1856" spans="1:11" x14ac:dyDescent="0.25">
      <c r="A1856" s="31">
        <v>43811</v>
      </c>
      <c r="B1856" t="s">
        <v>5</v>
      </c>
      <c r="C1856" s="31">
        <v>1057</v>
      </c>
      <c r="D1856" t="s">
        <v>90</v>
      </c>
      <c r="E1856" t="s">
        <v>109</v>
      </c>
      <c r="F1856">
        <v>1</v>
      </c>
      <c r="G1856" t="s">
        <v>69</v>
      </c>
      <c r="H1856" t="s">
        <v>112</v>
      </c>
      <c r="I1856">
        <v>1</v>
      </c>
      <c r="J1856" s="19">
        <f>WEEKNUM(tblRidershipData[[#This Row],[MeasurementDate]])</f>
        <v>50</v>
      </c>
      <c r="K1856" s="19">
        <f>MONTH(tblRidershipData[[#This Row],[MeasurementDate]])</f>
        <v>12</v>
      </c>
    </row>
    <row r="1857" spans="1:11" x14ac:dyDescent="0.25">
      <c r="A1857" s="31">
        <v>43811</v>
      </c>
      <c r="B1857" t="s">
        <v>5</v>
      </c>
      <c r="C1857" s="31">
        <v>1057</v>
      </c>
      <c r="D1857" t="s">
        <v>90</v>
      </c>
      <c r="E1857" t="s">
        <v>109</v>
      </c>
      <c r="F1857">
        <v>1</v>
      </c>
      <c r="G1857" t="s">
        <v>70</v>
      </c>
      <c r="H1857" t="s">
        <v>112</v>
      </c>
      <c r="I1857">
        <v>1</v>
      </c>
      <c r="J1857" s="19">
        <f>WEEKNUM(tblRidershipData[[#This Row],[MeasurementDate]])</f>
        <v>50</v>
      </c>
      <c r="K1857" s="19">
        <f>MONTH(tblRidershipData[[#This Row],[MeasurementDate]])</f>
        <v>12</v>
      </c>
    </row>
    <row r="1858" spans="1:11" x14ac:dyDescent="0.25">
      <c r="A1858" s="31">
        <v>43811</v>
      </c>
      <c r="B1858" t="s">
        <v>5</v>
      </c>
      <c r="C1858" s="31">
        <v>1057</v>
      </c>
      <c r="D1858" t="s">
        <v>90</v>
      </c>
      <c r="E1858" t="s">
        <v>109</v>
      </c>
      <c r="F1858">
        <v>1</v>
      </c>
      <c r="G1858" t="s">
        <v>71</v>
      </c>
      <c r="H1858" t="s">
        <v>112</v>
      </c>
      <c r="I1858">
        <v>1</v>
      </c>
      <c r="J1858" s="19">
        <f>WEEKNUM(tblRidershipData[[#This Row],[MeasurementDate]])</f>
        <v>50</v>
      </c>
      <c r="K1858" s="19">
        <f>MONTH(tblRidershipData[[#This Row],[MeasurementDate]])</f>
        <v>12</v>
      </c>
    </row>
    <row r="1859" spans="1:11" x14ac:dyDescent="0.25">
      <c r="A1859" s="31">
        <v>43811</v>
      </c>
      <c r="B1859" t="s">
        <v>5</v>
      </c>
      <c r="C1859" s="31">
        <v>1057</v>
      </c>
      <c r="D1859" t="s">
        <v>90</v>
      </c>
      <c r="E1859" t="s">
        <v>111</v>
      </c>
      <c r="F1859">
        <v>1</v>
      </c>
      <c r="G1859" t="s">
        <v>46</v>
      </c>
      <c r="H1859" t="s">
        <v>110</v>
      </c>
      <c r="I1859">
        <v>11</v>
      </c>
      <c r="J1859" s="19">
        <f>WEEKNUM(tblRidershipData[[#This Row],[MeasurementDate]])</f>
        <v>50</v>
      </c>
      <c r="K1859" s="19">
        <f>MONTH(tblRidershipData[[#This Row],[MeasurementDate]])</f>
        <v>12</v>
      </c>
    </row>
    <row r="1860" spans="1:11" x14ac:dyDescent="0.25">
      <c r="A1860" s="31">
        <v>43811</v>
      </c>
      <c r="B1860" t="s">
        <v>5</v>
      </c>
      <c r="C1860" s="31">
        <v>1057</v>
      </c>
      <c r="D1860" t="s">
        <v>90</v>
      </c>
      <c r="E1860" t="s">
        <v>111</v>
      </c>
      <c r="F1860">
        <v>1</v>
      </c>
      <c r="G1860" t="s">
        <v>55</v>
      </c>
      <c r="H1860" t="s">
        <v>110</v>
      </c>
      <c r="I1860">
        <v>5</v>
      </c>
      <c r="J1860" s="19">
        <f>WEEKNUM(tblRidershipData[[#This Row],[MeasurementDate]])</f>
        <v>50</v>
      </c>
      <c r="K1860" s="19">
        <f>MONTH(tblRidershipData[[#This Row],[MeasurementDate]])</f>
        <v>12</v>
      </c>
    </row>
    <row r="1861" spans="1:11" x14ac:dyDescent="0.25">
      <c r="A1861" s="31">
        <v>43811</v>
      </c>
      <c r="B1861" t="s">
        <v>5</v>
      </c>
      <c r="C1861" s="31">
        <v>1057</v>
      </c>
      <c r="D1861" t="s">
        <v>90</v>
      </c>
      <c r="E1861" t="s">
        <v>111</v>
      </c>
      <c r="F1861">
        <v>1</v>
      </c>
      <c r="G1861" t="s">
        <v>69</v>
      </c>
      <c r="H1861" t="s">
        <v>110</v>
      </c>
      <c r="I1861">
        <v>3</v>
      </c>
      <c r="J1861" s="19">
        <f>WEEKNUM(tblRidershipData[[#This Row],[MeasurementDate]])</f>
        <v>50</v>
      </c>
      <c r="K1861" s="19">
        <f>MONTH(tblRidershipData[[#This Row],[MeasurementDate]])</f>
        <v>12</v>
      </c>
    </row>
    <row r="1862" spans="1:11" x14ac:dyDescent="0.25">
      <c r="A1862" s="31">
        <v>43811</v>
      </c>
      <c r="B1862" t="s">
        <v>5</v>
      </c>
      <c r="C1862" s="31">
        <v>1057</v>
      </c>
      <c r="D1862" t="s">
        <v>90</v>
      </c>
      <c r="E1862" t="s">
        <v>111</v>
      </c>
      <c r="F1862">
        <v>1</v>
      </c>
      <c r="G1862" t="s">
        <v>70</v>
      </c>
      <c r="H1862" t="s">
        <v>110</v>
      </c>
      <c r="I1862">
        <v>8</v>
      </c>
      <c r="J1862" s="19">
        <f>WEEKNUM(tblRidershipData[[#This Row],[MeasurementDate]])</f>
        <v>50</v>
      </c>
      <c r="K1862" s="19">
        <f>MONTH(tblRidershipData[[#This Row],[MeasurementDate]])</f>
        <v>12</v>
      </c>
    </row>
    <row r="1863" spans="1:11" x14ac:dyDescent="0.25">
      <c r="A1863" s="31">
        <v>43811</v>
      </c>
      <c r="B1863" t="s">
        <v>5</v>
      </c>
      <c r="C1863" s="31">
        <v>1057</v>
      </c>
      <c r="D1863" t="s">
        <v>90</v>
      </c>
      <c r="E1863" t="s">
        <v>111</v>
      </c>
      <c r="F1863">
        <v>1</v>
      </c>
      <c r="G1863" t="s">
        <v>71</v>
      </c>
      <c r="H1863" t="s">
        <v>110</v>
      </c>
      <c r="I1863">
        <v>7</v>
      </c>
      <c r="J1863" s="19">
        <f>WEEKNUM(tblRidershipData[[#This Row],[MeasurementDate]])</f>
        <v>50</v>
      </c>
      <c r="K1863" s="19">
        <f>MONTH(tblRidershipData[[#This Row],[MeasurementDate]])</f>
        <v>12</v>
      </c>
    </row>
    <row r="1864" spans="1:11" x14ac:dyDescent="0.25">
      <c r="A1864" s="31">
        <v>43811</v>
      </c>
      <c r="B1864" t="s">
        <v>5</v>
      </c>
      <c r="C1864" s="31">
        <v>1057</v>
      </c>
      <c r="D1864" t="s">
        <v>90</v>
      </c>
      <c r="E1864" t="s">
        <v>109</v>
      </c>
      <c r="F1864">
        <v>1</v>
      </c>
      <c r="G1864" t="s">
        <v>55</v>
      </c>
      <c r="H1864" t="s">
        <v>110</v>
      </c>
      <c r="I1864">
        <v>12</v>
      </c>
      <c r="J1864" s="19">
        <f>WEEKNUM(tblRidershipData[[#This Row],[MeasurementDate]])</f>
        <v>50</v>
      </c>
      <c r="K1864" s="19">
        <f>MONTH(tblRidershipData[[#This Row],[MeasurementDate]])</f>
        <v>12</v>
      </c>
    </row>
    <row r="1865" spans="1:11" x14ac:dyDescent="0.25">
      <c r="A1865" s="31">
        <v>43811</v>
      </c>
      <c r="B1865" t="s">
        <v>5</v>
      </c>
      <c r="C1865" s="31">
        <v>1057</v>
      </c>
      <c r="D1865" t="s">
        <v>90</v>
      </c>
      <c r="E1865" t="s">
        <v>109</v>
      </c>
      <c r="F1865">
        <v>1</v>
      </c>
      <c r="G1865" t="s">
        <v>56</v>
      </c>
      <c r="H1865" t="s">
        <v>110</v>
      </c>
      <c r="I1865">
        <v>5</v>
      </c>
      <c r="J1865" s="19">
        <f>WEEKNUM(tblRidershipData[[#This Row],[MeasurementDate]])</f>
        <v>50</v>
      </c>
      <c r="K1865" s="19">
        <f>MONTH(tblRidershipData[[#This Row],[MeasurementDate]])</f>
        <v>12</v>
      </c>
    </row>
    <row r="1866" spans="1:11" x14ac:dyDescent="0.25">
      <c r="A1866" s="31">
        <v>43811</v>
      </c>
      <c r="B1866" t="s">
        <v>5</v>
      </c>
      <c r="C1866" s="31">
        <v>1057</v>
      </c>
      <c r="D1866" t="s">
        <v>90</v>
      </c>
      <c r="E1866" t="s">
        <v>109</v>
      </c>
      <c r="F1866">
        <v>1</v>
      </c>
      <c r="G1866" t="s">
        <v>67</v>
      </c>
      <c r="H1866" t="s">
        <v>110</v>
      </c>
      <c r="I1866">
        <v>25</v>
      </c>
      <c r="J1866" s="19">
        <f>WEEKNUM(tblRidershipData[[#This Row],[MeasurementDate]])</f>
        <v>50</v>
      </c>
      <c r="K1866" s="19">
        <f>MONTH(tblRidershipData[[#This Row],[MeasurementDate]])</f>
        <v>12</v>
      </c>
    </row>
    <row r="1867" spans="1:11" x14ac:dyDescent="0.25">
      <c r="A1867" s="31">
        <v>43811</v>
      </c>
      <c r="B1867" t="s">
        <v>5</v>
      </c>
      <c r="C1867" s="31">
        <v>1057</v>
      </c>
      <c r="D1867" t="s">
        <v>90</v>
      </c>
      <c r="E1867" t="s">
        <v>109</v>
      </c>
      <c r="F1867">
        <v>2</v>
      </c>
      <c r="G1867" t="s">
        <v>42</v>
      </c>
      <c r="H1867" t="s">
        <v>110</v>
      </c>
      <c r="I1867">
        <v>7</v>
      </c>
      <c r="J1867" s="19">
        <f>WEEKNUM(tblRidershipData[[#This Row],[MeasurementDate]])</f>
        <v>50</v>
      </c>
      <c r="K1867" s="19">
        <f>MONTH(tblRidershipData[[#This Row],[MeasurementDate]])</f>
        <v>12</v>
      </c>
    </row>
    <row r="1868" spans="1:11" x14ac:dyDescent="0.25">
      <c r="A1868" s="31">
        <v>43811</v>
      </c>
      <c r="B1868" t="s">
        <v>5</v>
      </c>
      <c r="C1868" s="31">
        <v>1057</v>
      </c>
      <c r="D1868" t="s">
        <v>90</v>
      </c>
      <c r="E1868" t="s">
        <v>109</v>
      </c>
      <c r="F1868">
        <v>2</v>
      </c>
      <c r="G1868" t="s">
        <v>55</v>
      </c>
      <c r="H1868" t="s">
        <v>110</v>
      </c>
      <c r="I1868">
        <v>17</v>
      </c>
      <c r="J1868" s="19">
        <f>WEEKNUM(tblRidershipData[[#This Row],[MeasurementDate]])</f>
        <v>50</v>
      </c>
      <c r="K1868" s="19">
        <f>MONTH(tblRidershipData[[#This Row],[MeasurementDate]])</f>
        <v>12</v>
      </c>
    </row>
    <row r="1869" spans="1:11" x14ac:dyDescent="0.25">
      <c r="A1869" s="31">
        <v>43811</v>
      </c>
      <c r="B1869" t="s">
        <v>5</v>
      </c>
      <c r="C1869" s="31">
        <v>1740</v>
      </c>
      <c r="D1869" t="s">
        <v>81</v>
      </c>
      <c r="E1869" t="s">
        <v>109</v>
      </c>
      <c r="F1869">
        <v>1</v>
      </c>
      <c r="G1869" t="s">
        <v>42</v>
      </c>
      <c r="H1869" t="s">
        <v>110</v>
      </c>
      <c r="I1869">
        <v>13</v>
      </c>
      <c r="J1869" s="19">
        <f>WEEKNUM(tblRidershipData[[#This Row],[MeasurementDate]])</f>
        <v>50</v>
      </c>
      <c r="K1869" s="19">
        <f>MONTH(tblRidershipData[[#This Row],[MeasurementDate]])</f>
        <v>12</v>
      </c>
    </row>
    <row r="1870" spans="1:11" x14ac:dyDescent="0.25">
      <c r="A1870" s="31">
        <v>43811</v>
      </c>
      <c r="B1870" t="s">
        <v>5</v>
      </c>
      <c r="C1870" s="31">
        <v>1740</v>
      </c>
      <c r="D1870" t="s">
        <v>81</v>
      </c>
      <c r="E1870" t="s">
        <v>109</v>
      </c>
      <c r="F1870">
        <v>1</v>
      </c>
      <c r="G1870" t="s">
        <v>46</v>
      </c>
      <c r="H1870" t="s">
        <v>110</v>
      </c>
      <c r="I1870">
        <v>11</v>
      </c>
      <c r="J1870" s="19">
        <f>WEEKNUM(tblRidershipData[[#This Row],[MeasurementDate]])</f>
        <v>50</v>
      </c>
      <c r="K1870" s="19">
        <f>MONTH(tblRidershipData[[#This Row],[MeasurementDate]])</f>
        <v>12</v>
      </c>
    </row>
    <row r="1871" spans="1:11" x14ac:dyDescent="0.25">
      <c r="A1871" s="31">
        <v>43811</v>
      </c>
      <c r="B1871" t="s">
        <v>5</v>
      </c>
      <c r="C1871" s="31">
        <v>1740</v>
      </c>
      <c r="D1871" t="s">
        <v>81</v>
      </c>
      <c r="E1871" t="s">
        <v>109</v>
      </c>
      <c r="F1871">
        <v>1</v>
      </c>
      <c r="G1871" t="s">
        <v>52</v>
      </c>
      <c r="H1871" t="s">
        <v>110</v>
      </c>
      <c r="I1871">
        <v>6</v>
      </c>
      <c r="J1871" s="19">
        <f>WEEKNUM(tblRidershipData[[#This Row],[MeasurementDate]])</f>
        <v>50</v>
      </c>
      <c r="K1871" s="19">
        <f>MONTH(tblRidershipData[[#This Row],[MeasurementDate]])</f>
        <v>12</v>
      </c>
    </row>
    <row r="1872" spans="1:11" x14ac:dyDescent="0.25">
      <c r="A1872" s="31">
        <v>43811</v>
      </c>
      <c r="B1872" t="s">
        <v>5</v>
      </c>
      <c r="C1872" s="31">
        <v>1740</v>
      </c>
      <c r="D1872" t="s">
        <v>81</v>
      </c>
      <c r="E1872" t="s">
        <v>109</v>
      </c>
      <c r="F1872">
        <v>1</v>
      </c>
      <c r="G1872" t="s">
        <v>68</v>
      </c>
      <c r="H1872" t="s">
        <v>110</v>
      </c>
      <c r="I1872">
        <v>4</v>
      </c>
      <c r="J1872" s="19">
        <f>WEEKNUM(tblRidershipData[[#This Row],[MeasurementDate]])</f>
        <v>50</v>
      </c>
      <c r="K1872" s="19">
        <f>MONTH(tblRidershipData[[#This Row],[MeasurementDate]])</f>
        <v>12</v>
      </c>
    </row>
    <row r="1873" spans="1:11" x14ac:dyDescent="0.25">
      <c r="A1873" s="31">
        <v>43811</v>
      </c>
      <c r="B1873" t="s">
        <v>5</v>
      </c>
      <c r="C1873" s="31">
        <v>1740</v>
      </c>
      <c r="D1873" t="s">
        <v>81</v>
      </c>
      <c r="E1873" t="s">
        <v>109</v>
      </c>
      <c r="F1873">
        <v>1</v>
      </c>
      <c r="G1873" t="s">
        <v>69</v>
      </c>
      <c r="H1873" t="s">
        <v>110</v>
      </c>
      <c r="I1873">
        <v>15</v>
      </c>
      <c r="J1873" s="19">
        <f>WEEKNUM(tblRidershipData[[#This Row],[MeasurementDate]])</f>
        <v>50</v>
      </c>
      <c r="K1873" s="19">
        <f>MONTH(tblRidershipData[[#This Row],[MeasurementDate]])</f>
        <v>12</v>
      </c>
    </row>
    <row r="1874" spans="1:11" x14ac:dyDescent="0.25">
      <c r="A1874" s="31">
        <v>43811</v>
      </c>
      <c r="B1874" t="s">
        <v>5</v>
      </c>
      <c r="C1874" s="31">
        <v>1740</v>
      </c>
      <c r="D1874" t="s">
        <v>81</v>
      </c>
      <c r="E1874" t="s">
        <v>109</v>
      </c>
      <c r="F1874">
        <v>1</v>
      </c>
      <c r="G1874" t="s">
        <v>70</v>
      </c>
      <c r="H1874" t="s">
        <v>110</v>
      </c>
      <c r="I1874">
        <v>10</v>
      </c>
      <c r="J1874" s="19">
        <f>WEEKNUM(tblRidershipData[[#This Row],[MeasurementDate]])</f>
        <v>50</v>
      </c>
      <c r="K1874" s="19">
        <f>MONTH(tblRidershipData[[#This Row],[MeasurementDate]])</f>
        <v>12</v>
      </c>
    </row>
    <row r="1875" spans="1:11" x14ac:dyDescent="0.25">
      <c r="A1875" s="31">
        <v>43811</v>
      </c>
      <c r="B1875" t="s">
        <v>5</v>
      </c>
      <c r="C1875" s="31">
        <v>1740</v>
      </c>
      <c r="D1875" t="s">
        <v>81</v>
      </c>
      <c r="E1875" t="s">
        <v>109</v>
      </c>
      <c r="F1875">
        <v>1</v>
      </c>
      <c r="G1875" t="s">
        <v>73</v>
      </c>
      <c r="H1875" t="s">
        <v>110</v>
      </c>
      <c r="I1875">
        <v>2</v>
      </c>
      <c r="J1875" s="19">
        <f>WEEKNUM(tblRidershipData[[#This Row],[MeasurementDate]])</f>
        <v>50</v>
      </c>
      <c r="K1875" s="19">
        <f>MONTH(tblRidershipData[[#This Row],[MeasurementDate]])</f>
        <v>12</v>
      </c>
    </row>
    <row r="1876" spans="1:11" x14ac:dyDescent="0.25">
      <c r="A1876" s="31">
        <v>43811</v>
      </c>
      <c r="B1876" t="s">
        <v>5</v>
      </c>
      <c r="C1876" s="31">
        <v>2341</v>
      </c>
      <c r="D1876" t="s">
        <v>105</v>
      </c>
      <c r="E1876" t="s">
        <v>111</v>
      </c>
      <c r="F1876">
        <v>1</v>
      </c>
      <c r="G1876" t="s">
        <v>43</v>
      </c>
      <c r="H1876" t="s">
        <v>110</v>
      </c>
      <c r="I1876">
        <v>11</v>
      </c>
      <c r="J1876" s="19">
        <f>WEEKNUM(tblRidershipData[[#This Row],[MeasurementDate]])</f>
        <v>50</v>
      </c>
      <c r="K1876" s="19">
        <f>MONTH(tblRidershipData[[#This Row],[MeasurementDate]])</f>
        <v>12</v>
      </c>
    </row>
    <row r="1877" spans="1:11" x14ac:dyDescent="0.25">
      <c r="A1877" s="31">
        <v>43811</v>
      </c>
      <c r="B1877" t="s">
        <v>5</v>
      </c>
      <c r="C1877" s="31">
        <v>2341</v>
      </c>
      <c r="D1877" t="s">
        <v>105</v>
      </c>
      <c r="E1877" t="s">
        <v>111</v>
      </c>
      <c r="F1877">
        <v>1</v>
      </c>
      <c r="G1877" t="s">
        <v>46</v>
      </c>
      <c r="H1877" t="s">
        <v>110</v>
      </c>
      <c r="I1877">
        <v>11</v>
      </c>
      <c r="J1877" s="19">
        <f>WEEKNUM(tblRidershipData[[#This Row],[MeasurementDate]])</f>
        <v>50</v>
      </c>
      <c r="K1877" s="19">
        <f>MONTH(tblRidershipData[[#This Row],[MeasurementDate]])</f>
        <v>12</v>
      </c>
    </row>
    <row r="1878" spans="1:11" x14ac:dyDescent="0.25">
      <c r="A1878" s="31">
        <v>43811</v>
      </c>
      <c r="B1878" t="s">
        <v>5</v>
      </c>
      <c r="C1878" s="31">
        <v>2341</v>
      </c>
      <c r="D1878" t="s">
        <v>105</v>
      </c>
      <c r="E1878" t="s">
        <v>111</v>
      </c>
      <c r="F1878">
        <v>1</v>
      </c>
      <c r="G1878" t="s">
        <v>66</v>
      </c>
      <c r="H1878" t="s">
        <v>110</v>
      </c>
      <c r="I1878">
        <v>3</v>
      </c>
      <c r="J1878" s="19">
        <f>WEEKNUM(tblRidershipData[[#This Row],[MeasurementDate]])</f>
        <v>50</v>
      </c>
      <c r="K1878" s="19">
        <f>MONTH(tblRidershipData[[#This Row],[MeasurementDate]])</f>
        <v>12</v>
      </c>
    </row>
    <row r="1879" spans="1:11" x14ac:dyDescent="0.25">
      <c r="A1879" s="31">
        <v>43811</v>
      </c>
      <c r="B1879" t="s">
        <v>5</v>
      </c>
      <c r="C1879" s="31">
        <v>2341</v>
      </c>
      <c r="D1879" t="s">
        <v>105</v>
      </c>
      <c r="E1879" t="s">
        <v>111</v>
      </c>
      <c r="F1879">
        <v>1</v>
      </c>
      <c r="G1879" t="s">
        <v>69</v>
      </c>
      <c r="H1879" t="s">
        <v>110</v>
      </c>
      <c r="I1879">
        <v>7</v>
      </c>
      <c r="J1879" s="19">
        <f>WEEKNUM(tblRidershipData[[#This Row],[MeasurementDate]])</f>
        <v>50</v>
      </c>
      <c r="K1879" s="19">
        <f>MONTH(tblRidershipData[[#This Row],[MeasurementDate]])</f>
        <v>12</v>
      </c>
    </row>
    <row r="1880" spans="1:11" x14ac:dyDescent="0.25">
      <c r="A1880" s="31">
        <v>43811</v>
      </c>
      <c r="B1880" t="s">
        <v>5</v>
      </c>
      <c r="C1880" s="31">
        <v>2341</v>
      </c>
      <c r="D1880" t="s">
        <v>105</v>
      </c>
      <c r="E1880" t="s">
        <v>111</v>
      </c>
      <c r="F1880">
        <v>1</v>
      </c>
      <c r="G1880" t="s">
        <v>71</v>
      </c>
      <c r="H1880" t="s">
        <v>110</v>
      </c>
      <c r="I1880">
        <v>7</v>
      </c>
      <c r="J1880" s="19">
        <f>WEEKNUM(tblRidershipData[[#This Row],[MeasurementDate]])</f>
        <v>50</v>
      </c>
      <c r="K1880" s="19">
        <f>MONTH(tblRidershipData[[#This Row],[MeasurementDate]])</f>
        <v>12</v>
      </c>
    </row>
    <row r="1881" spans="1:11" x14ac:dyDescent="0.25">
      <c r="A1881" s="31">
        <v>43811</v>
      </c>
      <c r="B1881" t="s">
        <v>5</v>
      </c>
      <c r="C1881" s="31">
        <v>2341</v>
      </c>
      <c r="D1881" t="s">
        <v>105</v>
      </c>
      <c r="E1881" t="s">
        <v>109</v>
      </c>
      <c r="F1881">
        <v>1</v>
      </c>
      <c r="G1881" t="s">
        <v>43</v>
      </c>
      <c r="H1881" t="s">
        <v>110</v>
      </c>
      <c r="I1881">
        <v>1</v>
      </c>
      <c r="J1881" s="19">
        <f>WEEKNUM(tblRidershipData[[#This Row],[MeasurementDate]])</f>
        <v>50</v>
      </c>
      <c r="K1881" s="19">
        <f>MONTH(tblRidershipData[[#This Row],[MeasurementDate]])</f>
        <v>12</v>
      </c>
    </row>
    <row r="1882" spans="1:11" x14ac:dyDescent="0.25">
      <c r="A1882" s="31">
        <v>43811</v>
      </c>
      <c r="B1882" t="s">
        <v>5</v>
      </c>
      <c r="C1882" s="31">
        <v>2341</v>
      </c>
      <c r="D1882" t="s">
        <v>105</v>
      </c>
      <c r="E1882" t="s">
        <v>109</v>
      </c>
      <c r="F1882">
        <v>1</v>
      </c>
      <c r="G1882" t="s">
        <v>52</v>
      </c>
      <c r="H1882" t="s">
        <v>110</v>
      </c>
      <c r="I1882">
        <v>30</v>
      </c>
      <c r="J1882" s="19">
        <f>WEEKNUM(tblRidershipData[[#This Row],[MeasurementDate]])</f>
        <v>50</v>
      </c>
      <c r="K1882" s="19">
        <f>MONTH(tblRidershipData[[#This Row],[MeasurementDate]])</f>
        <v>12</v>
      </c>
    </row>
    <row r="1883" spans="1:11" x14ac:dyDescent="0.25">
      <c r="A1883" s="31">
        <v>43811</v>
      </c>
      <c r="B1883" t="s">
        <v>5</v>
      </c>
      <c r="C1883" s="31">
        <v>2341</v>
      </c>
      <c r="D1883" t="s">
        <v>105</v>
      </c>
      <c r="E1883" t="s">
        <v>109</v>
      </c>
      <c r="F1883">
        <v>1</v>
      </c>
      <c r="G1883" t="s">
        <v>54</v>
      </c>
      <c r="H1883" t="s">
        <v>110</v>
      </c>
      <c r="I1883">
        <v>11</v>
      </c>
      <c r="J1883" s="19">
        <f>WEEKNUM(tblRidershipData[[#This Row],[MeasurementDate]])</f>
        <v>50</v>
      </c>
      <c r="K1883" s="19">
        <f>MONTH(tblRidershipData[[#This Row],[MeasurementDate]])</f>
        <v>12</v>
      </c>
    </row>
    <row r="1884" spans="1:11" x14ac:dyDescent="0.25">
      <c r="A1884" s="31">
        <v>43811</v>
      </c>
      <c r="B1884" t="s">
        <v>5</v>
      </c>
      <c r="C1884" s="31">
        <v>2341</v>
      </c>
      <c r="D1884" t="s">
        <v>105</v>
      </c>
      <c r="E1884" t="s">
        <v>109</v>
      </c>
      <c r="F1884">
        <v>1</v>
      </c>
      <c r="G1884" t="s">
        <v>64</v>
      </c>
      <c r="H1884" t="s">
        <v>110</v>
      </c>
      <c r="I1884">
        <v>4</v>
      </c>
      <c r="J1884" s="19">
        <f>WEEKNUM(tblRidershipData[[#This Row],[MeasurementDate]])</f>
        <v>50</v>
      </c>
      <c r="K1884" s="19">
        <f>MONTH(tblRidershipData[[#This Row],[MeasurementDate]])</f>
        <v>12</v>
      </c>
    </row>
    <row r="1885" spans="1:11" x14ac:dyDescent="0.25">
      <c r="A1885" s="31">
        <v>43811</v>
      </c>
      <c r="B1885" t="s">
        <v>5</v>
      </c>
      <c r="C1885" s="31">
        <v>2341</v>
      </c>
      <c r="D1885" t="s">
        <v>105</v>
      </c>
      <c r="E1885" t="s">
        <v>111</v>
      </c>
      <c r="F1885">
        <v>1</v>
      </c>
      <c r="G1885" t="s">
        <v>69</v>
      </c>
      <c r="H1885" t="s">
        <v>112</v>
      </c>
      <c r="I1885">
        <v>2</v>
      </c>
      <c r="J1885" s="19">
        <f>WEEKNUM(tblRidershipData[[#This Row],[MeasurementDate]])</f>
        <v>50</v>
      </c>
      <c r="K1885" s="19">
        <f>MONTH(tblRidershipData[[#This Row],[MeasurementDate]])</f>
        <v>12</v>
      </c>
    </row>
    <row r="1886" spans="1:11" x14ac:dyDescent="0.25">
      <c r="A1886" s="31">
        <v>43811</v>
      </c>
      <c r="B1886" t="s">
        <v>5</v>
      </c>
      <c r="C1886" s="31">
        <v>2341</v>
      </c>
      <c r="D1886" t="s">
        <v>105</v>
      </c>
      <c r="E1886" t="s">
        <v>111</v>
      </c>
      <c r="F1886">
        <v>1</v>
      </c>
      <c r="G1886" t="s">
        <v>72</v>
      </c>
      <c r="H1886" t="s">
        <v>112</v>
      </c>
      <c r="I1886">
        <v>4</v>
      </c>
      <c r="J1886" s="19">
        <f>WEEKNUM(tblRidershipData[[#This Row],[MeasurementDate]])</f>
        <v>50</v>
      </c>
      <c r="K1886" s="19">
        <f>MONTH(tblRidershipData[[#This Row],[MeasurementDate]])</f>
        <v>12</v>
      </c>
    </row>
    <row r="1887" spans="1:11" x14ac:dyDescent="0.25">
      <c r="A1887" s="31">
        <v>43811</v>
      </c>
      <c r="B1887" t="s">
        <v>5</v>
      </c>
      <c r="C1887" s="31">
        <v>2341</v>
      </c>
      <c r="D1887" t="s">
        <v>105</v>
      </c>
      <c r="E1887" t="s">
        <v>111</v>
      </c>
      <c r="F1887">
        <v>1</v>
      </c>
      <c r="G1887" t="s">
        <v>74</v>
      </c>
      <c r="H1887" t="s">
        <v>112</v>
      </c>
      <c r="I1887">
        <v>33</v>
      </c>
      <c r="J1887" s="19">
        <f>WEEKNUM(tblRidershipData[[#This Row],[MeasurementDate]])</f>
        <v>50</v>
      </c>
      <c r="K1887" s="19">
        <f>MONTH(tblRidershipData[[#This Row],[MeasurementDate]])</f>
        <v>12</v>
      </c>
    </row>
    <row r="1888" spans="1:11" x14ac:dyDescent="0.25">
      <c r="A1888" s="31">
        <v>43811</v>
      </c>
      <c r="B1888" t="s">
        <v>5</v>
      </c>
      <c r="C1888" s="31">
        <v>2341</v>
      </c>
      <c r="D1888" t="s">
        <v>105</v>
      </c>
      <c r="E1888" t="s">
        <v>109</v>
      </c>
      <c r="F1888">
        <v>1</v>
      </c>
      <c r="G1888" t="s">
        <v>44</v>
      </c>
      <c r="H1888" t="s">
        <v>112</v>
      </c>
      <c r="I1888">
        <v>8</v>
      </c>
      <c r="J1888" s="19">
        <f>WEEKNUM(tblRidershipData[[#This Row],[MeasurementDate]])</f>
        <v>50</v>
      </c>
      <c r="K1888" s="19">
        <f>MONTH(tblRidershipData[[#This Row],[MeasurementDate]])</f>
        <v>12</v>
      </c>
    </row>
    <row r="1889" spans="1:11" x14ac:dyDescent="0.25">
      <c r="A1889" s="31">
        <v>43811</v>
      </c>
      <c r="B1889" t="s">
        <v>5</v>
      </c>
      <c r="C1889" s="31">
        <v>2341</v>
      </c>
      <c r="D1889" t="s">
        <v>105</v>
      </c>
      <c r="E1889" t="s">
        <v>109</v>
      </c>
      <c r="F1889">
        <v>1</v>
      </c>
      <c r="G1889" t="s">
        <v>46</v>
      </c>
      <c r="H1889" t="s">
        <v>112</v>
      </c>
      <c r="I1889">
        <v>4</v>
      </c>
      <c r="J1889" s="19">
        <f>WEEKNUM(tblRidershipData[[#This Row],[MeasurementDate]])</f>
        <v>50</v>
      </c>
      <c r="K1889" s="19">
        <f>MONTH(tblRidershipData[[#This Row],[MeasurementDate]])</f>
        <v>12</v>
      </c>
    </row>
    <row r="1890" spans="1:11" x14ac:dyDescent="0.25">
      <c r="A1890" s="31">
        <v>43811</v>
      </c>
      <c r="B1890" t="s">
        <v>5</v>
      </c>
      <c r="C1890" s="31">
        <v>2341</v>
      </c>
      <c r="D1890" t="s">
        <v>105</v>
      </c>
      <c r="E1890" t="s">
        <v>109</v>
      </c>
      <c r="F1890">
        <v>1</v>
      </c>
      <c r="G1890" t="s">
        <v>55</v>
      </c>
      <c r="H1890" t="s">
        <v>112</v>
      </c>
      <c r="I1890">
        <v>3</v>
      </c>
      <c r="J1890" s="19">
        <f>WEEKNUM(tblRidershipData[[#This Row],[MeasurementDate]])</f>
        <v>50</v>
      </c>
      <c r="K1890" s="19">
        <f>MONTH(tblRidershipData[[#This Row],[MeasurementDate]])</f>
        <v>12</v>
      </c>
    </row>
    <row r="1891" spans="1:11" x14ac:dyDescent="0.25">
      <c r="A1891" s="31">
        <v>43811</v>
      </c>
      <c r="B1891" t="s">
        <v>5</v>
      </c>
      <c r="C1891" s="31">
        <v>2341</v>
      </c>
      <c r="D1891" t="s">
        <v>105</v>
      </c>
      <c r="E1891" t="s">
        <v>109</v>
      </c>
      <c r="F1891">
        <v>1</v>
      </c>
      <c r="G1891" t="s">
        <v>60</v>
      </c>
      <c r="H1891" t="s">
        <v>112</v>
      </c>
      <c r="I1891">
        <v>3</v>
      </c>
      <c r="J1891" s="19">
        <f>WEEKNUM(tblRidershipData[[#This Row],[MeasurementDate]])</f>
        <v>50</v>
      </c>
      <c r="K1891" s="19">
        <f>MONTH(tblRidershipData[[#This Row],[MeasurementDate]])</f>
        <v>12</v>
      </c>
    </row>
    <row r="1892" spans="1:11" x14ac:dyDescent="0.25">
      <c r="A1892" s="31">
        <v>43811</v>
      </c>
      <c r="B1892" t="s">
        <v>5</v>
      </c>
      <c r="C1892" s="31">
        <v>2341</v>
      </c>
      <c r="D1892" t="s">
        <v>105</v>
      </c>
      <c r="E1892" t="s">
        <v>109</v>
      </c>
      <c r="F1892">
        <v>1</v>
      </c>
      <c r="G1892" t="s">
        <v>64</v>
      </c>
      <c r="H1892" t="s">
        <v>112</v>
      </c>
      <c r="I1892">
        <v>3</v>
      </c>
      <c r="J1892" s="19">
        <f>WEEKNUM(tblRidershipData[[#This Row],[MeasurementDate]])</f>
        <v>50</v>
      </c>
      <c r="K1892" s="19">
        <f>MONTH(tblRidershipData[[#This Row],[MeasurementDate]])</f>
        <v>12</v>
      </c>
    </row>
    <row r="1893" spans="1:11" x14ac:dyDescent="0.25">
      <c r="A1893" s="31">
        <v>43811</v>
      </c>
      <c r="B1893" t="s">
        <v>5</v>
      </c>
      <c r="C1893" s="31">
        <v>2341</v>
      </c>
      <c r="D1893" t="s">
        <v>105</v>
      </c>
      <c r="E1893" t="s">
        <v>109</v>
      </c>
      <c r="F1893">
        <v>1</v>
      </c>
      <c r="G1893" t="s">
        <v>66</v>
      </c>
      <c r="H1893" t="s">
        <v>112</v>
      </c>
      <c r="I1893">
        <v>6</v>
      </c>
      <c r="J1893" s="19">
        <f>WEEKNUM(tblRidershipData[[#This Row],[MeasurementDate]])</f>
        <v>50</v>
      </c>
      <c r="K1893" s="19">
        <f>MONTH(tblRidershipData[[#This Row],[MeasurementDate]])</f>
        <v>12</v>
      </c>
    </row>
    <row r="1894" spans="1:11" x14ac:dyDescent="0.25">
      <c r="A1894" s="31">
        <v>43811</v>
      </c>
      <c r="B1894" t="s">
        <v>5</v>
      </c>
      <c r="C1894" s="31">
        <v>2341</v>
      </c>
      <c r="D1894" t="s">
        <v>105</v>
      </c>
      <c r="E1894" t="s">
        <v>109</v>
      </c>
      <c r="F1894">
        <v>1</v>
      </c>
      <c r="G1894" t="s">
        <v>69</v>
      </c>
      <c r="H1894" t="s">
        <v>112</v>
      </c>
      <c r="I1894">
        <v>3</v>
      </c>
      <c r="J1894" s="19">
        <f>WEEKNUM(tblRidershipData[[#This Row],[MeasurementDate]])</f>
        <v>50</v>
      </c>
      <c r="K1894" s="19">
        <f>MONTH(tblRidershipData[[#This Row],[MeasurementDate]])</f>
        <v>12</v>
      </c>
    </row>
    <row r="1895" spans="1:11" x14ac:dyDescent="0.25">
      <c r="A1895" s="31">
        <v>43811</v>
      </c>
      <c r="B1895" t="s">
        <v>5</v>
      </c>
      <c r="C1895" s="31">
        <v>2341</v>
      </c>
      <c r="D1895" t="s">
        <v>105</v>
      </c>
      <c r="E1895" t="s">
        <v>109</v>
      </c>
      <c r="F1895">
        <v>1</v>
      </c>
      <c r="G1895" t="s">
        <v>70</v>
      </c>
      <c r="H1895" t="s">
        <v>112</v>
      </c>
      <c r="I1895">
        <v>11</v>
      </c>
      <c r="J1895" s="19">
        <f>WEEKNUM(tblRidershipData[[#This Row],[MeasurementDate]])</f>
        <v>50</v>
      </c>
      <c r="K1895" s="19">
        <f>MONTH(tblRidershipData[[#This Row],[MeasurementDate]])</f>
        <v>12</v>
      </c>
    </row>
    <row r="1896" spans="1:11" x14ac:dyDescent="0.25">
      <c r="A1896" s="31">
        <v>43811</v>
      </c>
      <c r="B1896" t="s">
        <v>5</v>
      </c>
      <c r="C1896" s="31">
        <v>2341</v>
      </c>
      <c r="D1896" t="s">
        <v>105</v>
      </c>
      <c r="E1896" t="s">
        <v>109</v>
      </c>
      <c r="F1896">
        <v>1</v>
      </c>
      <c r="G1896" t="s">
        <v>71</v>
      </c>
      <c r="H1896" t="s">
        <v>112</v>
      </c>
      <c r="I1896">
        <v>3</v>
      </c>
      <c r="J1896" s="19">
        <f>WEEKNUM(tblRidershipData[[#This Row],[MeasurementDate]])</f>
        <v>50</v>
      </c>
      <c r="K1896" s="19">
        <f>MONTH(tblRidershipData[[#This Row],[MeasurementDate]])</f>
        <v>12</v>
      </c>
    </row>
    <row r="1897" spans="1:11" x14ac:dyDescent="0.25">
      <c r="A1897" s="31">
        <v>43811</v>
      </c>
      <c r="B1897" t="s">
        <v>5</v>
      </c>
      <c r="C1897" s="31">
        <v>2341</v>
      </c>
      <c r="D1897" t="s">
        <v>105</v>
      </c>
      <c r="E1897" t="s">
        <v>109</v>
      </c>
      <c r="F1897">
        <v>1</v>
      </c>
      <c r="G1897" t="s">
        <v>77</v>
      </c>
      <c r="H1897" t="s">
        <v>112</v>
      </c>
      <c r="I1897">
        <v>2</v>
      </c>
      <c r="J1897" s="19">
        <f>WEEKNUM(tblRidershipData[[#This Row],[MeasurementDate]])</f>
        <v>50</v>
      </c>
      <c r="K1897" s="19">
        <f>MONTH(tblRidershipData[[#This Row],[MeasurementDate]])</f>
        <v>12</v>
      </c>
    </row>
    <row r="1898" spans="1:11" x14ac:dyDescent="0.25">
      <c r="A1898" s="31">
        <v>43811</v>
      </c>
      <c r="B1898" t="s">
        <v>5</v>
      </c>
      <c r="C1898" s="31">
        <v>2361</v>
      </c>
      <c r="D1898" t="s">
        <v>81</v>
      </c>
      <c r="E1898" t="s">
        <v>111</v>
      </c>
      <c r="F1898">
        <v>1</v>
      </c>
      <c r="G1898" t="s">
        <v>43</v>
      </c>
      <c r="H1898" t="s">
        <v>110</v>
      </c>
      <c r="I1898">
        <v>7</v>
      </c>
      <c r="J1898" s="19">
        <f>WEEKNUM(tblRidershipData[[#This Row],[MeasurementDate]])</f>
        <v>50</v>
      </c>
      <c r="K1898" s="19">
        <f>MONTH(tblRidershipData[[#This Row],[MeasurementDate]])</f>
        <v>12</v>
      </c>
    </row>
    <row r="1899" spans="1:11" x14ac:dyDescent="0.25">
      <c r="A1899" s="31">
        <v>43811</v>
      </c>
      <c r="B1899" t="s">
        <v>5</v>
      </c>
      <c r="C1899" s="31">
        <v>2361</v>
      </c>
      <c r="D1899" t="s">
        <v>81</v>
      </c>
      <c r="E1899" t="s">
        <v>111</v>
      </c>
      <c r="F1899">
        <v>1</v>
      </c>
      <c r="G1899" t="s">
        <v>44</v>
      </c>
      <c r="H1899" t="s">
        <v>110</v>
      </c>
      <c r="I1899">
        <v>11</v>
      </c>
      <c r="J1899" s="19">
        <f>WEEKNUM(tblRidershipData[[#This Row],[MeasurementDate]])</f>
        <v>50</v>
      </c>
      <c r="K1899" s="19">
        <f>MONTH(tblRidershipData[[#This Row],[MeasurementDate]])</f>
        <v>12</v>
      </c>
    </row>
    <row r="1900" spans="1:11" x14ac:dyDescent="0.25">
      <c r="A1900" s="31">
        <v>43811</v>
      </c>
      <c r="B1900" t="s">
        <v>5</v>
      </c>
      <c r="C1900" s="31">
        <v>2361</v>
      </c>
      <c r="D1900" t="s">
        <v>81</v>
      </c>
      <c r="E1900" t="s">
        <v>111</v>
      </c>
      <c r="F1900">
        <v>1</v>
      </c>
      <c r="G1900" t="s">
        <v>46</v>
      </c>
      <c r="H1900" t="s">
        <v>110</v>
      </c>
      <c r="I1900">
        <v>11</v>
      </c>
      <c r="J1900" s="19">
        <f>WEEKNUM(tblRidershipData[[#This Row],[MeasurementDate]])</f>
        <v>50</v>
      </c>
      <c r="K1900" s="19">
        <f>MONTH(tblRidershipData[[#This Row],[MeasurementDate]])</f>
        <v>12</v>
      </c>
    </row>
    <row r="1901" spans="1:11" x14ac:dyDescent="0.25">
      <c r="A1901" s="31">
        <v>43811</v>
      </c>
      <c r="B1901" t="s">
        <v>5</v>
      </c>
      <c r="C1901" s="31">
        <v>2361</v>
      </c>
      <c r="D1901" t="s">
        <v>81</v>
      </c>
      <c r="E1901" t="s">
        <v>111</v>
      </c>
      <c r="F1901">
        <v>1</v>
      </c>
      <c r="G1901" t="s">
        <v>55</v>
      </c>
      <c r="H1901" t="s">
        <v>110</v>
      </c>
      <c r="I1901">
        <v>13</v>
      </c>
      <c r="J1901" s="19">
        <f>WEEKNUM(tblRidershipData[[#This Row],[MeasurementDate]])</f>
        <v>50</v>
      </c>
      <c r="K1901" s="19">
        <f>MONTH(tblRidershipData[[#This Row],[MeasurementDate]])</f>
        <v>12</v>
      </c>
    </row>
    <row r="1902" spans="1:11" x14ac:dyDescent="0.25">
      <c r="A1902" s="31">
        <v>43811</v>
      </c>
      <c r="B1902" t="s">
        <v>5</v>
      </c>
      <c r="C1902" s="31">
        <v>2361</v>
      </c>
      <c r="D1902" t="s">
        <v>81</v>
      </c>
      <c r="E1902" t="s">
        <v>111</v>
      </c>
      <c r="F1902">
        <v>1</v>
      </c>
      <c r="G1902" t="s">
        <v>57</v>
      </c>
      <c r="H1902" t="s">
        <v>110</v>
      </c>
      <c r="I1902">
        <v>1</v>
      </c>
      <c r="J1902" s="19">
        <f>WEEKNUM(tblRidershipData[[#This Row],[MeasurementDate]])</f>
        <v>50</v>
      </c>
      <c r="K1902" s="19">
        <f>MONTH(tblRidershipData[[#This Row],[MeasurementDate]])</f>
        <v>12</v>
      </c>
    </row>
    <row r="1903" spans="1:11" x14ac:dyDescent="0.25">
      <c r="A1903" s="31">
        <v>43811</v>
      </c>
      <c r="B1903" t="s">
        <v>5</v>
      </c>
      <c r="C1903" s="31">
        <v>2361</v>
      </c>
      <c r="D1903" t="s">
        <v>81</v>
      </c>
      <c r="E1903" t="s">
        <v>111</v>
      </c>
      <c r="F1903">
        <v>1</v>
      </c>
      <c r="G1903" t="s">
        <v>59</v>
      </c>
      <c r="H1903" t="s">
        <v>110</v>
      </c>
      <c r="I1903">
        <v>3</v>
      </c>
      <c r="J1903" s="19">
        <f>WEEKNUM(tblRidershipData[[#This Row],[MeasurementDate]])</f>
        <v>50</v>
      </c>
      <c r="K1903" s="19">
        <f>MONTH(tblRidershipData[[#This Row],[MeasurementDate]])</f>
        <v>12</v>
      </c>
    </row>
    <row r="1904" spans="1:11" x14ac:dyDescent="0.25">
      <c r="A1904" s="31">
        <v>43811</v>
      </c>
      <c r="B1904" t="s">
        <v>5</v>
      </c>
      <c r="C1904" s="31">
        <v>2361</v>
      </c>
      <c r="D1904" t="s">
        <v>81</v>
      </c>
      <c r="E1904" t="s">
        <v>111</v>
      </c>
      <c r="F1904">
        <v>1</v>
      </c>
      <c r="G1904" t="s">
        <v>60</v>
      </c>
      <c r="H1904" t="s">
        <v>110</v>
      </c>
      <c r="I1904">
        <v>3</v>
      </c>
      <c r="J1904" s="19">
        <f>WEEKNUM(tblRidershipData[[#This Row],[MeasurementDate]])</f>
        <v>50</v>
      </c>
      <c r="K1904" s="19">
        <f>MONTH(tblRidershipData[[#This Row],[MeasurementDate]])</f>
        <v>12</v>
      </c>
    </row>
    <row r="1905" spans="1:11" x14ac:dyDescent="0.25">
      <c r="A1905" s="31">
        <v>43811</v>
      </c>
      <c r="B1905" t="s">
        <v>5</v>
      </c>
      <c r="C1905" s="31">
        <v>2361</v>
      </c>
      <c r="D1905" t="s">
        <v>81</v>
      </c>
      <c r="E1905" t="s">
        <v>111</v>
      </c>
      <c r="F1905">
        <v>1</v>
      </c>
      <c r="G1905" t="s">
        <v>66</v>
      </c>
      <c r="H1905" t="s">
        <v>110</v>
      </c>
      <c r="I1905">
        <v>4</v>
      </c>
      <c r="J1905" s="19">
        <f>WEEKNUM(tblRidershipData[[#This Row],[MeasurementDate]])</f>
        <v>50</v>
      </c>
      <c r="K1905" s="19">
        <f>MONTH(tblRidershipData[[#This Row],[MeasurementDate]])</f>
        <v>12</v>
      </c>
    </row>
    <row r="1906" spans="1:11" x14ac:dyDescent="0.25">
      <c r="A1906" s="31">
        <v>43811</v>
      </c>
      <c r="B1906" t="s">
        <v>5</v>
      </c>
      <c r="C1906" s="31">
        <v>2361</v>
      </c>
      <c r="D1906" t="s">
        <v>81</v>
      </c>
      <c r="E1906" t="s">
        <v>111</v>
      </c>
      <c r="F1906">
        <v>1</v>
      </c>
      <c r="G1906" t="s">
        <v>69</v>
      </c>
      <c r="H1906" t="s">
        <v>110</v>
      </c>
      <c r="I1906">
        <v>6</v>
      </c>
      <c r="J1906" s="19">
        <f>WEEKNUM(tblRidershipData[[#This Row],[MeasurementDate]])</f>
        <v>50</v>
      </c>
      <c r="K1906" s="19">
        <f>MONTH(tblRidershipData[[#This Row],[MeasurementDate]])</f>
        <v>12</v>
      </c>
    </row>
    <row r="1907" spans="1:11" x14ac:dyDescent="0.25">
      <c r="A1907" s="31">
        <v>43811</v>
      </c>
      <c r="B1907" t="s">
        <v>5</v>
      </c>
      <c r="C1907" s="31">
        <v>2361</v>
      </c>
      <c r="D1907" t="s">
        <v>81</v>
      </c>
      <c r="E1907" t="s">
        <v>111</v>
      </c>
      <c r="F1907">
        <v>1</v>
      </c>
      <c r="G1907" t="s">
        <v>70</v>
      </c>
      <c r="H1907" t="s">
        <v>110</v>
      </c>
      <c r="I1907">
        <v>9</v>
      </c>
      <c r="J1907" s="19">
        <f>WEEKNUM(tblRidershipData[[#This Row],[MeasurementDate]])</f>
        <v>50</v>
      </c>
      <c r="K1907" s="19">
        <f>MONTH(tblRidershipData[[#This Row],[MeasurementDate]])</f>
        <v>12</v>
      </c>
    </row>
    <row r="1908" spans="1:11" x14ac:dyDescent="0.25">
      <c r="A1908" s="31">
        <v>43811</v>
      </c>
      <c r="B1908" t="s">
        <v>5</v>
      </c>
      <c r="C1908" s="31">
        <v>2361</v>
      </c>
      <c r="D1908" t="s">
        <v>81</v>
      </c>
      <c r="E1908" t="s">
        <v>111</v>
      </c>
      <c r="F1908">
        <v>1</v>
      </c>
      <c r="G1908" t="s">
        <v>71</v>
      </c>
      <c r="H1908" t="s">
        <v>110</v>
      </c>
      <c r="I1908">
        <v>9</v>
      </c>
      <c r="J1908" s="19">
        <f>WEEKNUM(tblRidershipData[[#This Row],[MeasurementDate]])</f>
        <v>50</v>
      </c>
      <c r="K1908" s="19">
        <f>MONTH(tblRidershipData[[#This Row],[MeasurementDate]])</f>
        <v>12</v>
      </c>
    </row>
    <row r="1909" spans="1:11" x14ac:dyDescent="0.25">
      <c r="A1909" s="31">
        <v>43811</v>
      </c>
      <c r="B1909" t="s">
        <v>5</v>
      </c>
      <c r="C1909" s="31">
        <v>2361</v>
      </c>
      <c r="D1909" t="s">
        <v>81</v>
      </c>
      <c r="E1909" t="s">
        <v>111</v>
      </c>
      <c r="F1909">
        <v>1</v>
      </c>
      <c r="G1909" t="s">
        <v>76</v>
      </c>
      <c r="H1909" t="s">
        <v>110</v>
      </c>
      <c r="I1909">
        <v>4</v>
      </c>
      <c r="J1909" s="19">
        <f>WEEKNUM(tblRidershipData[[#This Row],[MeasurementDate]])</f>
        <v>50</v>
      </c>
      <c r="K1909" s="19">
        <f>MONTH(tblRidershipData[[#This Row],[MeasurementDate]])</f>
        <v>12</v>
      </c>
    </row>
    <row r="1910" spans="1:11" x14ac:dyDescent="0.25">
      <c r="A1910" s="31">
        <v>43811</v>
      </c>
      <c r="B1910" t="s">
        <v>5</v>
      </c>
      <c r="C1910" s="31">
        <v>4501</v>
      </c>
      <c r="D1910" t="s">
        <v>79</v>
      </c>
      <c r="E1910" t="s">
        <v>111</v>
      </c>
      <c r="F1910">
        <v>1</v>
      </c>
      <c r="G1910" t="s">
        <v>43</v>
      </c>
      <c r="H1910" t="s">
        <v>110</v>
      </c>
      <c r="I1910">
        <v>3</v>
      </c>
      <c r="J1910" s="19">
        <f>WEEKNUM(tblRidershipData[[#This Row],[MeasurementDate]])</f>
        <v>50</v>
      </c>
      <c r="K1910" s="19">
        <f>MONTH(tblRidershipData[[#This Row],[MeasurementDate]])</f>
        <v>12</v>
      </c>
    </row>
    <row r="1911" spans="1:11" x14ac:dyDescent="0.25">
      <c r="A1911" s="31">
        <v>43811</v>
      </c>
      <c r="B1911" t="s">
        <v>5</v>
      </c>
      <c r="C1911" s="31">
        <v>4501</v>
      </c>
      <c r="D1911" t="s">
        <v>79</v>
      </c>
      <c r="E1911" t="s">
        <v>111</v>
      </c>
      <c r="F1911">
        <v>1</v>
      </c>
      <c r="G1911" t="s">
        <v>46</v>
      </c>
      <c r="H1911" t="s">
        <v>110</v>
      </c>
      <c r="I1911">
        <v>8</v>
      </c>
      <c r="J1911" s="19">
        <f>WEEKNUM(tblRidershipData[[#This Row],[MeasurementDate]])</f>
        <v>50</v>
      </c>
      <c r="K1911" s="19">
        <f>MONTH(tblRidershipData[[#This Row],[MeasurementDate]])</f>
        <v>12</v>
      </c>
    </row>
    <row r="1912" spans="1:11" x14ac:dyDescent="0.25">
      <c r="A1912" s="31">
        <v>43811</v>
      </c>
      <c r="B1912" t="s">
        <v>5</v>
      </c>
      <c r="C1912" s="31">
        <v>4501</v>
      </c>
      <c r="D1912" t="s">
        <v>79</v>
      </c>
      <c r="E1912" t="s">
        <v>111</v>
      </c>
      <c r="F1912">
        <v>1</v>
      </c>
      <c r="G1912" t="s">
        <v>55</v>
      </c>
      <c r="H1912" t="s">
        <v>110</v>
      </c>
      <c r="I1912">
        <v>1</v>
      </c>
      <c r="J1912" s="19">
        <f>WEEKNUM(tblRidershipData[[#This Row],[MeasurementDate]])</f>
        <v>50</v>
      </c>
      <c r="K1912" s="19">
        <f>MONTH(tblRidershipData[[#This Row],[MeasurementDate]])</f>
        <v>12</v>
      </c>
    </row>
    <row r="1913" spans="1:11" x14ac:dyDescent="0.25">
      <c r="A1913" s="31">
        <v>43811</v>
      </c>
      <c r="B1913" t="s">
        <v>5</v>
      </c>
      <c r="C1913" s="31">
        <v>4501</v>
      </c>
      <c r="D1913" t="s">
        <v>79</v>
      </c>
      <c r="E1913" t="s">
        <v>111</v>
      </c>
      <c r="F1913">
        <v>1</v>
      </c>
      <c r="G1913" t="s">
        <v>66</v>
      </c>
      <c r="H1913" t="s">
        <v>110</v>
      </c>
      <c r="I1913">
        <v>1</v>
      </c>
      <c r="J1913" s="19">
        <f>WEEKNUM(tblRidershipData[[#This Row],[MeasurementDate]])</f>
        <v>50</v>
      </c>
      <c r="K1913" s="19">
        <f>MONTH(tblRidershipData[[#This Row],[MeasurementDate]])</f>
        <v>12</v>
      </c>
    </row>
    <row r="1914" spans="1:11" x14ac:dyDescent="0.25">
      <c r="A1914" s="31">
        <v>43811</v>
      </c>
      <c r="B1914" t="s">
        <v>5</v>
      </c>
      <c r="C1914" s="31">
        <v>4501</v>
      </c>
      <c r="D1914" t="s">
        <v>79</v>
      </c>
      <c r="E1914" t="s">
        <v>111</v>
      </c>
      <c r="F1914">
        <v>1</v>
      </c>
      <c r="G1914" t="s">
        <v>70</v>
      </c>
      <c r="H1914" t="s">
        <v>110</v>
      </c>
      <c r="I1914">
        <v>1</v>
      </c>
      <c r="J1914" s="19">
        <f>WEEKNUM(tblRidershipData[[#This Row],[MeasurementDate]])</f>
        <v>50</v>
      </c>
      <c r="K1914" s="19">
        <f>MONTH(tblRidershipData[[#This Row],[MeasurementDate]])</f>
        <v>12</v>
      </c>
    </row>
    <row r="1915" spans="1:11" x14ac:dyDescent="0.25">
      <c r="A1915" s="31">
        <v>43811</v>
      </c>
      <c r="B1915" t="s">
        <v>5</v>
      </c>
      <c r="C1915" s="31">
        <v>4501</v>
      </c>
      <c r="D1915" t="s">
        <v>79</v>
      </c>
      <c r="E1915" t="s">
        <v>111</v>
      </c>
      <c r="F1915">
        <v>1</v>
      </c>
      <c r="G1915" t="s">
        <v>76</v>
      </c>
      <c r="H1915" t="s">
        <v>110</v>
      </c>
      <c r="I1915">
        <v>4</v>
      </c>
      <c r="J1915" s="19">
        <f>WEEKNUM(tblRidershipData[[#This Row],[MeasurementDate]])</f>
        <v>50</v>
      </c>
      <c r="K1915" s="19">
        <f>MONTH(tblRidershipData[[#This Row],[MeasurementDate]])</f>
        <v>12</v>
      </c>
    </row>
    <row r="1916" spans="1:11" x14ac:dyDescent="0.25">
      <c r="A1916" s="31">
        <v>43811</v>
      </c>
      <c r="B1916" t="s">
        <v>5</v>
      </c>
      <c r="C1916" s="31">
        <v>4501</v>
      </c>
      <c r="D1916" t="s">
        <v>79</v>
      </c>
      <c r="E1916" t="s">
        <v>109</v>
      </c>
      <c r="F1916">
        <v>1</v>
      </c>
      <c r="G1916" t="s">
        <v>66</v>
      </c>
      <c r="H1916" t="s">
        <v>110</v>
      </c>
      <c r="I1916">
        <v>3</v>
      </c>
      <c r="J1916" s="19">
        <f>WEEKNUM(tblRidershipData[[#This Row],[MeasurementDate]])</f>
        <v>50</v>
      </c>
      <c r="K1916" s="19">
        <f>MONTH(tblRidershipData[[#This Row],[MeasurementDate]])</f>
        <v>12</v>
      </c>
    </row>
    <row r="1917" spans="1:11" x14ac:dyDescent="0.25">
      <c r="A1917" s="31">
        <v>43811</v>
      </c>
      <c r="B1917" t="s">
        <v>5</v>
      </c>
      <c r="C1917" s="31">
        <v>4501</v>
      </c>
      <c r="D1917" t="s">
        <v>79</v>
      </c>
      <c r="E1917" t="s">
        <v>109</v>
      </c>
      <c r="F1917">
        <v>1</v>
      </c>
      <c r="G1917" t="s">
        <v>73</v>
      </c>
      <c r="H1917" t="s">
        <v>110</v>
      </c>
      <c r="I1917">
        <v>35</v>
      </c>
      <c r="J1917" s="19">
        <f>WEEKNUM(tblRidershipData[[#This Row],[MeasurementDate]])</f>
        <v>50</v>
      </c>
      <c r="K1917" s="19">
        <f>MONTH(tblRidershipData[[#This Row],[MeasurementDate]])</f>
        <v>12</v>
      </c>
    </row>
    <row r="1918" spans="1:11" x14ac:dyDescent="0.25">
      <c r="A1918" s="31">
        <v>43811</v>
      </c>
      <c r="B1918" t="s">
        <v>5</v>
      </c>
      <c r="C1918" s="31">
        <v>4501</v>
      </c>
      <c r="D1918" t="s">
        <v>79</v>
      </c>
      <c r="E1918" t="s">
        <v>111</v>
      </c>
      <c r="F1918">
        <v>1</v>
      </c>
      <c r="G1918" t="s">
        <v>46</v>
      </c>
      <c r="H1918" t="s">
        <v>112</v>
      </c>
      <c r="I1918">
        <v>2</v>
      </c>
      <c r="J1918" s="19">
        <f>WEEKNUM(tblRidershipData[[#This Row],[MeasurementDate]])</f>
        <v>50</v>
      </c>
      <c r="K1918" s="19">
        <f>MONTH(tblRidershipData[[#This Row],[MeasurementDate]])</f>
        <v>12</v>
      </c>
    </row>
    <row r="1919" spans="1:11" x14ac:dyDescent="0.25">
      <c r="A1919" s="31">
        <v>43811</v>
      </c>
      <c r="B1919" t="s">
        <v>5</v>
      </c>
      <c r="C1919" s="31">
        <v>4501</v>
      </c>
      <c r="D1919" t="s">
        <v>79</v>
      </c>
      <c r="E1919" t="s">
        <v>111</v>
      </c>
      <c r="F1919">
        <v>1</v>
      </c>
      <c r="G1919" t="s">
        <v>66</v>
      </c>
      <c r="H1919" t="s">
        <v>112</v>
      </c>
      <c r="I1919">
        <v>4</v>
      </c>
      <c r="J1919" s="19">
        <f>WEEKNUM(tblRidershipData[[#This Row],[MeasurementDate]])</f>
        <v>50</v>
      </c>
      <c r="K1919" s="19">
        <f>MONTH(tblRidershipData[[#This Row],[MeasurementDate]])</f>
        <v>12</v>
      </c>
    </row>
    <row r="1920" spans="1:11" x14ac:dyDescent="0.25">
      <c r="A1920" s="31">
        <v>43811</v>
      </c>
      <c r="B1920" t="s">
        <v>5</v>
      </c>
      <c r="C1920" s="31">
        <v>4501</v>
      </c>
      <c r="D1920" t="s">
        <v>79</v>
      </c>
      <c r="E1920" t="s">
        <v>111</v>
      </c>
      <c r="F1920">
        <v>1</v>
      </c>
      <c r="G1920" t="s">
        <v>69</v>
      </c>
      <c r="H1920" t="s">
        <v>112</v>
      </c>
      <c r="I1920">
        <v>6</v>
      </c>
      <c r="J1920" s="19">
        <f>WEEKNUM(tblRidershipData[[#This Row],[MeasurementDate]])</f>
        <v>50</v>
      </c>
      <c r="K1920" s="19">
        <f>MONTH(tblRidershipData[[#This Row],[MeasurementDate]])</f>
        <v>12</v>
      </c>
    </row>
    <row r="1921" spans="1:11" x14ac:dyDescent="0.25">
      <c r="A1921" s="31">
        <v>43811</v>
      </c>
      <c r="B1921" t="s">
        <v>5</v>
      </c>
      <c r="C1921" s="31">
        <v>4501</v>
      </c>
      <c r="D1921" t="s">
        <v>79</v>
      </c>
      <c r="E1921" t="s">
        <v>111</v>
      </c>
      <c r="F1921">
        <v>1</v>
      </c>
      <c r="G1921" t="s">
        <v>70</v>
      </c>
      <c r="H1921" t="s">
        <v>112</v>
      </c>
      <c r="I1921">
        <v>6</v>
      </c>
      <c r="J1921" s="19">
        <f>WEEKNUM(tblRidershipData[[#This Row],[MeasurementDate]])</f>
        <v>50</v>
      </c>
      <c r="K1921" s="19">
        <f>MONTH(tblRidershipData[[#This Row],[MeasurementDate]])</f>
        <v>12</v>
      </c>
    </row>
    <row r="1922" spans="1:11" x14ac:dyDescent="0.25">
      <c r="A1922" s="31">
        <v>43811</v>
      </c>
      <c r="B1922" t="s">
        <v>5</v>
      </c>
      <c r="C1922" s="31">
        <v>4501</v>
      </c>
      <c r="D1922" t="s">
        <v>79</v>
      </c>
      <c r="E1922" t="s">
        <v>109</v>
      </c>
      <c r="F1922">
        <v>1</v>
      </c>
      <c r="G1922" t="s">
        <v>43</v>
      </c>
      <c r="H1922" t="s">
        <v>112</v>
      </c>
      <c r="I1922">
        <v>2</v>
      </c>
      <c r="J1922" s="19">
        <f>WEEKNUM(tblRidershipData[[#This Row],[MeasurementDate]])</f>
        <v>50</v>
      </c>
      <c r="K1922" s="19">
        <f>MONTH(tblRidershipData[[#This Row],[MeasurementDate]])</f>
        <v>12</v>
      </c>
    </row>
    <row r="1923" spans="1:11" x14ac:dyDescent="0.25">
      <c r="A1923" s="31">
        <v>43811</v>
      </c>
      <c r="B1923" t="s">
        <v>5</v>
      </c>
      <c r="C1923" s="31">
        <v>4501</v>
      </c>
      <c r="D1923" t="s">
        <v>79</v>
      </c>
      <c r="E1923" t="s">
        <v>109</v>
      </c>
      <c r="F1923">
        <v>1</v>
      </c>
      <c r="G1923" t="s">
        <v>46</v>
      </c>
      <c r="H1923" t="s">
        <v>112</v>
      </c>
      <c r="I1923">
        <v>2</v>
      </c>
      <c r="J1923" s="19">
        <f>WEEKNUM(tblRidershipData[[#This Row],[MeasurementDate]])</f>
        <v>50</v>
      </c>
      <c r="K1923" s="19">
        <f>MONTH(tblRidershipData[[#This Row],[MeasurementDate]])</f>
        <v>12</v>
      </c>
    </row>
    <row r="1924" spans="1:11" x14ac:dyDescent="0.25">
      <c r="A1924" s="31">
        <v>43811</v>
      </c>
      <c r="B1924" t="s">
        <v>5</v>
      </c>
      <c r="C1924" s="31">
        <v>4501</v>
      </c>
      <c r="D1924" t="s">
        <v>79</v>
      </c>
      <c r="E1924" t="s">
        <v>109</v>
      </c>
      <c r="F1924">
        <v>1</v>
      </c>
      <c r="G1924" t="s">
        <v>55</v>
      </c>
      <c r="H1924" t="s">
        <v>112</v>
      </c>
      <c r="I1924">
        <v>1</v>
      </c>
      <c r="J1924" s="19">
        <f>WEEKNUM(tblRidershipData[[#This Row],[MeasurementDate]])</f>
        <v>50</v>
      </c>
      <c r="K1924" s="19">
        <f>MONTH(tblRidershipData[[#This Row],[MeasurementDate]])</f>
        <v>12</v>
      </c>
    </row>
    <row r="1925" spans="1:11" x14ac:dyDescent="0.25">
      <c r="A1925" s="31">
        <v>43811</v>
      </c>
      <c r="B1925" t="s">
        <v>5</v>
      </c>
      <c r="C1925" s="31">
        <v>4501</v>
      </c>
      <c r="D1925" t="s">
        <v>79</v>
      </c>
      <c r="E1925" t="s">
        <v>109</v>
      </c>
      <c r="F1925">
        <v>1</v>
      </c>
      <c r="G1925" t="s">
        <v>59</v>
      </c>
      <c r="H1925" t="s">
        <v>112</v>
      </c>
      <c r="I1925">
        <v>8</v>
      </c>
      <c r="J1925" s="19">
        <f>WEEKNUM(tblRidershipData[[#This Row],[MeasurementDate]])</f>
        <v>50</v>
      </c>
      <c r="K1925" s="19">
        <f>MONTH(tblRidershipData[[#This Row],[MeasurementDate]])</f>
        <v>12</v>
      </c>
    </row>
    <row r="1926" spans="1:11" x14ac:dyDescent="0.25">
      <c r="A1926" s="31">
        <v>43811</v>
      </c>
      <c r="B1926" t="s">
        <v>5</v>
      </c>
      <c r="C1926" s="31">
        <v>4501</v>
      </c>
      <c r="D1926" t="s">
        <v>79</v>
      </c>
      <c r="E1926" t="s">
        <v>109</v>
      </c>
      <c r="F1926">
        <v>1</v>
      </c>
      <c r="G1926" t="s">
        <v>66</v>
      </c>
      <c r="H1926" t="s">
        <v>112</v>
      </c>
      <c r="I1926">
        <v>4</v>
      </c>
      <c r="J1926" s="19">
        <f>WEEKNUM(tblRidershipData[[#This Row],[MeasurementDate]])</f>
        <v>50</v>
      </c>
      <c r="K1926" s="19">
        <f>MONTH(tblRidershipData[[#This Row],[MeasurementDate]])</f>
        <v>12</v>
      </c>
    </row>
    <row r="1927" spans="1:11" x14ac:dyDescent="0.25">
      <c r="A1927" s="31">
        <v>43811</v>
      </c>
      <c r="B1927" t="s">
        <v>5</v>
      </c>
      <c r="C1927" s="31">
        <v>4501</v>
      </c>
      <c r="D1927" t="s">
        <v>79</v>
      </c>
      <c r="E1927" t="s">
        <v>109</v>
      </c>
      <c r="F1927">
        <v>1</v>
      </c>
      <c r="G1927" t="s">
        <v>67</v>
      </c>
      <c r="H1927" t="s">
        <v>112</v>
      </c>
      <c r="I1927">
        <v>3</v>
      </c>
      <c r="J1927" s="19">
        <f>WEEKNUM(tblRidershipData[[#This Row],[MeasurementDate]])</f>
        <v>50</v>
      </c>
      <c r="K1927" s="19">
        <f>MONTH(tblRidershipData[[#This Row],[MeasurementDate]])</f>
        <v>12</v>
      </c>
    </row>
    <row r="1928" spans="1:11" x14ac:dyDescent="0.25">
      <c r="A1928" s="31">
        <v>43811</v>
      </c>
      <c r="B1928" t="s">
        <v>5</v>
      </c>
      <c r="C1928" s="31">
        <v>4501</v>
      </c>
      <c r="D1928" t="s">
        <v>79</v>
      </c>
      <c r="E1928" t="s">
        <v>109</v>
      </c>
      <c r="F1928">
        <v>1</v>
      </c>
      <c r="G1928" t="s">
        <v>70</v>
      </c>
      <c r="H1928" t="s">
        <v>112</v>
      </c>
      <c r="I1928">
        <v>7</v>
      </c>
      <c r="J1928" s="19">
        <f>WEEKNUM(tblRidershipData[[#This Row],[MeasurementDate]])</f>
        <v>50</v>
      </c>
      <c r="K1928" s="19">
        <f>MONTH(tblRidershipData[[#This Row],[MeasurementDate]])</f>
        <v>12</v>
      </c>
    </row>
    <row r="1929" spans="1:11" x14ac:dyDescent="0.25">
      <c r="A1929" s="31">
        <v>43811</v>
      </c>
      <c r="B1929" t="s">
        <v>5</v>
      </c>
      <c r="C1929" s="31">
        <v>4501</v>
      </c>
      <c r="D1929" t="s">
        <v>79</v>
      </c>
      <c r="E1929" t="s">
        <v>109</v>
      </c>
      <c r="F1929">
        <v>1</v>
      </c>
      <c r="G1929" t="s">
        <v>71</v>
      </c>
      <c r="H1929" t="s">
        <v>112</v>
      </c>
      <c r="I1929">
        <v>7</v>
      </c>
      <c r="J1929" s="19">
        <f>WEEKNUM(tblRidershipData[[#This Row],[MeasurementDate]])</f>
        <v>50</v>
      </c>
      <c r="K1929" s="19">
        <f>MONTH(tblRidershipData[[#This Row],[MeasurementDate]])</f>
        <v>12</v>
      </c>
    </row>
    <row r="1930" spans="1:11" x14ac:dyDescent="0.25">
      <c r="A1930" s="31">
        <v>43811</v>
      </c>
      <c r="B1930" t="s">
        <v>5</v>
      </c>
      <c r="C1930" s="31">
        <v>4501</v>
      </c>
      <c r="D1930" t="s">
        <v>79</v>
      </c>
      <c r="E1930" t="s">
        <v>109</v>
      </c>
      <c r="F1930">
        <v>1</v>
      </c>
      <c r="G1930" t="s">
        <v>76</v>
      </c>
      <c r="H1930" t="s">
        <v>112</v>
      </c>
      <c r="I1930">
        <v>4</v>
      </c>
      <c r="J1930" s="19">
        <f>WEEKNUM(tblRidershipData[[#This Row],[MeasurementDate]])</f>
        <v>50</v>
      </c>
      <c r="K1930" s="19">
        <f>MONTH(tblRidershipData[[#This Row],[MeasurementDate]])</f>
        <v>12</v>
      </c>
    </row>
    <row r="1931" spans="1:11" x14ac:dyDescent="0.25">
      <c r="A1931" s="31">
        <v>43811</v>
      </c>
      <c r="B1931" t="s">
        <v>5</v>
      </c>
      <c r="C1931" s="31">
        <v>2361</v>
      </c>
      <c r="D1931" t="s">
        <v>81</v>
      </c>
      <c r="E1931" t="s">
        <v>111</v>
      </c>
      <c r="F1931">
        <v>1</v>
      </c>
      <c r="G1931" t="s">
        <v>44</v>
      </c>
      <c r="H1931" t="s">
        <v>112</v>
      </c>
      <c r="I1931">
        <v>1</v>
      </c>
      <c r="J1931" s="19">
        <f>WEEKNUM(tblRidershipData[[#This Row],[MeasurementDate]])</f>
        <v>50</v>
      </c>
      <c r="K1931" s="19">
        <f>MONTH(tblRidershipData[[#This Row],[MeasurementDate]])</f>
        <v>12</v>
      </c>
    </row>
    <row r="1932" spans="1:11" x14ac:dyDescent="0.25">
      <c r="A1932" s="31">
        <v>43811</v>
      </c>
      <c r="B1932" t="s">
        <v>5</v>
      </c>
      <c r="C1932" s="31">
        <v>2361</v>
      </c>
      <c r="D1932" t="s">
        <v>81</v>
      </c>
      <c r="E1932" t="s">
        <v>111</v>
      </c>
      <c r="F1932">
        <v>1</v>
      </c>
      <c r="G1932" t="s">
        <v>51</v>
      </c>
      <c r="H1932" t="s">
        <v>112</v>
      </c>
      <c r="I1932">
        <v>18</v>
      </c>
      <c r="J1932" s="19">
        <f>WEEKNUM(tblRidershipData[[#This Row],[MeasurementDate]])</f>
        <v>50</v>
      </c>
      <c r="K1932" s="19">
        <f>MONTH(tblRidershipData[[#This Row],[MeasurementDate]])</f>
        <v>12</v>
      </c>
    </row>
    <row r="1933" spans="1:11" x14ac:dyDescent="0.25">
      <c r="A1933" s="31">
        <v>43811</v>
      </c>
      <c r="B1933" t="s">
        <v>5</v>
      </c>
      <c r="C1933" s="31">
        <v>2361</v>
      </c>
      <c r="D1933" t="s">
        <v>81</v>
      </c>
      <c r="E1933" t="s">
        <v>111</v>
      </c>
      <c r="F1933">
        <v>1</v>
      </c>
      <c r="G1933" t="s">
        <v>59</v>
      </c>
      <c r="H1933" t="s">
        <v>112</v>
      </c>
      <c r="I1933">
        <v>42</v>
      </c>
      <c r="J1933" s="19">
        <f>WEEKNUM(tblRidershipData[[#This Row],[MeasurementDate]])</f>
        <v>50</v>
      </c>
      <c r="K1933" s="19">
        <f>MONTH(tblRidershipData[[#This Row],[MeasurementDate]])</f>
        <v>12</v>
      </c>
    </row>
    <row r="1934" spans="1:11" x14ac:dyDescent="0.25">
      <c r="A1934" s="31">
        <v>43811</v>
      </c>
      <c r="B1934" t="s">
        <v>5</v>
      </c>
      <c r="C1934" s="31">
        <v>2361</v>
      </c>
      <c r="D1934" t="s">
        <v>81</v>
      </c>
      <c r="E1934" t="s">
        <v>111</v>
      </c>
      <c r="F1934">
        <v>1</v>
      </c>
      <c r="G1934" t="s">
        <v>69</v>
      </c>
      <c r="H1934" t="s">
        <v>112</v>
      </c>
      <c r="I1934">
        <v>2</v>
      </c>
      <c r="J1934" s="19">
        <f>WEEKNUM(tblRidershipData[[#This Row],[MeasurementDate]])</f>
        <v>50</v>
      </c>
      <c r="K1934" s="19">
        <f>MONTH(tblRidershipData[[#This Row],[MeasurementDate]])</f>
        <v>12</v>
      </c>
    </row>
    <row r="1935" spans="1:11" x14ac:dyDescent="0.25">
      <c r="A1935" s="31">
        <v>43811</v>
      </c>
      <c r="B1935" t="s">
        <v>5</v>
      </c>
      <c r="C1935" s="31">
        <v>2361</v>
      </c>
      <c r="D1935" t="s">
        <v>81</v>
      </c>
      <c r="E1935" t="s">
        <v>111</v>
      </c>
      <c r="F1935">
        <v>1</v>
      </c>
      <c r="G1935" t="s">
        <v>75</v>
      </c>
      <c r="H1935" t="s">
        <v>112</v>
      </c>
      <c r="I1935">
        <v>18</v>
      </c>
      <c r="J1935" s="19">
        <f>WEEKNUM(tblRidershipData[[#This Row],[MeasurementDate]])</f>
        <v>50</v>
      </c>
      <c r="K1935" s="19">
        <f>MONTH(tblRidershipData[[#This Row],[MeasurementDate]])</f>
        <v>12</v>
      </c>
    </row>
    <row r="1936" spans="1:11" x14ac:dyDescent="0.25">
      <c r="A1936" s="31">
        <v>43811</v>
      </c>
      <c r="B1936" t="s">
        <v>5</v>
      </c>
      <c r="C1936" s="31">
        <v>2361</v>
      </c>
      <c r="D1936" t="s">
        <v>81</v>
      </c>
      <c r="E1936" t="s">
        <v>109</v>
      </c>
      <c r="F1936">
        <v>1</v>
      </c>
      <c r="G1936" t="s">
        <v>43</v>
      </c>
      <c r="H1936" t="s">
        <v>112</v>
      </c>
      <c r="I1936">
        <v>14</v>
      </c>
      <c r="J1936" s="19">
        <f>WEEKNUM(tblRidershipData[[#This Row],[MeasurementDate]])</f>
        <v>50</v>
      </c>
      <c r="K1936" s="19">
        <f>MONTH(tblRidershipData[[#This Row],[MeasurementDate]])</f>
        <v>12</v>
      </c>
    </row>
    <row r="1937" spans="1:11" x14ac:dyDescent="0.25">
      <c r="A1937" s="31">
        <v>43811</v>
      </c>
      <c r="B1937" t="s">
        <v>5</v>
      </c>
      <c r="C1937" s="31">
        <v>2361</v>
      </c>
      <c r="D1937" t="s">
        <v>81</v>
      </c>
      <c r="E1937" t="s">
        <v>109</v>
      </c>
      <c r="F1937">
        <v>1</v>
      </c>
      <c r="G1937" t="s">
        <v>46</v>
      </c>
      <c r="H1937" t="s">
        <v>112</v>
      </c>
      <c r="I1937">
        <v>8</v>
      </c>
      <c r="J1937" s="19">
        <f>WEEKNUM(tblRidershipData[[#This Row],[MeasurementDate]])</f>
        <v>50</v>
      </c>
      <c r="K1937" s="19">
        <f>MONTH(tblRidershipData[[#This Row],[MeasurementDate]])</f>
        <v>12</v>
      </c>
    </row>
    <row r="1938" spans="1:11" x14ac:dyDescent="0.25">
      <c r="A1938" s="31">
        <v>43811</v>
      </c>
      <c r="B1938" t="s">
        <v>5</v>
      </c>
      <c r="C1938" s="31">
        <v>2361</v>
      </c>
      <c r="D1938" t="s">
        <v>81</v>
      </c>
      <c r="E1938" t="s">
        <v>109</v>
      </c>
      <c r="F1938">
        <v>1</v>
      </c>
      <c r="G1938" t="s">
        <v>52</v>
      </c>
      <c r="H1938" t="s">
        <v>112</v>
      </c>
      <c r="I1938">
        <v>1</v>
      </c>
      <c r="J1938" s="19">
        <f>WEEKNUM(tblRidershipData[[#This Row],[MeasurementDate]])</f>
        <v>50</v>
      </c>
      <c r="K1938" s="19">
        <f>MONTH(tblRidershipData[[#This Row],[MeasurementDate]])</f>
        <v>12</v>
      </c>
    </row>
    <row r="1939" spans="1:11" x14ac:dyDescent="0.25">
      <c r="A1939" s="31">
        <v>43811</v>
      </c>
      <c r="B1939" t="s">
        <v>5</v>
      </c>
      <c r="C1939" s="31">
        <v>2361</v>
      </c>
      <c r="D1939" t="s">
        <v>81</v>
      </c>
      <c r="E1939" t="s">
        <v>109</v>
      </c>
      <c r="F1939">
        <v>1</v>
      </c>
      <c r="G1939" t="s">
        <v>54</v>
      </c>
      <c r="H1939" t="s">
        <v>112</v>
      </c>
      <c r="I1939">
        <v>3</v>
      </c>
      <c r="J1939" s="19">
        <f>WEEKNUM(tblRidershipData[[#This Row],[MeasurementDate]])</f>
        <v>50</v>
      </c>
      <c r="K1939" s="19">
        <f>MONTH(tblRidershipData[[#This Row],[MeasurementDate]])</f>
        <v>12</v>
      </c>
    </row>
    <row r="1940" spans="1:11" x14ac:dyDescent="0.25">
      <c r="A1940" s="31">
        <v>43811</v>
      </c>
      <c r="B1940" t="s">
        <v>5</v>
      </c>
      <c r="C1940" s="31">
        <v>2361</v>
      </c>
      <c r="D1940" t="s">
        <v>81</v>
      </c>
      <c r="E1940" t="s">
        <v>109</v>
      </c>
      <c r="F1940">
        <v>1</v>
      </c>
      <c r="G1940" t="s">
        <v>66</v>
      </c>
      <c r="H1940" t="s">
        <v>112</v>
      </c>
      <c r="I1940">
        <v>24</v>
      </c>
      <c r="J1940" s="19">
        <f>WEEKNUM(tblRidershipData[[#This Row],[MeasurementDate]])</f>
        <v>50</v>
      </c>
      <c r="K1940" s="19">
        <f>MONTH(tblRidershipData[[#This Row],[MeasurementDate]])</f>
        <v>12</v>
      </c>
    </row>
    <row r="1941" spans="1:11" x14ac:dyDescent="0.25">
      <c r="A1941" s="31">
        <v>43811</v>
      </c>
      <c r="B1941" t="s">
        <v>5</v>
      </c>
      <c r="C1941" s="31">
        <v>2361</v>
      </c>
      <c r="D1941" t="s">
        <v>81</v>
      </c>
      <c r="E1941" t="s">
        <v>109</v>
      </c>
      <c r="F1941">
        <v>1</v>
      </c>
      <c r="G1941" t="s">
        <v>69</v>
      </c>
      <c r="H1941" t="s">
        <v>112</v>
      </c>
      <c r="I1941">
        <v>4</v>
      </c>
      <c r="J1941" s="19">
        <f>WEEKNUM(tblRidershipData[[#This Row],[MeasurementDate]])</f>
        <v>50</v>
      </c>
      <c r="K1941" s="19">
        <f>MONTH(tblRidershipData[[#This Row],[MeasurementDate]])</f>
        <v>12</v>
      </c>
    </row>
    <row r="1942" spans="1:11" x14ac:dyDescent="0.25">
      <c r="A1942" s="31">
        <v>43811</v>
      </c>
      <c r="B1942" t="s">
        <v>5</v>
      </c>
      <c r="C1942" s="31">
        <v>2361</v>
      </c>
      <c r="D1942" t="s">
        <v>81</v>
      </c>
      <c r="E1942" t="s">
        <v>109</v>
      </c>
      <c r="F1942">
        <v>1</v>
      </c>
      <c r="G1942" t="s">
        <v>70</v>
      </c>
      <c r="H1942" t="s">
        <v>112</v>
      </c>
      <c r="I1942">
        <v>2</v>
      </c>
      <c r="J1942" s="19">
        <f>WEEKNUM(tblRidershipData[[#This Row],[MeasurementDate]])</f>
        <v>50</v>
      </c>
      <c r="K1942" s="19">
        <f>MONTH(tblRidershipData[[#This Row],[MeasurementDate]])</f>
        <v>12</v>
      </c>
    </row>
    <row r="1943" spans="1:11" x14ac:dyDescent="0.25">
      <c r="A1943" s="31">
        <v>43811</v>
      </c>
      <c r="B1943" t="s">
        <v>5</v>
      </c>
      <c r="C1943" s="31">
        <v>2361</v>
      </c>
      <c r="D1943" t="s">
        <v>81</v>
      </c>
      <c r="E1943" t="s">
        <v>109</v>
      </c>
      <c r="F1943">
        <v>1</v>
      </c>
      <c r="G1943" t="s">
        <v>71</v>
      </c>
      <c r="H1943" t="s">
        <v>112</v>
      </c>
      <c r="I1943">
        <v>1</v>
      </c>
      <c r="J1943" s="19">
        <f>WEEKNUM(tblRidershipData[[#This Row],[MeasurementDate]])</f>
        <v>50</v>
      </c>
      <c r="K1943" s="19">
        <f>MONTH(tblRidershipData[[#This Row],[MeasurementDate]])</f>
        <v>12</v>
      </c>
    </row>
    <row r="1944" spans="1:11" x14ac:dyDescent="0.25">
      <c r="A1944" s="31">
        <v>43811</v>
      </c>
      <c r="B1944" t="s">
        <v>5</v>
      </c>
      <c r="C1944" s="31">
        <v>2361</v>
      </c>
      <c r="D1944" t="s">
        <v>81</v>
      </c>
      <c r="E1944" t="s">
        <v>109</v>
      </c>
      <c r="F1944">
        <v>1</v>
      </c>
      <c r="G1944" t="s">
        <v>76</v>
      </c>
      <c r="H1944" t="s">
        <v>112</v>
      </c>
      <c r="I1944">
        <v>4</v>
      </c>
      <c r="J1944" s="19">
        <f>WEEKNUM(tblRidershipData[[#This Row],[MeasurementDate]])</f>
        <v>50</v>
      </c>
      <c r="K1944" s="19">
        <f>MONTH(tblRidershipData[[#This Row],[MeasurementDate]])</f>
        <v>12</v>
      </c>
    </row>
    <row r="1945" spans="1:11" x14ac:dyDescent="0.25">
      <c r="A1945" s="31">
        <v>43811</v>
      </c>
      <c r="B1945" t="s">
        <v>5</v>
      </c>
      <c r="C1945" s="31">
        <v>2363</v>
      </c>
      <c r="D1945" t="s">
        <v>80</v>
      </c>
      <c r="E1945" t="s">
        <v>111</v>
      </c>
      <c r="F1945">
        <v>1</v>
      </c>
      <c r="G1945" t="s">
        <v>43</v>
      </c>
      <c r="H1945" t="s">
        <v>110</v>
      </c>
      <c r="I1945">
        <v>16</v>
      </c>
      <c r="J1945" s="19">
        <f>WEEKNUM(tblRidershipData[[#This Row],[MeasurementDate]])</f>
        <v>50</v>
      </c>
      <c r="K1945" s="19">
        <f>MONTH(tblRidershipData[[#This Row],[MeasurementDate]])</f>
        <v>12</v>
      </c>
    </row>
    <row r="1946" spans="1:11" x14ac:dyDescent="0.25">
      <c r="A1946" s="31">
        <v>43811</v>
      </c>
      <c r="B1946" t="s">
        <v>5</v>
      </c>
      <c r="C1946" s="31">
        <v>2363</v>
      </c>
      <c r="D1946" t="s">
        <v>80</v>
      </c>
      <c r="E1946" t="s">
        <v>111</v>
      </c>
      <c r="F1946">
        <v>1</v>
      </c>
      <c r="G1946" t="s">
        <v>55</v>
      </c>
      <c r="H1946" t="s">
        <v>110</v>
      </c>
      <c r="I1946">
        <v>3</v>
      </c>
      <c r="J1946" s="19">
        <f>WEEKNUM(tblRidershipData[[#This Row],[MeasurementDate]])</f>
        <v>50</v>
      </c>
      <c r="K1946" s="19">
        <f>MONTH(tblRidershipData[[#This Row],[MeasurementDate]])</f>
        <v>12</v>
      </c>
    </row>
    <row r="1947" spans="1:11" x14ac:dyDescent="0.25">
      <c r="A1947" s="31">
        <v>43811</v>
      </c>
      <c r="B1947" t="s">
        <v>5</v>
      </c>
      <c r="C1947" s="31">
        <v>2363</v>
      </c>
      <c r="D1947" t="s">
        <v>80</v>
      </c>
      <c r="E1947" t="s">
        <v>111</v>
      </c>
      <c r="F1947">
        <v>1</v>
      </c>
      <c r="G1947" t="s">
        <v>59</v>
      </c>
      <c r="H1947" t="s">
        <v>110</v>
      </c>
      <c r="I1947">
        <v>2</v>
      </c>
      <c r="J1947" s="19">
        <f>WEEKNUM(tblRidershipData[[#This Row],[MeasurementDate]])</f>
        <v>50</v>
      </c>
      <c r="K1947" s="19">
        <f>MONTH(tblRidershipData[[#This Row],[MeasurementDate]])</f>
        <v>12</v>
      </c>
    </row>
    <row r="1948" spans="1:11" x14ac:dyDescent="0.25">
      <c r="A1948" s="31">
        <v>43811</v>
      </c>
      <c r="B1948" t="s">
        <v>5</v>
      </c>
      <c r="C1948" s="31">
        <v>2363</v>
      </c>
      <c r="D1948" t="s">
        <v>80</v>
      </c>
      <c r="E1948" t="s">
        <v>111</v>
      </c>
      <c r="F1948">
        <v>1</v>
      </c>
      <c r="G1948" t="s">
        <v>60</v>
      </c>
      <c r="H1948" t="s">
        <v>110</v>
      </c>
      <c r="I1948">
        <v>4</v>
      </c>
      <c r="J1948" s="19">
        <f>WEEKNUM(tblRidershipData[[#This Row],[MeasurementDate]])</f>
        <v>50</v>
      </c>
      <c r="K1948" s="19">
        <f>MONTH(tblRidershipData[[#This Row],[MeasurementDate]])</f>
        <v>12</v>
      </c>
    </row>
    <row r="1949" spans="1:11" x14ac:dyDescent="0.25">
      <c r="A1949" s="31">
        <v>43811</v>
      </c>
      <c r="B1949" t="s">
        <v>5</v>
      </c>
      <c r="C1949" s="31">
        <v>2363</v>
      </c>
      <c r="D1949" t="s">
        <v>80</v>
      </c>
      <c r="E1949" t="s">
        <v>111</v>
      </c>
      <c r="F1949">
        <v>1</v>
      </c>
      <c r="G1949" t="s">
        <v>66</v>
      </c>
      <c r="H1949" t="s">
        <v>110</v>
      </c>
      <c r="I1949">
        <v>13</v>
      </c>
      <c r="J1949" s="19">
        <f>WEEKNUM(tblRidershipData[[#This Row],[MeasurementDate]])</f>
        <v>50</v>
      </c>
      <c r="K1949" s="19">
        <f>MONTH(tblRidershipData[[#This Row],[MeasurementDate]])</f>
        <v>12</v>
      </c>
    </row>
    <row r="1950" spans="1:11" x14ac:dyDescent="0.25">
      <c r="A1950" s="31">
        <v>43811</v>
      </c>
      <c r="B1950" t="s">
        <v>5</v>
      </c>
      <c r="C1950" s="31">
        <v>2363</v>
      </c>
      <c r="D1950" t="s">
        <v>80</v>
      </c>
      <c r="E1950" t="s">
        <v>111</v>
      </c>
      <c r="F1950">
        <v>1</v>
      </c>
      <c r="G1950" t="s">
        <v>70</v>
      </c>
      <c r="H1950" t="s">
        <v>110</v>
      </c>
      <c r="I1950">
        <v>1</v>
      </c>
      <c r="J1950" s="19">
        <f>WEEKNUM(tblRidershipData[[#This Row],[MeasurementDate]])</f>
        <v>50</v>
      </c>
      <c r="K1950" s="19">
        <f>MONTH(tblRidershipData[[#This Row],[MeasurementDate]])</f>
        <v>12</v>
      </c>
    </row>
    <row r="1951" spans="1:11" x14ac:dyDescent="0.25">
      <c r="A1951" s="31">
        <v>43811</v>
      </c>
      <c r="B1951" t="s">
        <v>5</v>
      </c>
      <c r="C1951" s="31">
        <v>2363</v>
      </c>
      <c r="D1951" t="s">
        <v>80</v>
      </c>
      <c r="E1951" t="s">
        <v>111</v>
      </c>
      <c r="F1951">
        <v>1</v>
      </c>
      <c r="G1951" t="s">
        <v>71</v>
      </c>
      <c r="H1951" t="s">
        <v>110</v>
      </c>
      <c r="I1951">
        <v>5</v>
      </c>
      <c r="J1951" s="19">
        <f>WEEKNUM(tblRidershipData[[#This Row],[MeasurementDate]])</f>
        <v>50</v>
      </c>
      <c r="K1951" s="19">
        <f>MONTH(tblRidershipData[[#This Row],[MeasurementDate]])</f>
        <v>12</v>
      </c>
    </row>
    <row r="1952" spans="1:11" x14ac:dyDescent="0.25">
      <c r="A1952" s="31">
        <v>43811</v>
      </c>
      <c r="B1952" t="s">
        <v>5</v>
      </c>
      <c r="C1952" s="31">
        <v>2363</v>
      </c>
      <c r="D1952" t="s">
        <v>80</v>
      </c>
      <c r="E1952" t="s">
        <v>111</v>
      </c>
      <c r="F1952">
        <v>1</v>
      </c>
      <c r="G1952" t="s">
        <v>76</v>
      </c>
      <c r="H1952" t="s">
        <v>110</v>
      </c>
      <c r="I1952">
        <v>4</v>
      </c>
      <c r="J1952" s="19">
        <f>WEEKNUM(tblRidershipData[[#This Row],[MeasurementDate]])</f>
        <v>50</v>
      </c>
      <c r="K1952" s="19">
        <f>MONTH(tblRidershipData[[#This Row],[MeasurementDate]])</f>
        <v>12</v>
      </c>
    </row>
    <row r="1953" spans="1:11" x14ac:dyDescent="0.25">
      <c r="A1953" s="31">
        <v>43811</v>
      </c>
      <c r="B1953" t="s">
        <v>5</v>
      </c>
      <c r="C1953" s="31">
        <v>2363</v>
      </c>
      <c r="D1953" t="s">
        <v>80</v>
      </c>
      <c r="E1953" t="s">
        <v>111</v>
      </c>
      <c r="F1953">
        <v>2</v>
      </c>
      <c r="G1953" t="s">
        <v>43</v>
      </c>
      <c r="H1953" t="s">
        <v>110</v>
      </c>
      <c r="I1953">
        <v>1</v>
      </c>
      <c r="J1953" s="19">
        <f>WEEKNUM(tblRidershipData[[#This Row],[MeasurementDate]])</f>
        <v>50</v>
      </c>
      <c r="K1953" s="19">
        <f>MONTH(tblRidershipData[[#This Row],[MeasurementDate]])</f>
        <v>12</v>
      </c>
    </row>
    <row r="1954" spans="1:11" x14ac:dyDescent="0.25">
      <c r="A1954" s="31">
        <v>43811</v>
      </c>
      <c r="B1954" t="s">
        <v>5</v>
      </c>
      <c r="C1954" s="31">
        <v>2363</v>
      </c>
      <c r="D1954" t="s">
        <v>80</v>
      </c>
      <c r="E1954" t="s">
        <v>111</v>
      </c>
      <c r="F1954">
        <v>2</v>
      </c>
      <c r="G1954" t="s">
        <v>46</v>
      </c>
      <c r="H1954" t="s">
        <v>110</v>
      </c>
      <c r="I1954">
        <v>2</v>
      </c>
      <c r="J1954" s="19">
        <f>WEEKNUM(tblRidershipData[[#This Row],[MeasurementDate]])</f>
        <v>50</v>
      </c>
      <c r="K1954" s="19">
        <f>MONTH(tblRidershipData[[#This Row],[MeasurementDate]])</f>
        <v>12</v>
      </c>
    </row>
    <row r="1955" spans="1:11" x14ac:dyDescent="0.25">
      <c r="A1955" s="31">
        <v>43811</v>
      </c>
      <c r="B1955" t="s">
        <v>5</v>
      </c>
      <c r="C1955" s="31">
        <v>2363</v>
      </c>
      <c r="D1955" t="s">
        <v>80</v>
      </c>
      <c r="E1955" t="s">
        <v>111</v>
      </c>
      <c r="F1955">
        <v>2</v>
      </c>
      <c r="G1955" t="s">
        <v>51</v>
      </c>
      <c r="H1955" t="s">
        <v>110</v>
      </c>
      <c r="I1955">
        <v>4</v>
      </c>
      <c r="J1955" s="19">
        <f>WEEKNUM(tblRidershipData[[#This Row],[MeasurementDate]])</f>
        <v>50</v>
      </c>
      <c r="K1955" s="19">
        <f>MONTH(tblRidershipData[[#This Row],[MeasurementDate]])</f>
        <v>12</v>
      </c>
    </row>
    <row r="1956" spans="1:11" x14ac:dyDescent="0.25">
      <c r="A1956" s="31">
        <v>43811</v>
      </c>
      <c r="B1956" t="s">
        <v>5</v>
      </c>
      <c r="C1956" s="31">
        <v>2363</v>
      </c>
      <c r="D1956" t="s">
        <v>80</v>
      </c>
      <c r="E1956" t="s">
        <v>111</v>
      </c>
      <c r="F1956">
        <v>2</v>
      </c>
      <c r="G1956" t="s">
        <v>55</v>
      </c>
      <c r="H1956" t="s">
        <v>110</v>
      </c>
      <c r="I1956">
        <v>1</v>
      </c>
      <c r="J1956" s="19">
        <f>WEEKNUM(tblRidershipData[[#This Row],[MeasurementDate]])</f>
        <v>50</v>
      </c>
      <c r="K1956" s="19">
        <f>MONTH(tblRidershipData[[#This Row],[MeasurementDate]])</f>
        <v>12</v>
      </c>
    </row>
    <row r="1957" spans="1:11" x14ac:dyDescent="0.25">
      <c r="A1957" s="31">
        <v>43811</v>
      </c>
      <c r="B1957" t="s">
        <v>5</v>
      </c>
      <c r="C1957" s="31">
        <v>2363</v>
      </c>
      <c r="D1957" t="s">
        <v>80</v>
      </c>
      <c r="E1957" t="s">
        <v>111</v>
      </c>
      <c r="F1957">
        <v>2</v>
      </c>
      <c r="G1957" t="s">
        <v>69</v>
      </c>
      <c r="H1957" t="s">
        <v>110</v>
      </c>
      <c r="I1957">
        <v>4</v>
      </c>
      <c r="J1957" s="19">
        <f>WEEKNUM(tblRidershipData[[#This Row],[MeasurementDate]])</f>
        <v>50</v>
      </c>
      <c r="K1957" s="19">
        <f>MONTH(tblRidershipData[[#This Row],[MeasurementDate]])</f>
        <v>12</v>
      </c>
    </row>
    <row r="1958" spans="1:11" x14ac:dyDescent="0.25">
      <c r="A1958" s="31">
        <v>43811</v>
      </c>
      <c r="B1958" t="s">
        <v>5</v>
      </c>
      <c r="C1958" s="31">
        <v>2363</v>
      </c>
      <c r="D1958" t="s">
        <v>80</v>
      </c>
      <c r="E1958" t="s">
        <v>111</v>
      </c>
      <c r="F1958">
        <v>1</v>
      </c>
      <c r="G1958" t="s">
        <v>69</v>
      </c>
      <c r="H1958" t="s">
        <v>110</v>
      </c>
      <c r="I1958">
        <v>1</v>
      </c>
      <c r="J1958" s="19">
        <f>WEEKNUM(tblRidershipData[[#This Row],[MeasurementDate]])</f>
        <v>50</v>
      </c>
      <c r="K1958" s="19">
        <f>MONTH(tblRidershipData[[#This Row],[MeasurementDate]])</f>
        <v>12</v>
      </c>
    </row>
    <row r="1959" spans="1:11" x14ac:dyDescent="0.25">
      <c r="A1959" s="31">
        <v>43811</v>
      </c>
      <c r="B1959" t="s">
        <v>5</v>
      </c>
      <c r="C1959" s="31">
        <v>2363</v>
      </c>
      <c r="D1959" t="s">
        <v>80</v>
      </c>
      <c r="E1959" t="s">
        <v>111</v>
      </c>
      <c r="F1959">
        <v>1</v>
      </c>
      <c r="G1959" t="s">
        <v>75</v>
      </c>
      <c r="H1959" t="s">
        <v>110</v>
      </c>
      <c r="I1959">
        <v>13</v>
      </c>
      <c r="J1959" s="19">
        <f>WEEKNUM(tblRidershipData[[#This Row],[MeasurementDate]])</f>
        <v>50</v>
      </c>
      <c r="K1959" s="19">
        <f>MONTH(tblRidershipData[[#This Row],[MeasurementDate]])</f>
        <v>12</v>
      </c>
    </row>
    <row r="1960" spans="1:11" x14ac:dyDescent="0.25">
      <c r="A1960" s="31">
        <v>43811</v>
      </c>
      <c r="B1960" t="s">
        <v>5</v>
      </c>
      <c r="C1960" s="31">
        <v>2363</v>
      </c>
      <c r="D1960" t="s">
        <v>80</v>
      </c>
      <c r="E1960" t="s">
        <v>111</v>
      </c>
      <c r="F1960">
        <v>2</v>
      </c>
      <c r="G1960" t="s">
        <v>44</v>
      </c>
      <c r="H1960" t="s">
        <v>110</v>
      </c>
      <c r="I1960">
        <v>11</v>
      </c>
      <c r="J1960" s="19">
        <f>WEEKNUM(tblRidershipData[[#This Row],[MeasurementDate]])</f>
        <v>50</v>
      </c>
      <c r="K1960" s="19">
        <f>MONTH(tblRidershipData[[#This Row],[MeasurementDate]])</f>
        <v>12</v>
      </c>
    </row>
    <row r="1961" spans="1:11" x14ac:dyDescent="0.25">
      <c r="A1961" s="31">
        <v>43811</v>
      </c>
      <c r="B1961" t="s">
        <v>5</v>
      </c>
      <c r="C1961" s="31">
        <v>2363</v>
      </c>
      <c r="D1961" t="s">
        <v>80</v>
      </c>
      <c r="E1961" t="s">
        <v>111</v>
      </c>
      <c r="F1961">
        <v>2</v>
      </c>
      <c r="G1961" t="s">
        <v>51</v>
      </c>
      <c r="H1961" t="s">
        <v>110</v>
      </c>
      <c r="I1961">
        <v>4</v>
      </c>
      <c r="J1961" s="19">
        <f>WEEKNUM(tblRidershipData[[#This Row],[MeasurementDate]])</f>
        <v>50</v>
      </c>
      <c r="K1961" s="19">
        <f>MONTH(tblRidershipData[[#This Row],[MeasurementDate]])</f>
        <v>12</v>
      </c>
    </row>
    <row r="1962" spans="1:11" x14ac:dyDescent="0.25">
      <c r="A1962" s="31">
        <v>43811</v>
      </c>
      <c r="B1962" t="s">
        <v>5</v>
      </c>
      <c r="C1962" s="31">
        <v>2363</v>
      </c>
      <c r="D1962" t="s">
        <v>80</v>
      </c>
      <c r="E1962" t="s">
        <v>111</v>
      </c>
      <c r="F1962">
        <v>2</v>
      </c>
      <c r="G1962" t="s">
        <v>55</v>
      </c>
      <c r="H1962" t="s">
        <v>110</v>
      </c>
      <c r="I1962">
        <v>3</v>
      </c>
      <c r="J1962" s="19">
        <f>WEEKNUM(tblRidershipData[[#This Row],[MeasurementDate]])</f>
        <v>50</v>
      </c>
      <c r="K1962" s="19">
        <f>MONTH(tblRidershipData[[#This Row],[MeasurementDate]])</f>
        <v>12</v>
      </c>
    </row>
    <row r="1963" spans="1:11" x14ac:dyDescent="0.25">
      <c r="A1963" s="31">
        <v>43811</v>
      </c>
      <c r="B1963" t="s">
        <v>5</v>
      </c>
      <c r="C1963" s="31">
        <v>2363</v>
      </c>
      <c r="D1963" t="s">
        <v>80</v>
      </c>
      <c r="E1963" t="s">
        <v>111</v>
      </c>
      <c r="F1963">
        <v>2</v>
      </c>
      <c r="G1963" t="s">
        <v>69</v>
      </c>
      <c r="H1963" t="s">
        <v>110</v>
      </c>
      <c r="I1963">
        <v>28</v>
      </c>
      <c r="J1963" s="19">
        <f>WEEKNUM(tblRidershipData[[#This Row],[MeasurementDate]])</f>
        <v>50</v>
      </c>
      <c r="K1963" s="19">
        <f>MONTH(tblRidershipData[[#This Row],[MeasurementDate]])</f>
        <v>12</v>
      </c>
    </row>
    <row r="1964" spans="1:11" x14ac:dyDescent="0.25">
      <c r="A1964" s="31">
        <v>43811</v>
      </c>
      <c r="B1964" t="s">
        <v>5</v>
      </c>
      <c r="C1964" s="31">
        <v>2363</v>
      </c>
      <c r="D1964" t="s">
        <v>80</v>
      </c>
      <c r="E1964" t="s">
        <v>109</v>
      </c>
      <c r="F1964">
        <v>1</v>
      </c>
      <c r="G1964" t="s">
        <v>43</v>
      </c>
      <c r="H1964" t="s">
        <v>110</v>
      </c>
      <c r="I1964">
        <v>17</v>
      </c>
      <c r="J1964" s="19">
        <f>WEEKNUM(tblRidershipData[[#This Row],[MeasurementDate]])</f>
        <v>50</v>
      </c>
      <c r="K1964" s="19">
        <f>MONTH(tblRidershipData[[#This Row],[MeasurementDate]])</f>
        <v>12</v>
      </c>
    </row>
    <row r="1965" spans="1:11" x14ac:dyDescent="0.25">
      <c r="A1965" s="31">
        <v>43811</v>
      </c>
      <c r="B1965" t="s">
        <v>5</v>
      </c>
      <c r="C1965" s="31">
        <v>2363</v>
      </c>
      <c r="D1965" t="s">
        <v>80</v>
      </c>
      <c r="E1965" t="s">
        <v>109</v>
      </c>
      <c r="F1965">
        <v>1</v>
      </c>
      <c r="G1965" t="s">
        <v>46</v>
      </c>
      <c r="H1965" t="s">
        <v>110</v>
      </c>
      <c r="I1965">
        <v>11</v>
      </c>
      <c r="J1965" s="19">
        <f>WEEKNUM(tblRidershipData[[#This Row],[MeasurementDate]])</f>
        <v>50</v>
      </c>
      <c r="K1965" s="19">
        <f>MONTH(tblRidershipData[[#This Row],[MeasurementDate]])</f>
        <v>12</v>
      </c>
    </row>
    <row r="1966" spans="1:11" x14ac:dyDescent="0.25">
      <c r="A1966" s="31">
        <v>43811</v>
      </c>
      <c r="B1966" t="s">
        <v>5</v>
      </c>
      <c r="C1966" s="31">
        <v>2363</v>
      </c>
      <c r="D1966" t="s">
        <v>80</v>
      </c>
      <c r="E1966" t="s">
        <v>109</v>
      </c>
      <c r="F1966">
        <v>1</v>
      </c>
      <c r="G1966" t="s">
        <v>60</v>
      </c>
      <c r="H1966" t="s">
        <v>110</v>
      </c>
      <c r="I1966">
        <v>6</v>
      </c>
      <c r="J1966" s="19">
        <f>WEEKNUM(tblRidershipData[[#This Row],[MeasurementDate]])</f>
        <v>50</v>
      </c>
      <c r="K1966" s="19">
        <f>MONTH(tblRidershipData[[#This Row],[MeasurementDate]])</f>
        <v>12</v>
      </c>
    </row>
    <row r="1967" spans="1:11" x14ac:dyDescent="0.25">
      <c r="A1967" s="31">
        <v>43811</v>
      </c>
      <c r="B1967" t="s">
        <v>5</v>
      </c>
      <c r="C1967" s="31">
        <v>2363</v>
      </c>
      <c r="D1967" t="s">
        <v>80</v>
      </c>
      <c r="E1967" t="s">
        <v>109</v>
      </c>
      <c r="F1967">
        <v>1</v>
      </c>
      <c r="G1967" t="s">
        <v>66</v>
      </c>
      <c r="H1967" t="s">
        <v>110</v>
      </c>
      <c r="I1967">
        <v>11</v>
      </c>
      <c r="J1967" s="19">
        <f>WEEKNUM(tblRidershipData[[#This Row],[MeasurementDate]])</f>
        <v>50</v>
      </c>
      <c r="K1967" s="19">
        <f>MONTH(tblRidershipData[[#This Row],[MeasurementDate]])</f>
        <v>12</v>
      </c>
    </row>
    <row r="1968" spans="1:11" x14ac:dyDescent="0.25">
      <c r="A1968" s="31">
        <v>43811</v>
      </c>
      <c r="B1968" t="s">
        <v>5</v>
      </c>
      <c r="C1968" s="31">
        <v>2363</v>
      </c>
      <c r="D1968" t="s">
        <v>80</v>
      </c>
      <c r="E1968" t="s">
        <v>109</v>
      </c>
      <c r="F1968">
        <v>1</v>
      </c>
      <c r="G1968" t="s">
        <v>70</v>
      </c>
      <c r="H1968" t="s">
        <v>110</v>
      </c>
      <c r="I1968">
        <v>14</v>
      </c>
      <c r="J1968" s="19">
        <f>WEEKNUM(tblRidershipData[[#This Row],[MeasurementDate]])</f>
        <v>50</v>
      </c>
      <c r="K1968" s="19">
        <f>MONTH(tblRidershipData[[#This Row],[MeasurementDate]])</f>
        <v>12</v>
      </c>
    </row>
    <row r="1969" spans="1:11" x14ac:dyDescent="0.25">
      <c r="A1969" s="31">
        <v>43811</v>
      </c>
      <c r="B1969" t="s">
        <v>5</v>
      </c>
      <c r="C1969" s="31">
        <v>2363</v>
      </c>
      <c r="D1969" t="s">
        <v>80</v>
      </c>
      <c r="E1969" t="s">
        <v>109</v>
      </c>
      <c r="F1969">
        <v>1</v>
      </c>
      <c r="G1969" t="s">
        <v>71</v>
      </c>
      <c r="H1969" t="s">
        <v>110</v>
      </c>
      <c r="I1969">
        <v>1</v>
      </c>
      <c r="J1969" s="19">
        <f>WEEKNUM(tblRidershipData[[#This Row],[MeasurementDate]])</f>
        <v>50</v>
      </c>
      <c r="K1969" s="19">
        <f>MONTH(tblRidershipData[[#This Row],[MeasurementDate]])</f>
        <v>12</v>
      </c>
    </row>
    <row r="1970" spans="1:11" x14ac:dyDescent="0.25">
      <c r="A1970" s="31">
        <v>43811</v>
      </c>
      <c r="B1970" t="s">
        <v>5</v>
      </c>
      <c r="C1970" s="31">
        <v>2363</v>
      </c>
      <c r="D1970" t="s">
        <v>80</v>
      </c>
      <c r="E1970" t="s">
        <v>109</v>
      </c>
      <c r="F1970">
        <v>1</v>
      </c>
      <c r="G1970" t="s">
        <v>75</v>
      </c>
      <c r="H1970" t="s">
        <v>110</v>
      </c>
      <c r="I1970">
        <v>2</v>
      </c>
      <c r="J1970" s="19">
        <f>WEEKNUM(tblRidershipData[[#This Row],[MeasurementDate]])</f>
        <v>50</v>
      </c>
      <c r="K1970" s="19">
        <f>MONTH(tblRidershipData[[#This Row],[MeasurementDate]])</f>
        <v>12</v>
      </c>
    </row>
    <row r="1971" spans="1:11" x14ac:dyDescent="0.25">
      <c r="A1971" s="31">
        <v>43811</v>
      </c>
      <c r="B1971" t="s">
        <v>5</v>
      </c>
      <c r="C1971" s="31">
        <v>2363</v>
      </c>
      <c r="D1971" t="s">
        <v>80</v>
      </c>
      <c r="E1971" t="s">
        <v>109</v>
      </c>
      <c r="F1971">
        <v>2</v>
      </c>
      <c r="G1971" t="s">
        <v>59</v>
      </c>
      <c r="H1971" t="s">
        <v>110</v>
      </c>
      <c r="I1971">
        <v>6</v>
      </c>
      <c r="J1971" s="19">
        <f>WEEKNUM(tblRidershipData[[#This Row],[MeasurementDate]])</f>
        <v>50</v>
      </c>
      <c r="K1971" s="19">
        <f>MONTH(tblRidershipData[[#This Row],[MeasurementDate]])</f>
        <v>12</v>
      </c>
    </row>
    <row r="1972" spans="1:11" x14ac:dyDescent="0.25">
      <c r="A1972" s="31">
        <v>43811</v>
      </c>
      <c r="B1972" t="s">
        <v>5</v>
      </c>
      <c r="C1972" s="31">
        <v>2363</v>
      </c>
      <c r="D1972" t="s">
        <v>80</v>
      </c>
      <c r="E1972" t="s">
        <v>109</v>
      </c>
      <c r="F1972">
        <v>2</v>
      </c>
      <c r="G1972" t="s">
        <v>60</v>
      </c>
      <c r="H1972" t="s">
        <v>110</v>
      </c>
      <c r="I1972">
        <v>3</v>
      </c>
      <c r="J1972" s="19">
        <f>WEEKNUM(tblRidershipData[[#This Row],[MeasurementDate]])</f>
        <v>50</v>
      </c>
      <c r="K1972" s="19">
        <f>MONTH(tblRidershipData[[#This Row],[MeasurementDate]])</f>
        <v>12</v>
      </c>
    </row>
    <row r="1973" spans="1:11" x14ac:dyDescent="0.25">
      <c r="A1973" s="31">
        <v>43811</v>
      </c>
      <c r="B1973" t="s">
        <v>5</v>
      </c>
      <c r="C1973" s="31">
        <v>2363</v>
      </c>
      <c r="D1973" t="s">
        <v>80</v>
      </c>
      <c r="E1973" t="s">
        <v>109</v>
      </c>
      <c r="F1973">
        <v>2</v>
      </c>
      <c r="G1973" t="s">
        <v>66</v>
      </c>
      <c r="H1973" t="s">
        <v>110</v>
      </c>
      <c r="I1973">
        <v>3</v>
      </c>
      <c r="J1973" s="19">
        <f>WEEKNUM(tblRidershipData[[#This Row],[MeasurementDate]])</f>
        <v>50</v>
      </c>
      <c r="K1973" s="19">
        <f>MONTH(tblRidershipData[[#This Row],[MeasurementDate]])</f>
        <v>12</v>
      </c>
    </row>
    <row r="1974" spans="1:11" x14ac:dyDescent="0.25">
      <c r="A1974" s="31">
        <v>43811</v>
      </c>
      <c r="B1974" t="s">
        <v>5</v>
      </c>
      <c r="C1974" s="31">
        <v>2363</v>
      </c>
      <c r="D1974" t="s">
        <v>80</v>
      </c>
      <c r="E1974" t="s">
        <v>109</v>
      </c>
      <c r="F1974">
        <v>2</v>
      </c>
      <c r="G1974" t="s">
        <v>69</v>
      </c>
      <c r="H1974" t="s">
        <v>110</v>
      </c>
      <c r="I1974">
        <v>4</v>
      </c>
      <c r="J1974" s="19">
        <f>WEEKNUM(tblRidershipData[[#This Row],[MeasurementDate]])</f>
        <v>50</v>
      </c>
      <c r="K1974" s="19">
        <f>MONTH(tblRidershipData[[#This Row],[MeasurementDate]])</f>
        <v>12</v>
      </c>
    </row>
    <row r="1975" spans="1:11" x14ac:dyDescent="0.25">
      <c r="A1975" s="31">
        <v>43811</v>
      </c>
      <c r="B1975" t="s">
        <v>5</v>
      </c>
      <c r="C1975" s="31">
        <v>4502</v>
      </c>
      <c r="D1975" t="s">
        <v>88</v>
      </c>
      <c r="E1975" t="s">
        <v>111</v>
      </c>
      <c r="F1975">
        <v>1</v>
      </c>
      <c r="G1975" t="s">
        <v>43</v>
      </c>
      <c r="H1975" t="s">
        <v>110</v>
      </c>
      <c r="I1975">
        <v>10</v>
      </c>
      <c r="J1975" s="19">
        <f>WEEKNUM(tblRidershipData[[#This Row],[MeasurementDate]])</f>
        <v>50</v>
      </c>
      <c r="K1975" s="19">
        <f>MONTH(tblRidershipData[[#This Row],[MeasurementDate]])</f>
        <v>12</v>
      </c>
    </row>
    <row r="1976" spans="1:11" x14ac:dyDescent="0.25">
      <c r="A1976" s="31">
        <v>43811</v>
      </c>
      <c r="B1976" t="s">
        <v>5</v>
      </c>
      <c r="C1976" s="31">
        <v>4502</v>
      </c>
      <c r="D1976" t="s">
        <v>88</v>
      </c>
      <c r="E1976" t="s">
        <v>111</v>
      </c>
      <c r="F1976">
        <v>1</v>
      </c>
      <c r="G1976" t="s">
        <v>44</v>
      </c>
      <c r="H1976" t="s">
        <v>110</v>
      </c>
      <c r="I1976">
        <v>3</v>
      </c>
      <c r="J1976" s="19">
        <f>WEEKNUM(tblRidershipData[[#This Row],[MeasurementDate]])</f>
        <v>50</v>
      </c>
      <c r="K1976" s="19">
        <f>MONTH(tblRidershipData[[#This Row],[MeasurementDate]])</f>
        <v>12</v>
      </c>
    </row>
    <row r="1977" spans="1:11" x14ac:dyDescent="0.25">
      <c r="A1977" s="31">
        <v>43811</v>
      </c>
      <c r="B1977" t="s">
        <v>5</v>
      </c>
      <c r="C1977" s="31">
        <v>4502</v>
      </c>
      <c r="D1977" t="s">
        <v>88</v>
      </c>
      <c r="E1977" t="s">
        <v>111</v>
      </c>
      <c r="F1977">
        <v>1</v>
      </c>
      <c r="G1977" t="s">
        <v>57</v>
      </c>
      <c r="H1977" t="s">
        <v>110</v>
      </c>
      <c r="I1977">
        <v>8</v>
      </c>
      <c r="J1977" s="19">
        <f>WEEKNUM(tblRidershipData[[#This Row],[MeasurementDate]])</f>
        <v>50</v>
      </c>
      <c r="K1977" s="19">
        <f>MONTH(tblRidershipData[[#This Row],[MeasurementDate]])</f>
        <v>12</v>
      </c>
    </row>
    <row r="1978" spans="1:11" x14ac:dyDescent="0.25">
      <c r="A1978" s="31">
        <v>43811</v>
      </c>
      <c r="B1978" t="s">
        <v>5</v>
      </c>
      <c r="C1978" s="31">
        <v>4502</v>
      </c>
      <c r="D1978" t="s">
        <v>88</v>
      </c>
      <c r="E1978" t="s">
        <v>111</v>
      </c>
      <c r="F1978">
        <v>1</v>
      </c>
      <c r="G1978" t="s">
        <v>60</v>
      </c>
      <c r="H1978" t="s">
        <v>110</v>
      </c>
      <c r="I1978">
        <v>2</v>
      </c>
      <c r="J1978" s="19">
        <f>WEEKNUM(tblRidershipData[[#This Row],[MeasurementDate]])</f>
        <v>50</v>
      </c>
      <c r="K1978" s="19">
        <f>MONTH(tblRidershipData[[#This Row],[MeasurementDate]])</f>
        <v>12</v>
      </c>
    </row>
    <row r="1979" spans="1:11" x14ac:dyDescent="0.25">
      <c r="A1979" s="31">
        <v>43811</v>
      </c>
      <c r="B1979" t="s">
        <v>5</v>
      </c>
      <c r="C1979" s="31">
        <v>4502</v>
      </c>
      <c r="D1979" t="s">
        <v>88</v>
      </c>
      <c r="E1979" t="s">
        <v>111</v>
      </c>
      <c r="F1979">
        <v>1</v>
      </c>
      <c r="G1979" t="s">
        <v>66</v>
      </c>
      <c r="H1979" t="s">
        <v>110</v>
      </c>
      <c r="I1979">
        <v>3</v>
      </c>
      <c r="J1979" s="19">
        <f>WEEKNUM(tblRidershipData[[#This Row],[MeasurementDate]])</f>
        <v>50</v>
      </c>
      <c r="K1979" s="19">
        <f>MONTH(tblRidershipData[[#This Row],[MeasurementDate]])</f>
        <v>12</v>
      </c>
    </row>
    <row r="1980" spans="1:11" x14ac:dyDescent="0.25">
      <c r="A1980" s="31">
        <v>43811</v>
      </c>
      <c r="B1980" t="s">
        <v>5</v>
      </c>
      <c r="C1980" s="31">
        <v>4502</v>
      </c>
      <c r="D1980" t="s">
        <v>88</v>
      </c>
      <c r="E1980" t="s">
        <v>111</v>
      </c>
      <c r="F1980">
        <v>1</v>
      </c>
      <c r="G1980" t="s">
        <v>70</v>
      </c>
      <c r="H1980" t="s">
        <v>110</v>
      </c>
      <c r="I1980">
        <v>7</v>
      </c>
      <c r="J1980" s="19">
        <f>WEEKNUM(tblRidershipData[[#This Row],[MeasurementDate]])</f>
        <v>50</v>
      </c>
      <c r="K1980" s="19">
        <f>MONTH(tblRidershipData[[#This Row],[MeasurementDate]])</f>
        <v>12</v>
      </c>
    </row>
    <row r="1981" spans="1:11" x14ac:dyDescent="0.25">
      <c r="A1981" s="31">
        <v>43811</v>
      </c>
      <c r="B1981" t="s">
        <v>5</v>
      </c>
      <c r="C1981" s="31">
        <v>4502</v>
      </c>
      <c r="D1981" t="s">
        <v>88</v>
      </c>
      <c r="E1981" t="s">
        <v>111</v>
      </c>
      <c r="F1981">
        <v>1</v>
      </c>
      <c r="G1981" t="s">
        <v>71</v>
      </c>
      <c r="H1981" t="s">
        <v>110</v>
      </c>
      <c r="I1981">
        <v>5</v>
      </c>
      <c r="J1981" s="19">
        <f>WEEKNUM(tblRidershipData[[#This Row],[MeasurementDate]])</f>
        <v>50</v>
      </c>
      <c r="K1981" s="19">
        <f>MONTH(tblRidershipData[[#This Row],[MeasurementDate]])</f>
        <v>12</v>
      </c>
    </row>
    <row r="1982" spans="1:11" x14ac:dyDescent="0.25">
      <c r="A1982" s="31">
        <v>43811</v>
      </c>
      <c r="B1982" t="s">
        <v>5</v>
      </c>
      <c r="C1982" s="31">
        <v>4502</v>
      </c>
      <c r="D1982" t="s">
        <v>88</v>
      </c>
      <c r="E1982" t="s">
        <v>111</v>
      </c>
      <c r="F1982">
        <v>2</v>
      </c>
      <c r="G1982" t="s">
        <v>70</v>
      </c>
      <c r="H1982" t="s">
        <v>110</v>
      </c>
      <c r="I1982">
        <v>7</v>
      </c>
      <c r="J1982" s="19">
        <f>WEEKNUM(tblRidershipData[[#This Row],[MeasurementDate]])</f>
        <v>50</v>
      </c>
      <c r="K1982" s="19">
        <f>MONTH(tblRidershipData[[#This Row],[MeasurementDate]])</f>
        <v>12</v>
      </c>
    </row>
    <row r="1983" spans="1:11" x14ac:dyDescent="0.25">
      <c r="A1983" s="31">
        <v>43811</v>
      </c>
      <c r="B1983" t="s">
        <v>5</v>
      </c>
      <c r="C1983" s="31">
        <v>4502</v>
      </c>
      <c r="D1983" t="s">
        <v>88</v>
      </c>
      <c r="E1983" t="s">
        <v>111</v>
      </c>
      <c r="F1983">
        <v>2</v>
      </c>
      <c r="G1983" t="s">
        <v>71</v>
      </c>
      <c r="H1983" t="s">
        <v>110</v>
      </c>
      <c r="I1983">
        <v>2</v>
      </c>
      <c r="J1983" s="19">
        <f>WEEKNUM(tblRidershipData[[#This Row],[MeasurementDate]])</f>
        <v>50</v>
      </c>
      <c r="K1983" s="19">
        <f>MONTH(tblRidershipData[[#This Row],[MeasurementDate]])</f>
        <v>12</v>
      </c>
    </row>
    <row r="1984" spans="1:11" x14ac:dyDescent="0.25">
      <c r="A1984" s="31">
        <v>43811</v>
      </c>
      <c r="B1984" t="s">
        <v>5</v>
      </c>
      <c r="C1984" s="31">
        <v>4502</v>
      </c>
      <c r="D1984" t="s">
        <v>88</v>
      </c>
      <c r="E1984" t="s">
        <v>109</v>
      </c>
      <c r="F1984">
        <v>1</v>
      </c>
      <c r="G1984" t="s">
        <v>59</v>
      </c>
      <c r="H1984" t="s">
        <v>110</v>
      </c>
      <c r="I1984">
        <v>7</v>
      </c>
      <c r="J1984" s="19">
        <f>WEEKNUM(tblRidershipData[[#This Row],[MeasurementDate]])</f>
        <v>50</v>
      </c>
      <c r="K1984" s="19">
        <f>MONTH(tblRidershipData[[#This Row],[MeasurementDate]])</f>
        <v>12</v>
      </c>
    </row>
    <row r="1985" spans="1:11" x14ac:dyDescent="0.25">
      <c r="A1985" s="31">
        <v>43811</v>
      </c>
      <c r="B1985" t="s">
        <v>5</v>
      </c>
      <c r="C1985" s="31">
        <v>4502</v>
      </c>
      <c r="D1985" t="s">
        <v>88</v>
      </c>
      <c r="E1985" t="s">
        <v>109</v>
      </c>
      <c r="F1985">
        <v>1</v>
      </c>
      <c r="G1985" t="s">
        <v>67</v>
      </c>
      <c r="H1985" t="s">
        <v>110</v>
      </c>
      <c r="I1985">
        <v>34</v>
      </c>
      <c r="J1985" s="19">
        <f>WEEKNUM(tblRidershipData[[#This Row],[MeasurementDate]])</f>
        <v>50</v>
      </c>
      <c r="K1985" s="19">
        <f>MONTH(tblRidershipData[[#This Row],[MeasurementDate]])</f>
        <v>12</v>
      </c>
    </row>
    <row r="1986" spans="1:11" x14ac:dyDescent="0.25">
      <c r="A1986" s="31">
        <v>43811</v>
      </c>
      <c r="B1986" t="s">
        <v>5</v>
      </c>
      <c r="C1986" s="31">
        <v>4502</v>
      </c>
      <c r="D1986" t="s">
        <v>88</v>
      </c>
      <c r="E1986" t="s">
        <v>109</v>
      </c>
      <c r="F1986">
        <v>1</v>
      </c>
      <c r="G1986" t="s">
        <v>70</v>
      </c>
      <c r="H1986" t="s">
        <v>110</v>
      </c>
      <c r="I1986">
        <v>2</v>
      </c>
      <c r="J1986" s="19">
        <f>WEEKNUM(tblRidershipData[[#This Row],[MeasurementDate]])</f>
        <v>50</v>
      </c>
      <c r="K1986" s="19">
        <f>MONTH(tblRidershipData[[#This Row],[MeasurementDate]])</f>
        <v>12</v>
      </c>
    </row>
    <row r="1987" spans="1:11" x14ac:dyDescent="0.25">
      <c r="A1987" s="31">
        <v>43811</v>
      </c>
      <c r="B1987" t="s">
        <v>5</v>
      </c>
      <c r="C1987" s="31">
        <v>4502</v>
      </c>
      <c r="D1987" t="s">
        <v>88</v>
      </c>
      <c r="E1987" t="s">
        <v>109</v>
      </c>
      <c r="F1987">
        <v>1</v>
      </c>
      <c r="G1987" t="s">
        <v>74</v>
      </c>
      <c r="H1987" t="s">
        <v>110</v>
      </c>
      <c r="I1987">
        <v>11</v>
      </c>
      <c r="J1987" s="19">
        <f>WEEKNUM(tblRidershipData[[#This Row],[MeasurementDate]])</f>
        <v>50</v>
      </c>
      <c r="K1987" s="19">
        <f>MONTH(tblRidershipData[[#This Row],[MeasurementDate]])</f>
        <v>12</v>
      </c>
    </row>
    <row r="1988" spans="1:11" x14ac:dyDescent="0.25">
      <c r="A1988" s="31">
        <v>43811</v>
      </c>
      <c r="B1988" t="s">
        <v>5</v>
      </c>
      <c r="C1988" s="31">
        <v>4502</v>
      </c>
      <c r="D1988" t="s">
        <v>88</v>
      </c>
      <c r="E1988" t="s">
        <v>111</v>
      </c>
      <c r="F1988">
        <v>1</v>
      </c>
      <c r="G1988" t="s">
        <v>43</v>
      </c>
      <c r="H1988" t="s">
        <v>112</v>
      </c>
      <c r="I1988">
        <v>10</v>
      </c>
      <c r="J1988" s="19">
        <f>WEEKNUM(tblRidershipData[[#This Row],[MeasurementDate]])</f>
        <v>50</v>
      </c>
      <c r="K1988" s="19">
        <f>MONTH(tblRidershipData[[#This Row],[MeasurementDate]])</f>
        <v>12</v>
      </c>
    </row>
    <row r="1989" spans="1:11" x14ac:dyDescent="0.25">
      <c r="A1989" s="31">
        <v>43811</v>
      </c>
      <c r="B1989" t="s">
        <v>5</v>
      </c>
      <c r="C1989" s="31">
        <v>4502</v>
      </c>
      <c r="D1989" t="s">
        <v>88</v>
      </c>
      <c r="E1989" t="s">
        <v>111</v>
      </c>
      <c r="F1989">
        <v>1</v>
      </c>
      <c r="G1989" t="s">
        <v>44</v>
      </c>
      <c r="H1989" t="s">
        <v>112</v>
      </c>
      <c r="I1989">
        <v>4</v>
      </c>
      <c r="J1989" s="19">
        <f>WEEKNUM(tblRidershipData[[#This Row],[MeasurementDate]])</f>
        <v>50</v>
      </c>
      <c r="K1989" s="19">
        <f>MONTH(tblRidershipData[[#This Row],[MeasurementDate]])</f>
        <v>12</v>
      </c>
    </row>
    <row r="1990" spans="1:11" x14ac:dyDescent="0.25">
      <c r="A1990" s="31">
        <v>43811</v>
      </c>
      <c r="B1990" t="s">
        <v>5</v>
      </c>
      <c r="C1990" s="31">
        <v>4502</v>
      </c>
      <c r="D1990" t="s">
        <v>88</v>
      </c>
      <c r="E1990" t="s">
        <v>111</v>
      </c>
      <c r="F1990">
        <v>1</v>
      </c>
      <c r="G1990" t="s">
        <v>57</v>
      </c>
      <c r="H1990" t="s">
        <v>112</v>
      </c>
      <c r="I1990">
        <v>6</v>
      </c>
      <c r="J1990" s="19">
        <f>WEEKNUM(tblRidershipData[[#This Row],[MeasurementDate]])</f>
        <v>50</v>
      </c>
      <c r="K1990" s="19">
        <f>MONTH(tblRidershipData[[#This Row],[MeasurementDate]])</f>
        <v>12</v>
      </c>
    </row>
    <row r="1991" spans="1:11" x14ac:dyDescent="0.25">
      <c r="A1991" s="31">
        <v>43811</v>
      </c>
      <c r="B1991" t="s">
        <v>5</v>
      </c>
      <c r="C1991" s="31">
        <v>4502</v>
      </c>
      <c r="D1991" t="s">
        <v>88</v>
      </c>
      <c r="E1991" t="s">
        <v>111</v>
      </c>
      <c r="F1991">
        <v>1</v>
      </c>
      <c r="G1991" t="s">
        <v>66</v>
      </c>
      <c r="H1991" t="s">
        <v>112</v>
      </c>
      <c r="I1991">
        <v>3</v>
      </c>
      <c r="J1991" s="19">
        <f>WEEKNUM(tblRidershipData[[#This Row],[MeasurementDate]])</f>
        <v>50</v>
      </c>
      <c r="K1991" s="19">
        <f>MONTH(tblRidershipData[[#This Row],[MeasurementDate]])</f>
        <v>12</v>
      </c>
    </row>
    <row r="1992" spans="1:11" x14ac:dyDescent="0.25">
      <c r="A1992" s="31">
        <v>43811</v>
      </c>
      <c r="B1992" t="s">
        <v>5</v>
      </c>
      <c r="C1992" s="31">
        <v>4502</v>
      </c>
      <c r="D1992" t="s">
        <v>88</v>
      </c>
      <c r="E1992" t="s">
        <v>111</v>
      </c>
      <c r="F1992">
        <v>1</v>
      </c>
      <c r="G1992" t="s">
        <v>70</v>
      </c>
      <c r="H1992" t="s">
        <v>112</v>
      </c>
      <c r="I1992">
        <v>6</v>
      </c>
      <c r="J1992" s="19">
        <f>WEEKNUM(tblRidershipData[[#This Row],[MeasurementDate]])</f>
        <v>50</v>
      </c>
      <c r="K1992" s="19">
        <f>MONTH(tblRidershipData[[#This Row],[MeasurementDate]])</f>
        <v>12</v>
      </c>
    </row>
    <row r="1993" spans="1:11" x14ac:dyDescent="0.25">
      <c r="A1993" s="31">
        <v>43811</v>
      </c>
      <c r="B1993" t="s">
        <v>5</v>
      </c>
      <c r="C1993" s="31">
        <v>4502</v>
      </c>
      <c r="D1993" t="s">
        <v>88</v>
      </c>
      <c r="E1993" t="s">
        <v>111</v>
      </c>
      <c r="F1993">
        <v>1</v>
      </c>
      <c r="G1993" t="s">
        <v>71</v>
      </c>
      <c r="H1993" t="s">
        <v>112</v>
      </c>
      <c r="I1993">
        <v>4</v>
      </c>
      <c r="J1993" s="19">
        <f>WEEKNUM(tblRidershipData[[#This Row],[MeasurementDate]])</f>
        <v>50</v>
      </c>
      <c r="K1993" s="19">
        <f>MONTH(tblRidershipData[[#This Row],[MeasurementDate]])</f>
        <v>12</v>
      </c>
    </row>
    <row r="1994" spans="1:11" x14ac:dyDescent="0.25">
      <c r="A1994" s="31">
        <v>43811</v>
      </c>
      <c r="B1994" t="s">
        <v>5</v>
      </c>
      <c r="C1994" s="31">
        <v>4502</v>
      </c>
      <c r="D1994" t="s">
        <v>88</v>
      </c>
      <c r="E1994" t="s">
        <v>111</v>
      </c>
      <c r="F1994">
        <v>1</v>
      </c>
      <c r="G1994" t="s">
        <v>76</v>
      </c>
      <c r="H1994" t="s">
        <v>112</v>
      </c>
      <c r="I1994">
        <v>2</v>
      </c>
      <c r="J1994" s="19">
        <f>WEEKNUM(tblRidershipData[[#This Row],[MeasurementDate]])</f>
        <v>50</v>
      </c>
      <c r="K1994" s="19">
        <f>MONTH(tblRidershipData[[#This Row],[MeasurementDate]])</f>
        <v>12</v>
      </c>
    </row>
    <row r="1995" spans="1:11" x14ac:dyDescent="0.25">
      <c r="A1995" s="31">
        <v>43811</v>
      </c>
      <c r="B1995" t="s">
        <v>5</v>
      </c>
      <c r="C1995" s="31">
        <v>4502</v>
      </c>
      <c r="D1995" t="s">
        <v>88</v>
      </c>
      <c r="E1995" t="s">
        <v>111</v>
      </c>
      <c r="F1995">
        <v>2</v>
      </c>
      <c r="G1995" t="s">
        <v>70</v>
      </c>
      <c r="H1995" t="s">
        <v>112</v>
      </c>
      <c r="I1995">
        <v>10</v>
      </c>
      <c r="J1995" s="19">
        <f>WEEKNUM(tblRidershipData[[#This Row],[MeasurementDate]])</f>
        <v>50</v>
      </c>
      <c r="K1995" s="19">
        <f>MONTH(tblRidershipData[[#This Row],[MeasurementDate]])</f>
        <v>12</v>
      </c>
    </row>
    <row r="1996" spans="1:11" x14ac:dyDescent="0.25">
      <c r="A1996" s="31">
        <v>43811</v>
      </c>
      <c r="B1996" t="s">
        <v>5</v>
      </c>
      <c r="C1996" s="31">
        <v>4502</v>
      </c>
      <c r="D1996" t="s">
        <v>88</v>
      </c>
      <c r="E1996" t="s">
        <v>111</v>
      </c>
      <c r="F1996">
        <v>2</v>
      </c>
      <c r="G1996" t="s">
        <v>71</v>
      </c>
      <c r="H1996" t="s">
        <v>112</v>
      </c>
      <c r="I1996">
        <v>2</v>
      </c>
      <c r="J1996" s="19">
        <f>WEEKNUM(tblRidershipData[[#This Row],[MeasurementDate]])</f>
        <v>50</v>
      </c>
      <c r="K1996" s="19">
        <f>MONTH(tblRidershipData[[#This Row],[MeasurementDate]])</f>
        <v>12</v>
      </c>
    </row>
    <row r="1997" spans="1:11" x14ac:dyDescent="0.25">
      <c r="A1997" s="31">
        <v>43811</v>
      </c>
      <c r="B1997" t="s">
        <v>5</v>
      </c>
      <c r="C1997" s="31">
        <v>4502</v>
      </c>
      <c r="D1997" t="s">
        <v>88</v>
      </c>
      <c r="E1997" t="s">
        <v>109</v>
      </c>
      <c r="F1997">
        <v>1</v>
      </c>
      <c r="G1997" t="s">
        <v>51</v>
      </c>
      <c r="H1997" t="s">
        <v>112</v>
      </c>
      <c r="I1997">
        <v>19</v>
      </c>
      <c r="J1997" s="19">
        <f>WEEKNUM(tblRidershipData[[#This Row],[MeasurementDate]])</f>
        <v>50</v>
      </c>
      <c r="K1997" s="19">
        <f>MONTH(tblRidershipData[[#This Row],[MeasurementDate]])</f>
        <v>12</v>
      </c>
    </row>
    <row r="1998" spans="1:11" x14ac:dyDescent="0.25">
      <c r="A1998" s="31">
        <v>43811</v>
      </c>
      <c r="B1998" t="s">
        <v>5</v>
      </c>
      <c r="C1998" s="31">
        <v>4502</v>
      </c>
      <c r="D1998" t="s">
        <v>88</v>
      </c>
      <c r="E1998" t="s">
        <v>109</v>
      </c>
      <c r="F1998">
        <v>1</v>
      </c>
      <c r="G1998" t="s">
        <v>59</v>
      </c>
      <c r="H1998" t="s">
        <v>112</v>
      </c>
      <c r="I1998">
        <v>2</v>
      </c>
      <c r="J1998" s="19">
        <f>WEEKNUM(tblRidershipData[[#This Row],[MeasurementDate]])</f>
        <v>50</v>
      </c>
      <c r="K1998" s="19">
        <f>MONTH(tblRidershipData[[#This Row],[MeasurementDate]])</f>
        <v>12</v>
      </c>
    </row>
    <row r="1999" spans="1:11" x14ac:dyDescent="0.25">
      <c r="A1999" s="31">
        <v>43811</v>
      </c>
      <c r="B1999" t="s">
        <v>5</v>
      </c>
      <c r="C1999" s="31">
        <v>4502</v>
      </c>
      <c r="D1999" t="s">
        <v>88</v>
      </c>
      <c r="E1999" t="s">
        <v>109</v>
      </c>
      <c r="F1999">
        <v>1</v>
      </c>
      <c r="G1999" t="s">
        <v>67</v>
      </c>
      <c r="H1999" t="s">
        <v>112</v>
      </c>
      <c r="I1999">
        <v>32</v>
      </c>
      <c r="J1999" s="19">
        <f>WEEKNUM(tblRidershipData[[#This Row],[MeasurementDate]])</f>
        <v>50</v>
      </c>
      <c r="K1999" s="19">
        <f>MONTH(tblRidershipData[[#This Row],[MeasurementDate]])</f>
        <v>12</v>
      </c>
    </row>
    <row r="2000" spans="1:11" x14ac:dyDescent="0.25">
      <c r="A2000" s="31">
        <v>43811</v>
      </c>
      <c r="B2000" t="s">
        <v>5</v>
      </c>
      <c r="C2000" s="31">
        <v>4502</v>
      </c>
      <c r="D2000" t="s">
        <v>88</v>
      </c>
      <c r="E2000" t="s">
        <v>109</v>
      </c>
      <c r="F2000">
        <v>1</v>
      </c>
      <c r="G2000" t="s">
        <v>70</v>
      </c>
      <c r="H2000" t="s">
        <v>112</v>
      </c>
      <c r="I2000">
        <v>2</v>
      </c>
      <c r="J2000" s="19">
        <f>WEEKNUM(tblRidershipData[[#This Row],[MeasurementDate]])</f>
        <v>50</v>
      </c>
      <c r="K2000" s="19">
        <f>MONTH(tblRidershipData[[#This Row],[MeasurementDate]])</f>
        <v>12</v>
      </c>
    </row>
    <row r="2001" spans="1:11" x14ac:dyDescent="0.25">
      <c r="A2001" s="31">
        <v>43811</v>
      </c>
      <c r="B2001" t="s">
        <v>5</v>
      </c>
      <c r="C2001" s="31">
        <v>4503</v>
      </c>
      <c r="D2001" t="s">
        <v>84</v>
      </c>
      <c r="E2001" t="s">
        <v>111</v>
      </c>
      <c r="F2001">
        <v>1</v>
      </c>
      <c r="G2001" t="s">
        <v>44</v>
      </c>
      <c r="H2001" t="s">
        <v>110</v>
      </c>
      <c r="I2001">
        <v>5</v>
      </c>
      <c r="J2001" s="19">
        <f>WEEKNUM(tblRidershipData[[#This Row],[MeasurementDate]])</f>
        <v>50</v>
      </c>
      <c r="K2001" s="19">
        <f>MONTH(tblRidershipData[[#This Row],[MeasurementDate]])</f>
        <v>12</v>
      </c>
    </row>
    <row r="2002" spans="1:11" x14ac:dyDescent="0.25">
      <c r="A2002" s="31">
        <v>43811</v>
      </c>
      <c r="B2002" t="s">
        <v>5</v>
      </c>
      <c r="C2002" s="31">
        <v>4503</v>
      </c>
      <c r="D2002" t="s">
        <v>84</v>
      </c>
      <c r="E2002" t="s">
        <v>111</v>
      </c>
      <c r="F2002">
        <v>1</v>
      </c>
      <c r="G2002" t="s">
        <v>46</v>
      </c>
      <c r="H2002" t="s">
        <v>110</v>
      </c>
      <c r="I2002">
        <v>13</v>
      </c>
      <c r="J2002" s="19">
        <f>WEEKNUM(tblRidershipData[[#This Row],[MeasurementDate]])</f>
        <v>50</v>
      </c>
      <c r="K2002" s="19">
        <f>MONTH(tblRidershipData[[#This Row],[MeasurementDate]])</f>
        <v>12</v>
      </c>
    </row>
    <row r="2003" spans="1:11" x14ac:dyDescent="0.25">
      <c r="A2003" s="31">
        <v>43811</v>
      </c>
      <c r="B2003" t="s">
        <v>5</v>
      </c>
      <c r="C2003" s="31">
        <v>4503</v>
      </c>
      <c r="D2003" t="s">
        <v>84</v>
      </c>
      <c r="E2003" t="s">
        <v>111</v>
      </c>
      <c r="F2003">
        <v>1</v>
      </c>
      <c r="G2003" t="s">
        <v>55</v>
      </c>
      <c r="H2003" t="s">
        <v>110</v>
      </c>
      <c r="I2003">
        <v>3</v>
      </c>
      <c r="J2003" s="19">
        <f>WEEKNUM(tblRidershipData[[#This Row],[MeasurementDate]])</f>
        <v>50</v>
      </c>
      <c r="K2003" s="19">
        <f>MONTH(tblRidershipData[[#This Row],[MeasurementDate]])</f>
        <v>12</v>
      </c>
    </row>
    <row r="2004" spans="1:11" x14ac:dyDescent="0.25">
      <c r="A2004" s="31">
        <v>43811</v>
      </c>
      <c r="B2004" t="s">
        <v>5</v>
      </c>
      <c r="C2004" s="31">
        <v>4503</v>
      </c>
      <c r="D2004" t="s">
        <v>84</v>
      </c>
      <c r="E2004" t="s">
        <v>111</v>
      </c>
      <c r="F2004">
        <v>1</v>
      </c>
      <c r="G2004" t="s">
        <v>56</v>
      </c>
      <c r="H2004" t="s">
        <v>110</v>
      </c>
      <c r="I2004">
        <v>1</v>
      </c>
      <c r="J2004" s="19">
        <f>WEEKNUM(tblRidershipData[[#This Row],[MeasurementDate]])</f>
        <v>50</v>
      </c>
      <c r="K2004" s="19">
        <f>MONTH(tblRidershipData[[#This Row],[MeasurementDate]])</f>
        <v>12</v>
      </c>
    </row>
    <row r="2005" spans="1:11" x14ac:dyDescent="0.25">
      <c r="A2005" s="31">
        <v>43811</v>
      </c>
      <c r="B2005" t="s">
        <v>5</v>
      </c>
      <c r="C2005" s="31">
        <v>4503</v>
      </c>
      <c r="D2005" t="s">
        <v>84</v>
      </c>
      <c r="E2005" t="s">
        <v>111</v>
      </c>
      <c r="F2005">
        <v>1</v>
      </c>
      <c r="G2005" t="s">
        <v>57</v>
      </c>
      <c r="H2005" t="s">
        <v>110</v>
      </c>
      <c r="I2005">
        <v>3</v>
      </c>
      <c r="J2005" s="19">
        <f>WEEKNUM(tblRidershipData[[#This Row],[MeasurementDate]])</f>
        <v>50</v>
      </c>
      <c r="K2005" s="19">
        <f>MONTH(tblRidershipData[[#This Row],[MeasurementDate]])</f>
        <v>12</v>
      </c>
    </row>
    <row r="2006" spans="1:11" x14ac:dyDescent="0.25">
      <c r="A2006" s="31">
        <v>43811</v>
      </c>
      <c r="B2006" t="s">
        <v>5</v>
      </c>
      <c r="C2006" s="31">
        <v>4503</v>
      </c>
      <c r="D2006" t="s">
        <v>84</v>
      </c>
      <c r="E2006" t="s">
        <v>111</v>
      </c>
      <c r="F2006">
        <v>1</v>
      </c>
      <c r="G2006" t="s">
        <v>60</v>
      </c>
      <c r="H2006" t="s">
        <v>110</v>
      </c>
      <c r="I2006">
        <v>1</v>
      </c>
      <c r="J2006" s="19">
        <f>WEEKNUM(tblRidershipData[[#This Row],[MeasurementDate]])</f>
        <v>50</v>
      </c>
      <c r="K2006" s="19">
        <f>MONTH(tblRidershipData[[#This Row],[MeasurementDate]])</f>
        <v>12</v>
      </c>
    </row>
    <row r="2007" spans="1:11" x14ac:dyDescent="0.25">
      <c r="A2007" s="31">
        <v>43811</v>
      </c>
      <c r="B2007" t="s">
        <v>5</v>
      </c>
      <c r="C2007" s="31">
        <v>4503</v>
      </c>
      <c r="D2007" t="s">
        <v>84</v>
      </c>
      <c r="E2007" t="s">
        <v>111</v>
      </c>
      <c r="F2007">
        <v>1</v>
      </c>
      <c r="G2007" t="s">
        <v>66</v>
      </c>
      <c r="H2007" t="s">
        <v>110</v>
      </c>
      <c r="I2007">
        <v>1</v>
      </c>
      <c r="J2007" s="19">
        <f>WEEKNUM(tblRidershipData[[#This Row],[MeasurementDate]])</f>
        <v>50</v>
      </c>
      <c r="K2007" s="19">
        <f>MONTH(tblRidershipData[[#This Row],[MeasurementDate]])</f>
        <v>12</v>
      </c>
    </row>
    <row r="2008" spans="1:11" x14ac:dyDescent="0.25">
      <c r="A2008" s="31">
        <v>43811</v>
      </c>
      <c r="B2008" t="s">
        <v>5</v>
      </c>
      <c r="C2008" s="31">
        <v>4503</v>
      </c>
      <c r="D2008" t="s">
        <v>84</v>
      </c>
      <c r="E2008" t="s">
        <v>111</v>
      </c>
      <c r="F2008">
        <v>1</v>
      </c>
      <c r="G2008" t="s">
        <v>69</v>
      </c>
      <c r="H2008" t="s">
        <v>110</v>
      </c>
      <c r="I2008">
        <v>10</v>
      </c>
      <c r="J2008" s="19">
        <f>WEEKNUM(tblRidershipData[[#This Row],[MeasurementDate]])</f>
        <v>50</v>
      </c>
      <c r="K2008" s="19">
        <f>MONTH(tblRidershipData[[#This Row],[MeasurementDate]])</f>
        <v>12</v>
      </c>
    </row>
    <row r="2009" spans="1:11" x14ac:dyDescent="0.25">
      <c r="A2009" s="31">
        <v>43811</v>
      </c>
      <c r="B2009" t="s">
        <v>5</v>
      </c>
      <c r="C2009" s="31">
        <v>4503</v>
      </c>
      <c r="D2009" t="s">
        <v>84</v>
      </c>
      <c r="E2009" t="s">
        <v>111</v>
      </c>
      <c r="F2009">
        <v>1</v>
      </c>
      <c r="G2009" t="s">
        <v>70</v>
      </c>
      <c r="H2009" t="s">
        <v>110</v>
      </c>
      <c r="I2009">
        <v>9</v>
      </c>
      <c r="J2009" s="19">
        <f>WEEKNUM(tblRidershipData[[#This Row],[MeasurementDate]])</f>
        <v>50</v>
      </c>
      <c r="K2009" s="19">
        <f>MONTH(tblRidershipData[[#This Row],[MeasurementDate]])</f>
        <v>12</v>
      </c>
    </row>
    <row r="2010" spans="1:11" x14ac:dyDescent="0.25">
      <c r="A2010" s="31">
        <v>43811</v>
      </c>
      <c r="B2010" t="s">
        <v>5</v>
      </c>
      <c r="C2010" s="31">
        <v>4503</v>
      </c>
      <c r="D2010" t="s">
        <v>84</v>
      </c>
      <c r="E2010" t="s">
        <v>111</v>
      </c>
      <c r="F2010">
        <v>1</v>
      </c>
      <c r="G2010" t="s">
        <v>71</v>
      </c>
      <c r="H2010" t="s">
        <v>110</v>
      </c>
      <c r="I2010">
        <v>2</v>
      </c>
      <c r="J2010" s="19">
        <f>WEEKNUM(tblRidershipData[[#This Row],[MeasurementDate]])</f>
        <v>50</v>
      </c>
      <c r="K2010" s="19">
        <f>MONTH(tblRidershipData[[#This Row],[MeasurementDate]])</f>
        <v>12</v>
      </c>
    </row>
    <row r="2011" spans="1:11" x14ac:dyDescent="0.25">
      <c r="A2011" s="31">
        <v>43811</v>
      </c>
      <c r="B2011" t="s">
        <v>5</v>
      </c>
      <c r="C2011" s="31">
        <v>4503</v>
      </c>
      <c r="D2011" t="s">
        <v>84</v>
      </c>
      <c r="E2011" t="s">
        <v>111</v>
      </c>
      <c r="F2011">
        <v>1</v>
      </c>
      <c r="G2011" t="s">
        <v>76</v>
      </c>
      <c r="H2011" t="s">
        <v>110</v>
      </c>
      <c r="I2011">
        <v>1</v>
      </c>
      <c r="J2011" s="19">
        <f>WEEKNUM(tblRidershipData[[#This Row],[MeasurementDate]])</f>
        <v>50</v>
      </c>
      <c r="K2011" s="19">
        <f>MONTH(tblRidershipData[[#This Row],[MeasurementDate]])</f>
        <v>12</v>
      </c>
    </row>
    <row r="2012" spans="1:11" x14ac:dyDescent="0.25">
      <c r="A2012" s="31">
        <v>43811</v>
      </c>
      <c r="B2012" t="s">
        <v>5</v>
      </c>
      <c r="C2012" s="31">
        <v>4503</v>
      </c>
      <c r="D2012" t="s">
        <v>84</v>
      </c>
      <c r="E2012" t="s">
        <v>111</v>
      </c>
      <c r="F2012">
        <v>2</v>
      </c>
      <c r="G2012" t="s">
        <v>43</v>
      </c>
      <c r="H2012" t="s">
        <v>110</v>
      </c>
      <c r="I2012">
        <v>11</v>
      </c>
      <c r="J2012" s="19">
        <f>WEEKNUM(tblRidershipData[[#This Row],[MeasurementDate]])</f>
        <v>50</v>
      </c>
      <c r="K2012" s="19">
        <f>MONTH(tblRidershipData[[#This Row],[MeasurementDate]])</f>
        <v>12</v>
      </c>
    </row>
    <row r="2013" spans="1:11" x14ac:dyDescent="0.25">
      <c r="A2013" s="31">
        <v>43811</v>
      </c>
      <c r="B2013" t="s">
        <v>5</v>
      </c>
      <c r="C2013" s="31">
        <v>4503</v>
      </c>
      <c r="D2013" t="s">
        <v>84</v>
      </c>
      <c r="E2013" t="s">
        <v>109</v>
      </c>
      <c r="F2013">
        <v>1</v>
      </c>
      <c r="G2013" t="s">
        <v>46</v>
      </c>
      <c r="H2013" t="s">
        <v>110</v>
      </c>
      <c r="I2013">
        <v>7</v>
      </c>
      <c r="J2013" s="19">
        <f>WEEKNUM(tblRidershipData[[#This Row],[MeasurementDate]])</f>
        <v>50</v>
      </c>
      <c r="K2013" s="19">
        <f>MONTH(tblRidershipData[[#This Row],[MeasurementDate]])</f>
        <v>12</v>
      </c>
    </row>
    <row r="2014" spans="1:11" x14ac:dyDescent="0.25">
      <c r="A2014" s="31">
        <v>43811</v>
      </c>
      <c r="B2014" t="s">
        <v>5</v>
      </c>
      <c r="C2014" s="31">
        <v>4503</v>
      </c>
      <c r="D2014" t="s">
        <v>84</v>
      </c>
      <c r="E2014" t="s">
        <v>109</v>
      </c>
      <c r="F2014">
        <v>1</v>
      </c>
      <c r="G2014" t="s">
        <v>69</v>
      </c>
      <c r="H2014" t="s">
        <v>110</v>
      </c>
      <c r="I2014">
        <v>18</v>
      </c>
      <c r="J2014" s="19">
        <f>WEEKNUM(tblRidershipData[[#This Row],[MeasurementDate]])</f>
        <v>50</v>
      </c>
      <c r="K2014" s="19">
        <f>MONTH(tblRidershipData[[#This Row],[MeasurementDate]])</f>
        <v>12</v>
      </c>
    </row>
    <row r="2015" spans="1:11" x14ac:dyDescent="0.25">
      <c r="A2015" s="31">
        <v>43811</v>
      </c>
      <c r="B2015" t="s">
        <v>5</v>
      </c>
      <c r="C2015" s="31">
        <v>4503</v>
      </c>
      <c r="D2015" t="s">
        <v>84</v>
      </c>
      <c r="E2015" t="s">
        <v>109</v>
      </c>
      <c r="F2015">
        <v>1</v>
      </c>
      <c r="G2015" t="s">
        <v>70</v>
      </c>
      <c r="H2015" t="s">
        <v>110</v>
      </c>
      <c r="I2015">
        <v>7</v>
      </c>
      <c r="J2015" s="19">
        <f>WEEKNUM(tblRidershipData[[#This Row],[MeasurementDate]])</f>
        <v>50</v>
      </c>
      <c r="K2015" s="19">
        <f>MONTH(tblRidershipData[[#This Row],[MeasurementDate]])</f>
        <v>12</v>
      </c>
    </row>
    <row r="2016" spans="1:11" x14ac:dyDescent="0.25">
      <c r="A2016" s="31">
        <v>43811</v>
      </c>
      <c r="B2016" t="s">
        <v>5</v>
      </c>
      <c r="C2016" s="31">
        <v>4503</v>
      </c>
      <c r="D2016" t="s">
        <v>84</v>
      </c>
      <c r="E2016" t="s">
        <v>109</v>
      </c>
      <c r="F2016">
        <v>1</v>
      </c>
      <c r="G2016" t="s">
        <v>74</v>
      </c>
      <c r="H2016" t="s">
        <v>110</v>
      </c>
      <c r="I2016">
        <v>24</v>
      </c>
      <c r="J2016" s="19">
        <f>WEEKNUM(tblRidershipData[[#This Row],[MeasurementDate]])</f>
        <v>50</v>
      </c>
      <c r="K2016" s="19">
        <f>MONTH(tblRidershipData[[#This Row],[MeasurementDate]])</f>
        <v>12</v>
      </c>
    </row>
    <row r="2017" spans="1:11" x14ac:dyDescent="0.25">
      <c r="A2017" s="31">
        <v>43811</v>
      </c>
      <c r="B2017" t="s">
        <v>5</v>
      </c>
      <c r="C2017" s="31">
        <v>4503</v>
      </c>
      <c r="D2017" t="s">
        <v>84</v>
      </c>
      <c r="E2017" t="s">
        <v>109</v>
      </c>
      <c r="F2017">
        <v>1</v>
      </c>
      <c r="G2017" t="s">
        <v>75</v>
      </c>
      <c r="H2017" t="s">
        <v>110</v>
      </c>
      <c r="I2017">
        <v>23</v>
      </c>
      <c r="J2017" s="19">
        <f>WEEKNUM(tblRidershipData[[#This Row],[MeasurementDate]])</f>
        <v>50</v>
      </c>
      <c r="K2017" s="19">
        <f>MONTH(tblRidershipData[[#This Row],[MeasurementDate]])</f>
        <v>12</v>
      </c>
    </row>
    <row r="2018" spans="1:11" x14ac:dyDescent="0.25">
      <c r="A2018" s="31">
        <v>43811</v>
      </c>
      <c r="B2018" t="s">
        <v>5</v>
      </c>
      <c r="C2018" s="31">
        <v>4503</v>
      </c>
      <c r="D2018" t="s">
        <v>84</v>
      </c>
      <c r="E2018" t="s">
        <v>109</v>
      </c>
      <c r="F2018">
        <v>2</v>
      </c>
      <c r="G2018" t="s">
        <v>70</v>
      </c>
      <c r="H2018" t="s">
        <v>110</v>
      </c>
      <c r="I2018">
        <v>2</v>
      </c>
      <c r="J2018" s="19">
        <f>WEEKNUM(tblRidershipData[[#This Row],[MeasurementDate]])</f>
        <v>50</v>
      </c>
      <c r="K2018" s="19">
        <f>MONTH(tblRidershipData[[#This Row],[MeasurementDate]])</f>
        <v>12</v>
      </c>
    </row>
    <row r="2019" spans="1:11" x14ac:dyDescent="0.25">
      <c r="A2019" s="31">
        <v>43811</v>
      </c>
      <c r="B2019" t="s">
        <v>5</v>
      </c>
      <c r="C2019" s="31">
        <v>4503</v>
      </c>
      <c r="D2019" t="s">
        <v>84</v>
      </c>
      <c r="E2019" t="s">
        <v>111</v>
      </c>
      <c r="F2019">
        <v>1</v>
      </c>
      <c r="G2019" t="s">
        <v>52</v>
      </c>
      <c r="H2019" t="s">
        <v>110</v>
      </c>
      <c r="I2019">
        <v>20</v>
      </c>
      <c r="J2019" s="19">
        <f>WEEKNUM(tblRidershipData[[#This Row],[MeasurementDate]])</f>
        <v>50</v>
      </c>
      <c r="K2019" s="19">
        <f>MONTH(tblRidershipData[[#This Row],[MeasurementDate]])</f>
        <v>12</v>
      </c>
    </row>
    <row r="2020" spans="1:11" x14ac:dyDescent="0.25">
      <c r="A2020" s="31">
        <v>43811</v>
      </c>
      <c r="B2020" t="s">
        <v>5</v>
      </c>
      <c r="C2020" s="31">
        <v>4503</v>
      </c>
      <c r="D2020" t="s">
        <v>84</v>
      </c>
      <c r="E2020" t="s">
        <v>111</v>
      </c>
      <c r="F2020">
        <v>1</v>
      </c>
      <c r="G2020" t="s">
        <v>56</v>
      </c>
      <c r="H2020" t="s">
        <v>110</v>
      </c>
      <c r="I2020">
        <v>1</v>
      </c>
      <c r="J2020" s="19">
        <f>WEEKNUM(tblRidershipData[[#This Row],[MeasurementDate]])</f>
        <v>50</v>
      </c>
      <c r="K2020" s="19">
        <f>MONTH(tblRidershipData[[#This Row],[MeasurementDate]])</f>
        <v>12</v>
      </c>
    </row>
    <row r="2021" spans="1:11" x14ac:dyDescent="0.25">
      <c r="A2021" s="31">
        <v>43811</v>
      </c>
      <c r="B2021" t="s">
        <v>5</v>
      </c>
      <c r="C2021" s="31">
        <v>4503</v>
      </c>
      <c r="D2021" t="s">
        <v>84</v>
      </c>
      <c r="E2021" t="s">
        <v>111</v>
      </c>
      <c r="F2021">
        <v>1</v>
      </c>
      <c r="G2021" t="s">
        <v>59</v>
      </c>
      <c r="H2021" t="s">
        <v>110</v>
      </c>
      <c r="I2021">
        <v>11</v>
      </c>
      <c r="J2021" s="19">
        <f>WEEKNUM(tblRidershipData[[#This Row],[MeasurementDate]])</f>
        <v>50</v>
      </c>
      <c r="K2021" s="19">
        <f>MONTH(tblRidershipData[[#This Row],[MeasurementDate]])</f>
        <v>12</v>
      </c>
    </row>
    <row r="2022" spans="1:11" x14ac:dyDescent="0.25">
      <c r="A2022" s="31">
        <v>43811</v>
      </c>
      <c r="B2022" t="s">
        <v>5</v>
      </c>
      <c r="C2022" s="31">
        <v>4503</v>
      </c>
      <c r="D2022" t="s">
        <v>84</v>
      </c>
      <c r="E2022" t="s">
        <v>111</v>
      </c>
      <c r="F2022">
        <v>1</v>
      </c>
      <c r="G2022" t="s">
        <v>68</v>
      </c>
      <c r="H2022" t="s">
        <v>110</v>
      </c>
      <c r="I2022">
        <v>1</v>
      </c>
      <c r="J2022" s="19">
        <f>WEEKNUM(tblRidershipData[[#This Row],[MeasurementDate]])</f>
        <v>50</v>
      </c>
      <c r="K2022" s="19">
        <f>MONTH(tblRidershipData[[#This Row],[MeasurementDate]])</f>
        <v>12</v>
      </c>
    </row>
    <row r="2023" spans="1:11" x14ac:dyDescent="0.25">
      <c r="A2023" s="31">
        <v>43811</v>
      </c>
      <c r="B2023" t="s">
        <v>5</v>
      </c>
      <c r="C2023" s="31">
        <v>4503</v>
      </c>
      <c r="D2023" t="s">
        <v>84</v>
      </c>
      <c r="E2023" t="s">
        <v>111</v>
      </c>
      <c r="F2023">
        <v>1</v>
      </c>
      <c r="G2023" t="s">
        <v>69</v>
      </c>
      <c r="H2023" t="s">
        <v>110</v>
      </c>
      <c r="I2023">
        <v>3</v>
      </c>
      <c r="J2023" s="19">
        <f>WEEKNUM(tblRidershipData[[#This Row],[MeasurementDate]])</f>
        <v>50</v>
      </c>
      <c r="K2023" s="19">
        <f>MONTH(tblRidershipData[[#This Row],[MeasurementDate]])</f>
        <v>12</v>
      </c>
    </row>
    <row r="2024" spans="1:11" x14ac:dyDescent="0.25">
      <c r="A2024" s="31">
        <v>43811</v>
      </c>
      <c r="B2024" t="s">
        <v>5</v>
      </c>
      <c r="C2024" s="31">
        <v>4503</v>
      </c>
      <c r="D2024" t="s">
        <v>84</v>
      </c>
      <c r="E2024" t="s">
        <v>111</v>
      </c>
      <c r="F2024">
        <v>1</v>
      </c>
      <c r="G2024" t="s">
        <v>70</v>
      </c>
      <c r="H2024" t="s">
        <v>110</v>
      </c>
      <c r="I2024">
        <v>19</v>
      </c>
      <c r="J2024" s="19">
        <f>WEEKNUM(tblRidershipData[[#This Row],[MeasurementDate]])</f>
        <v>50</v>
      </c>
      <c r="K2024" s="19">
        <f>MONTH(tblRidershipData[[#This Row],[MeasurementDate]])</f>
        <v>12</v>
      </c>
    </row>
    <row r="2025" spans="1:11" x14ac:dyDescent="0.25">
      <c r="A2025" s="31">
        <v>43811</v>
      </c>
      <c r="B2025" t="s">
        <v>5</v>
      </c>
      <c r="C2025" s="31">
        <v>4503</v>
      </c>
      <c r="D2025" t="s">
        <v>84</v>
      </c>
      <c r="E2025" t="s">
        <v>111</v>
      </c>
      <c r="F2025">
        <v>1</v>
      </c>
      <c r="G2025" t="s">
        <v>72</v>
      </c>
      <c r="H2025" t="s">
        <v>110</v>
      </c>
      <c r="I2025">
        <v>5</v>
      </c>
      <c r="J2025" s="19">
        <f>WEEKNUM(tblRidershipData[[#This Row],[MeasurementDate]])</f>
        <v>50</v>
      </c>
      <c r="K2025" s="19">
        <f>MONTH(tblRidershipData[[#This Row],[MeasurementDate]])</f>
        <v>12</v>
      </c>
    </row>
    <row r="2026" spans="1:11" x14ac:dyDescent="0.25">
      <c r="A2026" s="31">
        <v>43811</v>
      </c>
      <c r="B2026" t="s">
        <v>5</v>
      </c>
      <c r="C2026" s="31">
        <v>4503</v>
      </c>
      <c r="D2026" t="s">
        <v>84</v>
      </c>
      <c r="E2026" t="s">
        <v>109</v>
      </c>
      <c r="F2026">
        <v>1</v>
      </c>
      <c r="G2026" t="s">
        <v>43</v>
      </c>
      <c r="H2026" t="s">
        <v>110</v>
      </c>
      <c r="I2026">
        <v>10</v>
      </c>
      <c r="J2026" s="19">
        <f>WEEKNUM(tblRidershipData[[#This Row],[MeasurementDate]])</f>
        <v>50</v>
      </c>
      <c r="K2026" s="19">
        <f>MONTH(tblRidershipData[[#This Row],[MeasurementDate]])</f>
        <v>12</v>
      </c>
    </row>
    <row r="2027" spans="1:11" x14ac:dyDescent="0.25">
      <c r="A2027" s="31">
        <v>43811</v>
      </c>
      <c r="B2027" t="s">
        <v>5</v>
      </c>
      <c r="C2027" s="31">
        <v>4503</v>
      </c>
      <c r="D2027" t="s">
        <v>84</v>
      </c>
      <c r="E2027" t="s">
        <v>109</v>
      </c>
      <c r="F2027">
        <v>1</v>
      </c>
      <c r="G2027" t="s">
        <v>44</v>
      </c>
      <c r="H2027" t="s">
        <v>110</v>
      </c>
      <c r="I2027">
        <v>7</v>
      </c>
      <c r="J2027" s="19">
        <f>WEEKNUM(tblRidershipData[[#This Row],[MeasurementDate]])</f>
        <v>50</v>
      </c>
      <c r="K2027" s="19">
        <f>MONTH(tblRidershipData[[#This Row],[MeasurementDate]])</f>
        <v>12</v>
      </c>
    </row>
    <row r="2028" spans="1:11" x14ac:dyDescent="0.25">
      <c r="A2028" s="31">
        <v>43811</v>
      </c>
      <c r="B2028" t="s">
        <v>5</v>
      </c>
      <c r="C2028" s="31">
        <v>4503</v>
      </c>
      <c r="D2028" t="s">
        <v>84</v>
      </c>
      <c r="E2028" t="s">
        <v>109</v>
      </c>
      <c r="F2028">
        <v>1</v>
      </c>
      <c r="G2028" t="s">
        <v>46</v>
      </c>
      <c r="H2028" t="s">
        <v>110</v>
      </c>
      <c r="I2028">
        <v>11</v>
      </c>
      <c r="J2028" s="19">
        <f>WEEKNUM(tblRidershipData[[#This Row],[MeasurementDate]])</f>
        <v>50</v>
      </c>
      <c r="K2028" s="19">
        <f>MONTH(tblRidershipData[[#This Row],[MeasurementDate]])</f>
        <v>12</v>
      </c>
    </row>
    <row r="2029" spans="1:11" x14ac:dyDescent="0.25">
      <c r="A2029" s="31">
        <v>43811</v>
      </c>
      <c r="B2029" t="s">
        <v>5</v>
      </c>
      <c r="C2029" s="31">
        <v>4503</v>
      </c>
      <c r="D2029" t="s">
        <v>84</v>
      </c>
      <c r="E2029" t="s">
        <v>109</v>
      </c>
      <c r="F2029">
        <v>1</v>
      </c>
      <c r="G2029" t="s">
        <v>52</v>
      </c>
      <c r="H2029" t="s">
        <v>110</v>
      </c>
      <c r="I2029">
        <v>1</v>
      </c>
      <c r="J2029" s="19">
        <f>WEEKNUM(tblRidershipData[[#This Row],[MeasurementDate]])</f>
        <v>50</v>
      </c>
      <c r="K2029" s="19">
        <f>MONTH(tblRidershipData[[#This Row],[MeasurementDate]])</f>
        <v>12</v>
      </c>
    </row>
    <row r="2030" spans="1:11" x14ac:dyDescent="0.25">
      <c r="A2030" s="31">
        <v>43811</v>
      </c>
      <c r="B2030" t="s">
        <v>5</v>
      </c>
      <c r="C2030" s="31">
        <v>4503</v>
      </c>
      <c r="D2030" t="s">
        <v>84</v>
      </c>
      <c r="E2030" t="s">
        <v>109</v>
      </c>
      <c r="F2030">
        <v>1</v>
      </c>
      <c r="G2030" t="s">
        <v>54</v>
      </c>
      <c r="H2030" t="s">
        <v>110</v>
      </c>
      <c r="I2030">
        <v>10</v>
      </c>
      <c r="J2030" s="19">
        <f>WEEKNUM(tblRidershipData[[#This Row],[MeasurementDate]])</f>
        <v>50</v>
      </c>
      <c r="K2030" s="19">
        <f>MONTH(tblRidershipData[[#This Row],[MeasurementDate]])</f>
        <v>12</v>
      </c>
    </row>
    <row r="2031" spans="1:11" x14ac:dyDescent="0.25">
      <c r="A2031" s="31">
        <v>43811</v>
      </c>
      <c r="B2031" t="s">
        <v>5</v>
      </c>
      <c r="C2031" s="31">
        <v>4503</v>
      </c>
      <c r="D2031" t="s">
        <v>84</v>
      </c>
      <c r="E2031" t="s">
        <v>109</v>
      </c>
      <c r="F2031">
        <v>1</v>
      </c>
      <c r="G2031" t="s">
        <v>62</v>
      </c>
      <c r="H2031" t="s">
        <v>110</v>
      </c>
      <c r="I2031">
        <v>4</v>
      </c>
      <c r="J2031" s="19">
        <f>WEEKNUM(tblRidershipData[[#This Row],[MeasurementDate]])</f>
        <v>50</v>
      </c>
      <c r="K2031" s="19">
        <f>MONTH(tblRidershipData[[#This Row],[MeasurementDate]])</f>
        <v>12</v>
      </c>
    </row>
    <row r="2032" spans="1:11" x14ac:dyDescent="0.25">
      <c r="A2032" s="31">
        <v>43811</v>
      </c>
      <c r="B2032" t="s">
        <v>5</v>
      </c>
      <c r="C2032" s="31">
        <v>4503</v>
      </c>
      <c r="D2032" t="s">
        <v>84</v>
      </c>
      <c r="E2032" t="s">
        <v>109</v>
      </c>
      <c r="F2032">
        <v>1</v>
      </c>
      <c r="G2032" t="s">
        <v>64</v>
      </c>
      <c r="H2032" t="s">
        <v>110</v>
      </c>
      <c r="I2032">
        <v>7</v>
      </c>
      <c r="J2032" s="19">
        <f>WEEKNUM(tblRidershipData[[#This Row],[MeasurementDate]])</f>
        <v>50</v>
      </c>
      <c r="K2032" s="19">
        <f>MONTH(tblRidershipData[[#This Row],[MeasurementDate]])</f>
        <v>12</v>
      </c>
    </row>
    <row r="2033" spans="1:11" x14ac:dyDescent="0.25">
      <c r="A2033" s="31">
        <v>43811</v>
      </c>
      <c r="B2033" t="s">
        <v>5</v>
      </c>
      <c r="C2033" s="31">
        <v>4503</v>
      </c>
      <c r="D2033" t="s">
        <v>84</v>
      </c>
      <c r="E2033" t="s">
        <v>109</v>
      </c>
      <c r="F2033">
        <v>1</v>
      </c>
      <c r="G2033" t="s">
        <v>66</v>
      </c>
      <c r="H2033" t="s">
        <v>110</v>
      </c>
      <c r="I2033">
        <v>5</v>
      </c>
      <c r="J2033" s="19">
        <f>WEEKNUM(tblRidershipData[[#This Row],[MeasurementDate]])</f>
        <v>50</v>
      </c>
      <c r="K2033" s="19">
        <f>MONTH(tblRidershipData[[#This Row],[MeasurementDate]])</f>
        <v>12</v>
      </c>
    </row>
    <row r="2034" spans="1:11" x14ac:dyDescent="0.25">
      <c r="A2034" s="31">
        <v>43811</v>
      </c>
      <c r="B2034" t="s">
        <v>5</v>
      </c>
      <c r="C2034" s="31">
        <v>4503</v>
      </c>
      <c r="D2034" t="s">
        <v>84</v>
      </c>
      <c r="E2034" t="s">
        <v>109</v>
      </c>
      <c r="F2034">
        <v>1</v>
      </c>
      <c r="G2034" t="s">
        <v>69</v>
      </c>
      <c r="H2034" t="s">
        <v>110</v>
      </c>
      <c r="I2034">
        <v>8</v>
      </c>
      <c r="J2034" s="19">
        <f>WEEKNUM(tblRidershipData[[#This Row],[MeasurementDate]])</f>
        <v>50</v>
      </c>
      <c r="K2034" s="19">
        <f>MONTH(tblRidershipData[[#This Row],[MeasurementDate]])</f>
        <v>12</v>
      </c>
    </row>
    <row r="2035" spans="1:11" x14ac:dyDescent="0.25">
      <c r="A2035" s="31">
        <v>43811</v>
      </c>
      <c r="B2035" t="s">
        <v>5</v>
      </c>
      <c r="C2035" s="31">
        <v>4503</v>
      </c>
      <c r="D2035" t="s">
        <v>84</v>
      </c>
      <c r="E2035" t="s">
        <v>109</v>
      </c>
      <c r="F2035">
        <v>1</v>
      </c>
      <c r="G2035" t="s">
        <v>70</v>
      </c>
      <c r="H2035" t="s">
        <v>110</v>
      </c>
      <c r="I2035">
        <v>10</v>
      </c>
      <c r="J2035" s="19">
        <f>WEEKNUM(tblRidershipData[[#This Row],[MeasurementDate]])</f>
        <v>50</v>
      </c>
      <c r="K2035" s="19">
        <f>MONTH(tblRidershipData[[#This Row],[MeasurementDate]])</f>
        <v>12</v>
      </c>
    </row>
    <row r="2036" spans="1:11" x14ac:dyDescent="0.25">
      <c r="A2036" s="31">
        <v>43811</v>
      </c>
      <c r="B2036" t="s">
        <v>5</v>
      </c>
      <c r="C2036" s="31">
        <v>4503</v>
      </c>
      <c r="D2036" t="s">
        <v>84</v>
      </c>
      <c r="E2036" t="s">
        <v>109</v>
      </c>
      <c r="F2036">
        <v>1</v>
      </c>
      <c r="G2036" t="s">
        <v>71</v>
      </c>
      <c r="H2036" t="s">
        <v>110</v>
      </c>
      <c r="I2036">
        <v>2</v>
      </c>
      <c r="J2036" s="19">
        <f>WEEKNUM(tblRidershipData[[#This Row],[MeasurementDate]])</f>
        <v>50</v>
      </c>
      <c r="K2036" s="19">
        <f>MONTH(tblRidershipData[[#This Row],[MeasurementDate]])</f>
        <v>12</v>
      </c>
    </row>
    <row r="2037" spans="1:11" x14ac:dyDescent="0.25">
      <c r="A2037" s="31">
        <v>43811</v>
      </c>
      <c r="B2037" t="s">
        <v>5</v>
      </c>
      <c r="C2037" s="31">
        <v>4503</v>
      </c>
      <c r="D2037" t="s">
        <v>84</v>
      </c>
      <c r="E2037" t="s">
        <v>109</v>
      </c>
      <c r="F2037">
        <v>1</v>
      </c>
      <c r="G2037" t="s">
        <v>72</v>
      </c>
      <c r="H2037" t="s">
        <v>110</v>
      </c>
      <c r="I2037">
        <v>6</v>
      </c>
      <c r="J2037" s="19">
        <f>WEEKNUM(tblRidershipData[[#This Row],[MeasurementDate]])</f>
        <v>50</v>
      </c>
      <c r="K2037" s="19">
        <f>MONTH(tblRidershipData[[#This Row],[MeasurementDate]])</f>
        <v>12</v>
      </c>
    </row>
    <row r="2038" spans="1:11" x14ac:dyDescent="0.25">
      <c r="A2038" s="31">
        <v>43811</v>
      </c>
      <c r="B2038" t="s">
        <v>5</v>
      </c>
      <c r="C2038" s="31">
        <v>4503</v>
      </c>
      <c r="D2038" t="s">
        <v>84</v>
      </c>
      <c r="E2038" t="s">
        <v>111</v>
      </c>
      <c r="F2038">
        <v>1</v>
      </c>
      <c r="G2038" t="s">
        <v>43</v>
      </c>
      <c r="H2038" t="s">
        <v>110</v>
      </c>
      <c r="I2038">
        <v>16</v>
      </c>
      <c r="J2038" s="19">
        <f>WEEKNUM(tblRidershipData[[#This Row],[MeasurementDate]])</f>
        <v>50</v>
      </c>
      <c r="K2038" s="19">
        <f>MONTH(tblRidershipData[[#This Row],[MeasurementDate]])</f>
        <v>12</v>
      </c>
    </row>
    <row r="2039" spans="1:11" x14ac:dyDescent="0.25">
      <c r="A2039" s="31">
        <v>43811</v>
      </c>
      <c r="B2039" t="s">
        <v>5</v>
      </c>
      <c r="C2039" s="31">
        <v>4503</v>
      </c>
      <c r="D2039" t="s">
        <v>84</v>
      </c>
      <c r="E2039" t="s">
        <v>111</v>
      </c>
      <c r="F2039">
        <v>1</v>
      </c>
      <c r="G2039" t="s">
        <v>44</v>
      </c>
      <c r="H2039" t="s">
        <v>110</v>
      </c>
      <c r="I2039">
        <v>4</v>
      </c>
      <c r="J2039" s="19">
        <f>WEEKNUM(tblRidershipData[[#This Row],[MeasurementDate]])</f>
        <v>50</v>
      </c>
      <c r="K2039" s="19">
        <f>MONTH(tblRidershipData[[#This Row],[MeasurementDate]])</f>
        <v>12</v>
      </c>
    </row>
    <row r="2040" spans="1:11" x14ac:dyDescent="0.25">
      <c r="A2040" s="31">
        <v>43811</v>
      </c>
      <c r="B2040" t="s">
        <v>5</v>
      </c>
      <c r="C2040" s="31">
        <v>4503</v>
      </c>
      <c r="D2040" t="s">
        <v>84</v>
      </c>
      <c r="E2040" t="s">
        <v>111</v>
      </c>
      <c r="F2040">
        <v>1</v>
      </c>
      <c r="G2040" t="s">
        <v>46</v>
      </c>
      <c r="H2040" t="s">
        <v>110</v>
      </c>
      <c r="I2040">
        <v>14</v>
      </c>
      <c r="J2040" s="19">
        <f>WEEKNUM(tblRidershipData[[#This Row],[MeasurementDate]])</f>
        <v>50</v>
      </c>
      <c r="K2040" s="19">
        <f>MONTH(tblRidershipData[[#This Row],[MeasurementDate]])</f>
        <v>12</v>
      </c>
    </row>
    <row r="2041" spans="1:11" x14ac:dyDescent="0.25">
      <c r="A2041" s="31">
        <v>43811</v>
      </c>
      <c r="B2041" t="s">
        <v>5</v>
      </c>
      <c r="C2041" s="31">
        <v>4503</v>
      </c>
      <c r="D2041" t="s">
        <v>84</v>
      </c>
      <c r="E2041" t="s">
        <v>111</v>
      </c>
      <c r="F2041">
        <v>1</v>
      </c>
      <c r="G2041" t="s">
        <v>55</v>
      </c>
      <c r="H2041" t="s">
        <v>110</v>
      </c>
      <c r="I2041">
        <v>3</v>
      </c>
      <c r="J2041" s="19">
        <f>WEEKNUM(tblRidershipData[[#This Row],[MeasurementDate]])</f>
        <v>50</v>
      </c>
      <c r="K2041" s="19">
        <f>MONTH(tblRidershipData[[#This Row],[MeasurementDate]])</f>
        <v>12</v>
      </c>
    </row>
    <row r="2042" spans="1:11" x14ac:dyDescent="0.25">
      <c r="A2042" s="31">
        <v>43811</v>
      </c>
      <c r="B2042" t="s">
        <v>5</v>
      </c>
      <c r="C2042" s="31">
        <v>4503</v>
      </c>
      <c r="D2042" t="s">
        <v>84</v>
      </c>
      <c r="E2042" t="s">
        <v>111</v>
      </c>
      <c r="F2042">
        <v>1</v>
      </c>
      <c r="G2042" t="s">
        <v>56</v>
      </c>
      <c r="H2042" t="s">
        <v>110</v>
      </c>
      <c r="I2042">
        <v>1</v>
      </c>
      <c r="J2042" s="19">
        <f>WEEKNUM(tblRidershipData[[#This Row],[MeasurementDate]])</f>
        <v>50</v>
      </c>
      <c r="K2042" s="19">
        <f>MONTH(tblRidershipData[[#This Row],[MeasurementDate]])</f>
        <v>12</v>
      </c>
    </row>
    <row r="2043" spans="1:11" x14ac:dyDescent="0.25">
      <c r="A2043" s="31">
        <v>43811</v>
      </c>
      <c r="B2043" t="s">
        <v>5</v>
      </c>
      <c r="C2043" s="31">
        <v>4503</v>
      </c>
      <c r="D2043" t="s">
        <v>84</v>
      </c>
      <c r="E2043" t="s">
        <v>111</v>
      </c>
      <c r="F2043">
        <v>1</v>
      </c>
      <c r="G2043" t="s">
        <v>57</v>
      </c>
      <c r="H2043" t="s">
        <v>110</v>
      </c>
      <c r="I2043">
        <v>2</v>
      </c>
      <c r="J2043" s="19">
        <f>WEEKNUM(tblRidershipData[[#This Row],[MeasurementDate]])</f>
        <v>50</v>
      </c>
      <c r="K2043" s="19">
        <f>MONTH(tblRidershipData[[#This Row],[MeasurementDate]])</f>
        <v>12</v>
      </c>
    </row>
    <row r="2044" spans="1:11" x14ac:dyDescent="0.25">
      <c r="A2044" s="31">
        <v>43811</v>
      </c>
      <c r="B2044" t="s">
        <v>5</v>
      </c>
      <c r="C2044" s="31">
        <v>4503</v>
      </c>
      <c r="D2044" t="s">
        <v>84</v>
      </c>
      <c r="E2044" t="s">
        <v>111</v>
      </c>
      <c r="F2044">
        <v>1</v>
      </c>
      <c r="G2044" t="s">
        <v>60</v>
      </c>
      <c r="H2044" t="s">
        <v>110</v>
      </c>
      <c r="I2044">
        <v>2</v>
      </c>
      <c r="J2044" s="19">
        <f>WEEKNUM(tblRidershipData[[#This Row],[MeasurementDate]])</f>
        <v>50</v>
      </c>
      <c r="K2044" s="19">
        <f>MONTH(tblRidershipData[[#This Row],[MeasurementDate]])</f>
        <v>12</v>
      </c>
    </row>
    <row r="2045" spans="1:11" x14ac:dyDescent="0.25">
      <c r="A2045" s="31">
        <v>43811</v>
      </c>
      <c r="B2045" t="s">
        <v>5</v>
      </c>
      <c r="C2045" s="31">
        <v>4503</v>
      </c>
      <c r="D2045" t="s">
        <v>84</v>
      </c>
      <c r="E2045" t="s">
        <v>111</v>
      </c>
      <c r="F2045">
        <v>1</v>
      </c>
      <c r="G2045" t="s">
        <v>66</v>
      </c>
      <c r="H2045" t="s">
        <v>110</v>
      </c>
      <c r="I2045">
        <v>2</v>
      </c>
      <c r="J2045" s="19">
        <f>WEEKNUM(tblRidershipData[[#This Row],[MeasurementDate]])</f>
        <v>50</v>
      </c>
      <c r="K2045" s="19">
        <f>MONTH(tblRidershipData[[#This Row],[MeasurementDate]])</f>
        <v>12</v>
      </c>
    </row>
    <row r="2046" spans="1:11" x14ac:dyDescent="0.25">
      <c r="A2046" s="31">
        <v>43811</v>
      </c>
      <c r="B2046" t="s">
        <v>5</v>
      </c>
      <c r="C2046" s="31">
        <v>4503</v>
      </c>
      <c r="D2046" t="s">
        <v>84</v>
      </c>
      <c r="E2046" t="s">
        <v>111</v>
      </c>
      <c r="F2046">
        <v>1</v>
      </c>
      <c r="G2046" t="s">
        <v>69</v>
      </c>
      <c r="H2046" t="s">
        <v>110</v>
      </c>
      <c r="I2046">
        <v>9</v>
      </c>
      <c r="J2046" s="19">
        <f>WEEKNUM(tblRidershipData[[#This Row],[MeasurementDate]])</f>
        <v>50</v>
      </c>
      <c r="K2046" s="19">
        <f>MONTH(tblRidershipData[[#This Row],[MeasurementDate]])</f>
        <v>12</v>
      </c>
    </row>
    <row r="2047" spans="1:11" x14ac:dyDescent="0.25">
      <c r="A2047" s="31">
        <v>43811</v>
      </c>
      <c r="B2047" t="s">
        <v>5</v>
      </c>
      <c r="C2047" s="31">
        <v>4503</v>
      </c>
      <c r="D2047" t="s">
        <v>84</v>
      </c>
      <c r="E2047" t="s">
        <v>111</v>
      </c>
      <c r="F2047">
        <v>1</v>
      </c>
      <c r="G2047" t="s">
        <v>70</v>
      </c>
      <c r="H2047" t="s">
        <v>110</v>
      </c>
      <c r="I2047">
        <v>10</v>
      </c>
      <c r="J2047" s="19">
        <f>WEEKNUM(tblRidershipData[[#This Row],[MeasurementDate]])</f>
        <v>50</v>
      </c>
      <c r="K2047" s="19">
        <f>MONTH(tblRidershipData[[#This Row],[MeasurementDate]])</f>
        <v>12</v>
      </c>
    </row>
    <row r="2048" spans="1:11" x14ac:dyDescent="0.25">
      <c r="A2048" s="31">
        <v>43811</v>
      </c>
      <c r="B2048" t="s">
        <v>5</v>
      </c>
      <c r="C2048" s="31">
        <v>4503</v>
      </c>
      <c r="D2048" t="s">
        <v>84</v>
      </c>
      <c r="E2048" t="s">
        <v>111</v>
      </c>
      <c r="F2048">
        <v>1</v>
      </c>
      <c r="G2048" t="s">
        <v>71</v>
      </c>
      <c r="H2048" t="s">
        <v>110</v>
      </c>
      <c r="I2048">
        <v>1</v>
      </c>
      <c r="J2048" s="19">
        <f>WEEKNUM(tblRidershipData[[#This Row],[MeasurementDate]])</f>
        <v>50</v>
      </c>
      <c r="K2048" s="19">
        <f>MONTH(tblRidershipData[[#This Row],[MeasurementDate]])</f>
        <v>12</v>
      </c>
    </row>
    <row r="2049" spans="1:11" x14ac:dyDescent="0.25">
      <c r="A2049" s="31">
        <v>43811</v>
      </c>
      <c r="B2049" t="s">
        <v>5</v>
      </c>
      <c r="C2049" s="31">
        <v>4503</v>
      </c>
      <c r="D2049" t="s">
        <v>84</v>
      </c>
      <c r="E2049" t="s">
        <v>111</v>
      </c>
      <c r="F2049">
        <v>1</v>
      </c>
      <c r="G2049" t="s">
        <v>76</v>
      </c>
      <c r="H2049" t="s">
        <v>110</v>
      </c>
      <c r="I2049">
        <v>1</v>
      </c>
      <c r="J2049" s="19">
        <f>WEEKNUM(tblRidershipData[[#This Row],[MeasurementDate]])</f>
        <v>50</v>
      </c>
      <c r="K2049" s="19">
        <f>MONTH(tblRidershipData[[#This Row],[MeasurementDate]])</f>
        <v>12</v>
      </c>
    </row>
    <row r="2050" spans="1:11" x14ac:dyDescent="0.25">
      <c r="A2050" s="31">
        <v>43811</v>
      </c>
      <c r="B2050" t="s">
        <v>5</v>
      </c>
      <c r="C2050" s="31">
        <v>4503</v>
      </c>
      <c r="D2050" t="s">
        <v>84</v>
      </c>
      <c r="E2050" t="s">
        <v>109</v>
      </c>
      <c r="F2050">
        <v>1</v>
      </c>
      <c r="G2050" t="s">
        <v>43</v>
      </c>
      <c r="H2050" t="s">
        <v>110</v>
      </c>
      <c r="I2050">
        <v>10</v>
      </c>
      <c r="J2050" s="19">
        <f>WEEKNUM(tblRidershipData[[#This Row],[MeasurementDate]])</f>
        <v>50</v>
      </c>
      <c r="K2050" s="19">
        <f>MONTH(tblRidershipData[[#This Row],[MeasurementDate]])</f>
        <v>12</v>
      </c>
    </row>
    <row r="2051" spans="1:11" x14ac:dyDescent="0.25">
      <c r="A2051" s="31">
        <v>43811</v>
      </c>
      <c r="B2051" t="s">
        <v>5</v>
      </c>
      <c r="C2051" s="31">
        <v>4503</v>
      </c>
      <c r="D2051" t="s">
        <v>84</v>
      </c>
      <c r="E2051" t="s">
        <v>109</v>
      </c>
      <c r="F2051">
        <v>1</v>
      </c>
      <c r="G2051" t="s">
        <v>46</v>
      </c>
      <c r="H2051" t="s">
        <v>110</v>
      </c>
      <c r="I2051">
        <v>8</v>
      </c>
      <c r="J2051" s="19">
        <f>WEEKNUM(tblRidershipData[[#This Row],[MeasurementDate]])</f>
        <v>50</v>
      </c>
      <c r="K2051" s="19">
        <f>MONTH(tblRidershipData[[#This Row],[MeasurementDate]])</f>
        <v>12</v>
      </c>
    </row>
    <row r="2052" spans="1:11" x14ac:dyDescent="0.25">
      <c r="A2052" s="31">
        <v>43811</v>
      </c>
      <c r="B2052" t="s">
        <v>5</v>
      </c>
      <c r="C2052" s="31">
        <v>4503</v>
      </c>
      <c r="D2052" t="s">
        <v>84</v>
      </c>
      <c r="E2052" t="s">
        <v>109</v>
      </c>
      <c r="F2052">
        <v>1</v>
      </c>
      <c r="G2052" t="s">
        <v>69</v>
      </c>
      <c r="H2052" t="s">
        <v>110</v>
      </c>
      <c r="I2052">
        <v>3</v>
      </c>
      <c r="J2052" s="19">
        <f>WEEKNUM(tblRidershipData[[#This Row],[MeasurementDate]])</f>
        <v>50</v>
      </c>
      <c r="K2052" s="19">
        <f>MONTH(tblRidershipData[[#This Row],[MeasurementDate]])</f>
        <v>12</v>
      </c>
    </row>
    <row r="2053" spans="1:11" x14ac:dyDescent="0.25">
      <c r="A2053" s="31">
        <v>43811</v>
      </c>
      <c r="B2053" t="s">
        <v>5</v>
      </c>
      <c r="C2053" s="31">
        <v>4503</v>
      </c>
      <c r="D2053" t="s">
        <v>84</v>
      </c>
      <c r="E2053" t="s">
        <v>109</v>
      </c>
      <c r="F2053">
        <v>1</v>
      </c>
      <c r="G2053" t="s">
        <v>74</v>
      </c>
      <c r="H2053" t="s">
        <v>110</v>
      </c>
      <c r="I2053">
        <v>22</v>
      </c>
      <c r="J2053" s="19">
        <f>WEEKNUM(tblRidershipData[[#This Row],[MeasurementDate]])</f>
        <v>50</v>
      </c>
      <c r="K2053" s="19">
        <f>MONTH(tblRidershipData[[#This Row],[MeasurementDate]])</f>
        <v>12</v>
      </c>
    </row>
    <row r="2054" spans="1:11" x14ac:dyDescent="0.25">
      <c r="A2054" s="31">
        <v>43811</v>
      </c>
      <c r="B2054" t="s">
        <v>5</v>
      </c>
      <c r="C2054" s="31">
        <v>4503</v>
      </c>
      <c r="D2054" t="s">
        <v>84</v>
      </c>
      <c r="E2054" t="s">
        <v>109</v>
      </c>
      <c r="F2054">
        <v>1</v>
      </c>
      <c r="G2054" t="s">
        <v>75</v>
      </c>
      <c r="H2054" t="s">
        <v>110</v>
      </c>
      <c r="I2054">
        <v>21</v>
      </c>
      <c r="J2054" s="19">
        <f>WEEKNUM(tblRidershipData[[#This Row],[MeasurementDate]])</f>
        <v>50</v>
      </c>
      <c r="K2054" s="19">
        <f>MONTH(tblRidershipData[[#This Row],[MeasurementDate]])</f>
        <v>12</v>
      </c>
    </row>
    <row r="2055" spans="1:11" x14ac:dyDescent="0.25">
      <c r="A2055" s="31">
        <v>43811</v>
      </c>
      <c r="B2055" t="s">
        <v>5</v>
      </c>
      <c r="C2055" s="31">
        <v>6552</v>
      </c>
      <c r="D2055" t="s">
        <v>85</v>
      </c>
      <c r="E2055" t="s">
        <v>111</v>
      </c>
      <c r="F2055">
        <v>1</v>
      </c>
      <c r="G2055" t="s">
        <v>44</v>
      </c>
      <c r="H2055" t="s">
        <v>110</v>
      </c>
      <c r="I2055">
        <v>1</v>
      </c>
      <c r="J2055" s="19">
        <f>WEEKNUM(tblRidershipData[[#This Row],[MeasurementDate]])</f>
        <v>50</v>
      </c>
      <c r="K2055" s="19">
        <f>MONTH(tblRidershipData[[#This Row],[MeasurementDate]])</f>
        <v>12</v>
      </c>
    </row>
    <row r="2056" spans="1:11" x14ac:dyDescent="0.25">
      <c r="A2056" s="31">
        <v>43811</v>
      </c>
      <c r="B2056" t="s">
        <v>5</v>
      </c>
      <c r="C2056" s="31">
        <v>6552</v>
      </c>
      <c r="D2056" t="s">
        <v>85</v>
      </c>
      <c r="E2056" t="s">
        <v>111</v>
      </c>
      <c r="F2056">
        <v>1</v>
      </c>
      <c r="G2056" t="s">
        <v>52</v>
      </c>
      <c r="H2056" t="s">
        <v>110</v>
      </c>
      <c r="I2056">
        <v>7</v>
      </c>
      <c r="J2056" s="19">
        <f>WEEKNUM(tblRidershipData[[#This Row],[MeasurementDate]])</f>
        <v>50</v>
      </c>
      <c r="K2056" s="19">
        <f>MONTH(tblRidershipData[[#This Row],[MeasurementDate]])</f>
        <v>12</v>
      </c>
    </row>
    <row r="2057" spans="1:11" x14ac:dyDescent="0.25">
      <c r="A2057" s="31">
        <v>43811</v>
      </c>
      <c r="B2057" t="s">
        <v>5</v>
      </c>
      <c r="C2057" s="31">
        <v>6552</v>
      </c>
      <c r="D2057" t="s">
        <v>85</v>
      </c>
      <c r="E2057" t="s">
        <v>111</v>
      </c>
      <c r="F2057">
        <v>1</v>
      </c>
      <c r="G2057" t="s">
        <v>56</v>
      </c>
      <c r="H2057" t="s">
        <v>110</v>
      </c>
      <c r="I2057">
        <v>3</v>
      </c>
      <c r="J2057" s="19">
        <f>WEEKNUM(tblRidershipData[[#This Row],[MeasurementDate]])</f>
        <v>50</v>
      </c>
      <c r="K2057" s="19">
        <f>MONTH(tblRidershipData[[#This Row],[MeasurementDate]])</f>
        <v>12</v>
      </c>
    </row>
    <row r="2058" spans="1:11" x14ac:dyDescent="0.25">
      <c r="A2058" s="31">
        <v>43811</v>
      </c>
      <c r="B2058" t="s">
        <v>5</v>
      </c>
      <c r="C2058" s="31">
        <v>6552</v>
      </c>
      <c r="D2058" t="s">
        <v>85</v>
      </c>
      <c r="E2058" t="s">
        <v>111</v>
      </c>
      <c r="F2058">
        <v>1</v>
      </c>
      <c r="G2058" t="s">
        <v>64</v>
      </c>
      <c r="H2058" t="s">
        <v>110</v>
      </c>
      <c r="I2058">
        <v>2</v>
      </c>
      <c r="J2058" s="19">
        <f>WEEKNUM(tblRidershipData[[#This Row],[MeasurementDate]])</f>
        <v>50</v>
      </c>
      <c r="K2058" s="19">
        <f>MONTH(tblRidershipData[[#This Row],[MeasurementDate]])</f>
        <v>12</v>
      </c>
    </row>
    <row r="2059" spans="1:11" x14ac:dyDescent="0.25">
      <c r="A2059" s="31">
        <v>43811</v>
      </c>
      <c r="B2059" t="s">
        <v>5</v>
      </c>
      <c r="C2059" s="31">
        <v>6552</v>
      </c>
      <c r="D2059" t="s">
        <v>85</v>
      </c>
      <c r="E2059" t="s">
        <v>111</v>
      </c>
      <c r="F2059">
        <v>1</v>
      </c>
      <c r="G2059" t="s">
        <v>67</v>
      </c>
      <c r="H2059" t="s">
        <v>110</v>
      </c>
      <c r="I2059">
        <v>14</v>
      </c>
      <c r="J2059" s="19">
        <f>WEEKNUM(tblRidershipData[[#This Row],[MeasurementDate]])</f>
        <v>50</v>
      </c>
      <c r="K2059" s="19">
        <f>MONTH(tblRidershipData[[#This Row],[MeasurementDate]])</f>
        <v>12</v>
      </c>
    </row>
    <row r="2060" spans="1:11" x14ac:dyDescent="0.25">
      <c r="A2060" s="31">
        <v>43811</v>
      </c>
      <c r="B2060" t="s">
        <v>5</v>
      </c>
      <c r="C2060" s="31">
        <v>6552</v>
      </c>
      <c r="D2060" t="s">
        <v>85</v>
      </c>
      <c r="E2060" t="s">
        <v>111</v>
      </c>
      <c r="F2060">
        <v>1</v>
      </c>
      <c r="G2060" t="s">
        <v>72</v>
      </c>
      <c r="H2060" t="s">
        <v>110</v>
      </c>
      <c r="I2060">
        <v>5</v>
      </c>
      <c r="J2060" s="19">
        <f>WEEKNUM(tblRidershipData[[#This Row],[MeasurementDate]])</f>
        <v>50</v>
      </c>
      <c r="K2060" s="19">
        <f>MONTH(tblRidershipData[[#This Row],[MeasurementDate]])</f>
        <v>12</v>
      </c>
    </row>
    <row r="2061" spans="1:11" x14ac:dyDescent="0.25">
      <c r="A2061" s="31">
        <v>43811</v>
      </c>
      <c r="B2061" t="s">
        <v>5</v>
      </c>
      <c r="C2061" s="31">
        <v>6552</v>
      </c>
      <c r="D2061" t="s">
        <v>85</v>
      </c>
      <c r="E2061" t="s">
        <v>111</v>
      </c>
      <c r="F2061">
        <v>1</v>
      </c>
      <c r="G2061" t="s">
        <v>74</v>
      </c>
      <c r="H2061" t="s">
        <v>110</v>
      </c>
      <c r="I2061">
        <v>14</v>
      </c>
      <c r="J2061" s="19">
        <f>WEEKNUM(tblRidershipData[[#This Row],[MeasurementDate]])</f>
        <v>50</v>
      </c>
      <c r="K2061" s="19">
        <f>MONTH(tblRidershipData[[#This Row],[MeasurementDate]])</f>
        <v>12</v>
      </c>
    </row>
    <row r="2062" spans="1:11" x14ac:dyDescent="0.25">
      <c r="A2062" s="31">
        <v>43811</v>
      </c>
      <c r="B2062" t="s">
        <v>5</v>
      </c>
      <c r="C2062" s="31">
        <v>6552</v>
      </c>
      <c r="D2062" t="s">
        <v>85</v>
      </c>
      <c r="E2062" t="s">
        <v>109</v>
      </c>
      <c r="F2062">
        <v>1</v>
      </c>
      <c r="G2062" t="s">
        <v>43</v>
      </c>
      <c r="H2062" t="s">
        <v>110</v>
      </c>
      <c r="I2062">
        <v>1</v>
      </c>
      <c r="J2062" s="19">
        <f>WEEKNUM(tblRidershipData[[#This Row],[MeasurementDate]])</f>
        <v>50</v>
      </c>
      <c r="K2062" s="19">
        <f>MONTH(tblRidershipData[[#This Row],[MeasurementDate]])</f>
        <v>12</v>
      </c>
    </row>
    <row r="2063" spans="1:11" x14ac:dyDescent="0.25">
      <c r="A2063" s="31">
        <v>43811</v>
      </c>
      <c r="B2063" t="s">
        <v>5</v>
      </c>
      <c r="C2063" s="31">
        <v>6552</v>
      </c>
      <c r="D2063" t="s">
        <v>85</v>
      </c>
      <c r="E2063" t="s">
        <v>109</v>
      </c>
      <c r="F2063">
        <v>1</v>
      </c>
      <c r="G2063" t="s">
        <v>44</v>
      </c>
      <c r="H2063" t="s">
        <v>110</v>
      </c>
      <c r="I2063">
        <v>3</v>
      </c>
      <c r="J2063" s="19">
        <f>WEEKNUM(tblRidershipData[[#This Row],[MeasurementDate]])</f>
        <v>50</v>
      </c>
      <c r="K2063" s="19">
        <f>MONTH(tblRidershipData[[#This Row],[MeasurementDate]])</f>
        <v>12</v>
      </c>
    </row>
    <row r="2064" spans="1:11" x14ac:dyDescent="0.25">
      <c r="A2064" s="31">
        <v>43811</v>
      </c>
      <c r="B2064" t="s">
        <v>5</v>
      </c>
      <c r="C2064" s="31">
        <v>6552</v>
      </c>
      <c r="D2064" t="s">
        <v>85</v>
      </c>
      <c r="E2064" t="s">
        <v>109</v>
      </c>
      <c r="F2064">
        <v>1</v>
      </c>
      <c r="G2064" t="s">
        <v>46</v>
      </c>
      <c r="H2064" t="s">
        <v>110</v>
      </c>
      <c r="I2064">
        <v>6</v>
      </c>
      <c r="J2064" s="19">
        <f>WEEKNUM(tblRidershipData[[#This Row],[MeasurementDate]])</f>
        <v>50</v>
      </c>
      <c r="K2064" s="19">
        <f>MONTH(tblRidershipData[[#This Row],[MeasurementDate]])</f>
        <v>12</v>
      </c>
    </row>
    <row r="2065" spans="1:11" x14ac:dyDescent="0.25">
      <c r="A2065" s="31">
        <v>43811</v>
      </c>
      <c r="B2065" t="s">
        <v>5</v>
      </c>
      <c r="C2065" s="31">
        <v>6552</v>
      </c>
      <c r="D2065" t="s">
        <v>85</v>
      </c>
      <c r="E2065" t="s">
        <v>109</v>
      </c>
      <c r="F2065">
        <v>1</v>
      </c>
      <c r="G2065" t="s">
        <v>55</v>
      </c>
      <c r="H2065" t="s">
        <v>110</v>
      </c>
      <c r="I2065">
        <v>2</v>
      </c>
      <c r="J2065" s="19">
        <f>WEEKNUM(tblRidershipData[[#This Row],[MeasurementDate]])</f>
        <v>50</v>
      </c>
      <c r="K2065" s="19">
        <f>MONTH(tblRidershipData[[#This Row],[MeasurementDate]])</f>
        <v>12</v>
      </c>
    </row>
    <row r="2066" spans="1:11" x14ac:dyDescent="0.25">
      <c r="A2066" s="31">
        <v>43811</v>
      </c>
      <c r="B2066" t="s">
        <v>5</v>
      </c>
      <c r="C2066" s="31">
        <v>6552</v>
      </c>
      <c r="D2066" t="s">
        <v>85</v>
      </c>
      <c r="E2066" t="s">
        <v>109</v>
      </c>
      <c r="F2066">
        <v>1</v>
      </c>
      <c r="G2066" t="s">
        <v>57</v>
      </c>
      <c r="H2066" t="s">
        <v>110</v>
      </c>
      <c r="I2066">
        <v>4</v>
      </c>
      <c r="J2066" s="19">
        <f>WEEKNUM(tblRidershipData[[#This Row],[MeasurementDate]])</f>
        <v>50</v>
      </c>
      <c r="K2066" s="19">
        <f>MONTH(tblRidershipData[[#This Row],[MeasurementDate]])</f>
        <v>12</v>
      </c>
    </row>
    <row r="2067" spans="1:11" x14ac:dyDescent="0.25">
      <c r="A2067" s="31">
        <v>43811</v>
      </c>
      <c r="B2067" t="s">
        <v>5</v>
      </c>
      <c r="C2067" s="31">
        <v>6552</v>
      </c>
      <c r="D2067" t="s">
        <v>85</v>
      </c>
      <c r="E2067" t="s">
        <v>109</v>
      </c>
      <c r="F2067">
        <v>1</v>
      </c>
      <c r="G2067" t="s">
        <v>66</v>
      </c>
      <c r="H2067" t="s">
        <v>110</v>
      </c>
      <c r="I2067">
        <v>7</v>
      </c>
      <c r="J2067" s="19">
        <f>WEEKNUM(tblRidershipData[[#This Row],[MeasurementDate]])</f>
        <v>50</v>
      </c>
      <c r="K2067" s="19">
        <f>MONTH(tblRidershipData[[#This Row],[MeasurementDate]])</f>
        <v>12</v>
      </c>
    </row>
    <row r="2068" spans="1:11" x14ac:dyDescent="0.25">
      <c r="A2068" s="31">
        <v>43811</v>
      </c>
      <c r="B2068" t="s">
        <v>5</v>
      </c>
      <c r="C2068" s="31">
        <v>6552</v>
      </c>
      <c r="D2068" t="s">
        <v>85</v>
      </c>
      <c r="E2068" t="s">
        <v>109</v>
      </c>
      <c r="F2068">
        <v>1</v>
      </c>
      <c r="G2068" t="s">
        <v>69</v>
      </c>
      <c r="H2068" t="s">
        <v>110</v>
      </c>
      <c r="I2068">
        <v>4</v>
      </c>
      <c r="J2068" s="19">
        <f>WEEKNUM(tblRidershipData[[#This Row],[MeasurementDate]])</f>
        <v>50</v>
      </c>
      <c r="K2068" s="19">
        <f>MONTH(tblRidershipData[[#This Row],[MeasurementDate]])</f>
        <v>12</v>
      </c>
    </row>
    <row r="2069" spans="1:11" x14ac:dyDescent="0.25">
      <c r="A2069" s="31">
        <v>43811</v>
      </c>
      <c r="B2069" t="s">
        <v>5</v>
      </c>
      <c r="C2069" s="31">
        <v>6552</v>
      </c>
      <c r="D2069" t="s">
        <v>85</v>
      </c>
      <c r="E2069" t="s">
        <v>109</v>
      </c>
      <c r="F2069">
        <v>1</v>
      </c>
      <c r="G2069" t="s">
        <v>70</v>
      </c>
      <c r="H2069" t="s">
        <v>110</v>
      </c>
      <c r="I2069">
        <v>1</v>
      </c>
      <c r="J2069" s="19">
        <f>WEEKNUM(tblRidershipData[[#This Row],[MeasurementDate]])</f>
        <v>50</v>
      </c>
      <c r="K2069" s="19">
        <f>MONTH(tblRidershipData[[#This Row],[MeasurementDate]])</f>
        <v>12</v>
      </c>
    </row>
    <row r="2070" spans="1:11" x14ac:dyDescent="0.25">
      <c r="A2070" s="31">
        <v>43811</v>
      </c>
      <c r="B2070" t="s">
        <v>5</v>
      </c>
      <c r="C2070" s="31">
        <v>6552</v>
      </c>
      <c r="D2070" t="s">
        <v>85</v>
      </c>
      <c r="E2070" t="s">
        <v>109</v>
      </c>
      <c r="F2070">
        <v>1</v>
      </c>
      <c r="G2070" t="s">
        <v>71</v>
      </c>
      <c r="H2070" t="s">
        <v>110</v>
      </c>
      <c r="I2070">
        <v>30</v>
      </c>
      <c r="J2070" s="19">
        <f>WEEKNUM(tblRidershipData[[#This Row],[MeasurementDate]])</f>
        <v>50</v>
      </c>
      <c r="K2070" s="19">
        <f>MONTH(tblRidershipData[[#This Row],[MeasurementDate]])</f>
        <v>12</v>
      </c>
    </row>
    <row r="2071" spans="1:11" x14ac:dyDescent="0.25">
      <c r="A2071" s="31">
        <v>43811</v>
      </c>
      <c r="B2071" t="s">
        <v>5</v>
      </c>
      <c r="C2071" s="31">
        <v>6552</v>
      </c>
      <c r="D2071" t="s">
        <v>85</v>
      </c>
      <c r="E2071" t="s">
        <v>109</v>
      </c>
      <c r="F2071">
        <v>1</v>
      </c>
      <c r="G2071" t="s">
        <v>76</v>
      </c>
      <c r="H2071" t="s">
        <v>110</v>
      </c>
      <c r="I2071">
        <v>2</v>
      </c>
      <c r="J2071" s="19">
        <f>WEEKNUM(tblRidershipData[[#This Row],[MeasurementDate]])</f>
        <v>50</v>
      </c>
      <c r="K2071" s="19">
        <f>MONTH(tblRidershipData[[#This Row],[MeasurementDate]])</f>
        <v>12</v>
      </c>
    </row>
    <row r="2072" spans="1:11" x14ac:dyDescent="0.25">
      <c r="A2072" s="31">
        <v>43811</v>
      </c>
      <c r="B2072" t="s">
        <v>5</v>
      </c>
      <c r="C2072" s="31">
        <v>6552</v>
      </c>
      <c r="D2072" t="s">
        <v>85</v>
      </c>
      <c r="E2072" t="s">
        <v>109</v>
      </c>
      <c r="F2072">
        <v>2</v>
      </c>
      <c r="G2072" t="s">
        <v>43</v>
      </c>
      <c r="H2072" t="s">
        <v>110</v>
      </c>
      <c r="I2072">
        <v>1</v>
      </c>
      <c r="J2072" s="19">
        <f>WEEKNUM(tblRidershipData[[#This Row],[MeasurementDate]])</f>
        <v>50</v>
      </c>
      <c r="K2072" s="19">
        <f>MONTH(tblRidershipData[[#This Row],[MeasurementDate]])</f>
        <v>12</v>
      </c>
    </row>
    <row r="2073" spans="1:11" x14ac:dyDescent="0.25">
      <c r="A2073" s="31">
        <v>43811</v>
      </c>
      <c r="B2073" t="s">
        <v>5</v>
      </c>
      <c r="C2073" s="31">
        <v>6552</v>
      </c>
      <c r="D2073" t="s">
        <v>85</v>
      </c>
      <c r="E2073" t="s">
        <v>109</v>
      </c>
      <c r="F2073">
        <v>2</v>
      </c>
      <c r="G2073" t="s">
        <v>46</v>
      </c>
      <c r="H2073" t="s">
        <v>110</v>
      </c>
      <c r="I2073">
        <v>5</v>
      </c>
      <c r="J2073" s="19">
        <f>WEEKNUM(tblRidershipData[[#This Row],[MeasurementDate]])</f>
        <v>50</v>
      </c>
      <c r="K2073" s="19">
        <f>MONTH(tblRidershipData[[#This Row],[MeasurementDate]])</f>
        <v>12</v>
      </c>
    </row>
    <row r="2074" spans="1:11" x14ac:dyDescent="0.25">
      <c r="A2074" s="31">
        <v>43811</v>
      </c>
      <c r="B2074" t="s">
        <v>5</v>
      </c>
      <c r="C2074" s="31">
        <v>6552</v>
      </c>
      <c r="D2074" t="s">
        <v>85</v>
      </c>
      <c r="E2074" t="s">
        <v>109</v>
      </c>
      <c r="F2074">
        <v>2</v>
      </c>
      <c r="G2074" t="s">
        <v>55</v>
      </c>
      <c r="H2074" t="s">
        <v>110</v>
      </c>
      <c r="I2074">
        <v>3</v>
      </c>
      <c r="J2074" s="19">
        <f>WEEKNUM(tblRidershipData[[#This Row],[MeasurementDate]])</f>
        <v>50</v>
      </c>
      <c r="K2074" s="19">
        <f>MONTH(tblRidershipData[[#This Row],[MeasurementDate]])</f>
        <v>12</v>
      </c>
    </row>
    <row r="2075" spans="1:11" x14ac:dyDescent="0.25">
      <c r="A2075" s="31">
        <v>43811</v>
      </c>
      <c r="B2075" t="s">
        <v>5</v>
      </c>
      <c r="C2075" s="31">
        <v>6552</v>
      </c>
      <c r="D2075" t="s">
        <v>85</v>
      </c>
      <c r="E2075" t="s">
        <v>109</v>
      </c>
      <c r="F2075">
        <v>2</v>
      </c>
      <c r="G2075" t="s">
        <v>57</v>
      </c>
      <c r="H2075" t="s">
        <v>110</v>
      </c>
      <c r="I2075">
        <v>1</v>
      </c>
      <c r="J2075" s="19">
        <f>WEEKNUM(tblRidershipData[[#This Row],[MeasurementDate]])</f>
        <v>50</v>
      </c>
      <c r="K2075" s="19">
        <f>MONTH(tblRidershipData[[#This Row],[MeasurementDate]])</f>
        <v>12</v>
      </c>
    </row>
    <row r="2076" spans="1:11" x14ac:dyDescent="0.25">
      <c r="A2076" s="31">
        <v>43811</v>
      </c>
      <c r="B2076" t="s">
        <v>5</v>
      </c>
      <c r="C2076" s="31">
        <v>6552</v>
      </c>
      <c r="D2076" t="s">
        <v>85</v>
      </c>
      <c r="E2076" t="s">
        <v>109</v>
      </c>
      <c r="F2076">
        <v>2</v>
      </c>
      <c r="G2076" t="s">
        <v>66</v>
      </c>
      <c r="H2076" t="s">
        <v>110</v>
      </c>
      <c r="I2076">
        <v>6</v>
      </c>
      <c r="J2076" s="19">
        <f>WEEKNUM(tblRidershipData[[#This Row],[MeasurementDate]])</f>
        <v>50</v>
      </c>
      <c r="K2076" s="19">
        <f>MONTH(tblRidershipData[[#This Row],[MeasurementDate]])</f>
        <v>12</v>
      </c>
    </row>
    <row r="2077" spans="1:11" x14ac:dyDescent="0.25">
      <c r="A2077" s="31">
        <v>43811</v>
      </c>
      <c r="B2077" t="s">
        <v>5</v>
      </c>
      <c r="C2077" s="31">
        <v>6552</v>
      </c>
      <c r="D2077" t="s">
        <v>85</v>
      </c>
      <c r="E2077" t="s">
        <v>111</v>
      </c>
      <c r="F2077">
        <v>1</v>
      </c>
      <c r="G2077" t="s">
        <v>56</v>
      </c>
      <c r="H2077" t="s">
        <v>110</v>
      </c>
      <c r="I2077">
        <v>2</v>
      </c>
      <c r="J2077" s="19">
        <f>WEEKNUM(tblRidershipData[[#This Row],[MeasurementDate]])</f>
        <v>50</v>
      </c>
      <c r="K2077" s="19">
        <f>MONTH(tblRidershipData[[#This Row],[MeasurementDate]])</f>
        <v>12</v>
      </c>
    </row>
    <row r="2078" spans="1:11" x14ac:dyDescent="0.25">
      <c r="A2078" s="31">
        <v>43811</v>
      </c>
      <c r="B2078" t="s">
        <v>5</v>
      </c>
      <c r="C2078" s="31">
        <v>6552</v>
      </c>
      <c r="D2078" t="s">
        <v>85</v>
      </c>
      <c r="E2078" t="s">
        <v>111</v>
      </c>
      <c r="F2078">
        <v>1</v>
      </c>
      <c r="G2078" t="s">
        <v>57</v>
      </c>
      <c r="H2078" t="s">
        <v>110</v>
      </c>
      <c r="I2078">
        <v>8</v>
      </c>
      <c r="J2078" s="19">
        <f>WEEKNUM(tblRidershipData[[#This Row],[MeasurementDate]])</f>
        <v>50</v>
      </c>
      <c r="K2078" s="19">
        <f>MONTH(tblRidershipData[[#This Row],[MeasurementDate]])</f>
        <v>12</v>
      </c>
    </row>
    <row r="2079" spans="1:11" x14ac:dyDescent="0.25">
      <c r="A2079" s="31">
        <v>43811</v>
      </c>
      <c r="B2079" t="s">
        <v>5</v>
      </c>
      <c r="C2079" s="31">
        <v>6552</v>
      </c>
      <c r="D2079" t="s">
        <v>85</v>
      </c>
      <c r="E2079" t="s">
        <v>111</v>
      </c>
      <c r="F2079">
        <v>1</v>
      </c>
      <c r="G2079" t="s">
        <v>60</v>
      </c>
      <c r="H2079" t="s">
        <v>110</v>
      </c>
      <c r="I2079">
        <v>5</v>
      </c>
      <c r="J2079" s="19">
        <f>WEEKNUM(tblRidershipData[[#This Row],[MeasurementDate]])</f>
        <v>50</v>
      </c>
      <c r="K2079" s="19">
        <f>MONTH(tblRidershipData[[#This Row],[MeasurementDate]])</f>
        <v>12</v>
      </c>
    </row>
    <row r="2080" spans="1:11" x14ac:dyDescent="0.25">
      <c r="A2080" s="31">
        <v>43811</v>
      </c>
      <c r="B2080" t="s">
        <v>5</v>
      </c>
      <c r="C2080" s="31">
        <v>6552</v>
      </c>
      <c r="D2080" t="s">
        <v>85</v>
      </c>
      <c r="E2080" t="s">
        <v>111</v>
      </c>
      <c r="F2080">
        <v>1</v>
      </c>
      <c r="G2080" t="s">
        <v>66</v>
      </c>
      <c r="H2080" t="s">
        <v>110</v>
      </c>
      <c r="I2080">
        <v>15</v>
      </c>
      <c r="J2080" s="19">
        <f>WEEKNUM(tblRidershipData[[#This Row],[MeasurementDate]])</f>
        <v>50</v>
      </c>
      <c r="K2080" s="19">
        <f>MONTH(tblRidershipData[[#This Row],[MeasurementDate]])</f>
        <v>12</v>
      </c>
    </row>
    <row r="2081" spans="1:11" x14ac:dyDescent="0.25">
      <c r="A2081" s="31">
        <v>43811</v>
      </c>
      <c r="B2081" t="s">
        <v>5</v>
      </c>
      <c r="C2081" s="31">
        <v>6552</v>
      </c>
      <c r="D2081" t="s">
        <v>85</v>
      </c>
      <c r="E2081" t="s">
        <v>111</v>
      </c>
      <c r="F2081">
        <v>1</v>
      </c>
      <c r="G2081" t="s">
        <v>67</v>
      </c>
      <c r="H2081" t="s">
        <v>110</v>
      </c>
      <c r="I2081">
        <v>5</v>
      </c>
      <c r="J2081" s="19">
        <f>WEEKNUM(tblRidershipData[[#This Row],[MeasurementDate]])</f>
        <v>50</v>
      </c>
      <c r="K2081" s="19">
        <f>MONTH(tblRidershipData[[#This Row],[MeasurementDate]])</f>
        <v>12</v>
      </c>
    </row>
    <row r="2082" spans="1:11" x14ac:dyDescent="0.25">
      <c r="A2082" s="31">
        <v>43811</v>
      </c>
      <c r="B2082" t="s">
        <v>5</v>
      </c>
      <c r="C2082" s="31">
        <v>6552</v>
      </c>
      <c r="D2082" t="s">
        <v>85</v>
      </c>
      <c r="E2082" t="s">
        <v>111</v>
      </c>
      <c r="F2082">
        <v>1</v>
      </c>
      <c r="G2082" t="s">
        <v>71</v>
      </c>
      <c r="H2082" t="s">
        <v>110</v>
      </c>
      <c r="I2082">
        <v>5</v>
      </c>
      <c r="J2082" s="19">
        <f>WEEKNUM(tblRidershipData[[#This Row],[MeasurementDate]])</f>
        <v>50</v>
      </c>
      <c r="K2082" s="19">
        <f>MONTH(tblRidershipData[[#This Row],[MeasurementDate]])</f>
        <v>12</v>
      </c>
    </row>
    <row r="2083" spans="1:11" x14ac:dyDescent="0.25">
      <c r="A2083" s="31">
        <v>43811</v>
      </c>
      <c r="B2083" t="s">
        <v>5</v>
      </c>
      <c r="C2083" s="31">
        <v>6552</v>
      </c>
      <c r="D2083" t="s">
        <v>85</v>
      </c>
      <c r="E2083" t="s">
        <v>111</v>
      </c>
      <c r="F2083">
        <v>1</v>
      </c>
      <c r="G2083" t="s">
        <v>76</v>
      </c>
      <c r="H2083" t="s">
        <v>110</v>
      </c>
      <c r="I2083">
        <v>6</v>
      </c>
      <c r="J2083" s="19">
        <f>WEEKNUM(tblRidershipData[[#This Row],[MeasurementDate]])</f>
        <v>50</v>
      </c>
      <c r="K2083" s="19">
        <f>MONTH(tblRidershipData[[#This Row],[MeasurementDate]])</f>
        <v>12</v>
      </c>
    </row>
    <row r="2084" spans="1:11" x14ac:dyDescent="0.25">
      <c r="A2084" s="31">
        <v>43811</v>
      </c>
      <c r="B2084" t="s">
        <v>5</v>
      </c>
      <c r="C2084" s="31">
        <v>6552</v>
      </c>
      <c r="D2084" t="s">
        <v>85</v>
      </c>
      <c r="E2084" t="s">
        <v>109</v>
      </c>
      <c r="F2084">
        <v>1</v>
      </c>
      <c r="G2084" t="s">
        <v>44</v>
      </c>
      <c r="H2084" t="s">
        <v>110</v>
      </c>
      <c r="I2084">
        <v>16</v>
      </c>
      <c r="J2084" s="19">
        <f>WEEKNUM(tblRidershipData[[#This Row],[MeasurementDate]])</f>
        <v>50</v>
      </c>
      <c r="K2084" s="19">
        <f>MONTH(tblRidershipData[[#This Row],[MeasurementDate]])</f>
        <v>12</v>
      </c>
    </row>
    <row r="2085" spans="1:11" x14ac:dyDescent="0.25">
      <c r="A2085" s="31">
        <v>43811</v>
      </c>
      <c r="B2085" t="s">
        <v>5</v>
      </c>
      <c r="C2085" s="31">
        <v>6552</v>
      </c>
      <c r="D2085" t="s">
        <v>85</v>
      </c>
      <c r="E2085" t="s">
        <v>109</v>
      </c>
      <c r="F2085">
        <v>1</v>
      </c>
      <c r="G2085" t="s">
        <v>57</v>
      </c>
      <c r="H2085" t="s">
        <v>110</v>
      </c>
      <c r="I2085">
        <v>7</v>
      </c>
      <c r="J2085" s="19">
        <f>WEEKNUM(tblRidershipData[[#This Row],[MeasurementDate]])</f>
        <v>50</v>
      </c>
      <c r="K2085" s="19">
        <f>MONTH(tblRidershipData[[#This Row],[MeasurementDate]])</f>
        <v>12</v>
      </c>
    </row>
    <row r="2086" spans="1:11" x14ac:dyDescent="0.25">
      <c r="A2086" s="31">
        <v>43811</v>
      </c>
      <c r="B2086" t="s">
        <v>5</v>
      </c>
      <c r="C2086" s="31">
        <v>6552</v>
      </c>
      <c r="D2086" t="s">
        <v>85</v>
      </c>
      <c r="E2086" t="s">
        <v>109</v>
      </c>
      <c r="F2086">
        <v>1</v>
      </c>
      <c r="G2086" t="s">
        <v>67</v>
      </c>
      <c r="H2086" t="s">
        <v>110</v>
      </c>
      <c r="I2086">
        <v>40</v>
      </c>
      <c r="J2086" s="19">
        <f>WEEKNUM(tblRidershipData[[#This Row],[MeasurementDate]])</f>
        <v>50</v>
      </c>
      <c r="K2086" s="19">
        <f>MONTH(tblRidershipData[[#This Row],[MeasurementDate]])</f>
        <v>12</v>
      </c>
    </row>
    <row r="2087" spans="1:11" x14ac:dyDescent="0.25">
      <c r="A2087" s="31">
        <v>43811</v>
      </c>
      <c r="B2087" t="s">
        <v>5</v>
      </c>
      <c r="C2087" s="31">
        <v>6552</v>
      </c>
      <c r="D2087" t="s">
        <v>85</v>
      </c>
      <c r="E2087" t="s">
        <v>109</v>
      </c>
      <c r="F2087">
        <v>2</v>
      </c>
      <c r="G2087" t="s">
        <v>74</v>
      </c>
      <c r="H2087" t="s">
        <v>110</v>
      </c>
      <c r="I2087">
        <v>9</v>
      </c>
      <c r="J2087" s="19">
        <f>WEEKNUM(tblRidershipData[[#This Row],[MeasurementDate]])</f>
        <v>50</v>
      </c>
      <c r="K2087" s="19">
        <f>MONTH(tblRidershipData[[#This Row],[MeasurementDate]])</f>
        <v>12</v>
      </c>
    </row>
    <row r="2088" spans="1:11" x14ac:dyDescent="0.25">
      <c r="A2088" s="31">
        <v>43811</v>
      </c>
      <c r="B2088" t="s">
        <v>5</v>
      </c>
      <c r="C2088" s="31">
        <v>7307</v>
      </c>
      <c r="D2088" t="s">
        <v>82</v>
      </c>
      <c r="E2088" t="s">
        <v>111</v>
      </c>
      <c r="F2088">
        <v>1</v>
      </c>
      <c r="G2088" t="s">
        <v>46</v>
      </c>
      <c r="H2088" t="s">
        <v>110</v>
      </c>
      <c r="I2088">
        <v>2</v>
      </c>
      <c r="J2088" s="19">
        <f>WEEKNUM(tblRidershipData[[#This Row],[MeasurementDate]])</f>
        <v>50</v>
      </c>
      <c r="K2088" s="19">
        <f>MONTH(tblRidershipData[[#This Row],[MeasurementDate]])</f>
        <v>12</v>
      </c>
    </row>
    <row r="2089" spans="1:11" x14ac:dyDescent="0.25">
      <c r="A2089" s="31">
        <v>43811</v>
      </c>
      <c r="B2089" t="s">
        <v>5</v>
      </c>
      <c r="C2089" s="31">
        <v>7307</v>
      </c>
      <c r="D2089" t="s">
        <v>82</v>
      </c>
      <c r="E2089" t="s">
        <v>111</v>
      </c>
      <c r="F2089">
        <v>1</v>
      </c>
      <c r="G2089" t="s">
        <v>55</v>
      </c>
      <c r="H2089" t="s">
        <v>110</v>
      </c>
      <c r="I2089">
        <v>4</v>
      </c>
      <c r="J2089" s="19">
        <f>WEEKNUM(tblRidershipData[[#This Row],[MeasurementDate]])</f>
        <v>50</v>
      </c>
      <c r="K2089" s="19">
        <f>MONTH(tblRidershipData[[#This Row],[MeasurementDate]])</f>
        <v>12</v>
      </c>
    </row>
    <row r="2090" spans="1:11" x14ac:dyDescent="0.25">
      <c r="A2090" s="31">
        <v>43811</v>
      </c>
      <c r="B2090" t="s">
        <v>5</v>
      </c>
      <c r="C2090" s="31">
        <v>7307</v>
      </c>
      <c r="D2090" t="s">
        <v>82</v>
      </c>
      <c r="E2090" t="s">
        <v>111</v>
      </c>
      <c r="F2090">
        <v>1</v>
      </c>
      <c r="G2090" t="s">
        <v>59</v>
      </c>
      <c r="H2090" t="s">
        <v>110</v>
      </c>
      <c r="I2090">
        <v>33</v>
      </c>
      <c r="J2090" s="19">
        <f>WEEKNUM(tblRidershipData[[#This Row],[MeasurementDate]])</f>
        <v>50</v>
      </c>
      <c r="K2090" s="19">
        <f>MONTH(tblRidershipData[[#This Row],[MeasurementDate]])</f>
        <v>12</v>
      </c>
    </row>
    <row r="2091" spans="1:11" x14ac:dyDescent="0.25">
      <c r="A2091" s="31">
        <v>43811</v>
      </c>
      <c r="B2091" t="s">
        <v>5</v>
      </c>
      <c r="C2091" s="31">
        <v>7307</v>
      </c>
      <c r="D2091" t="s">
        <v>82</v>
      </c>
      <c r="E2091" t="s">
        <v>111</v>
      </c>
      <c r="F2091">
        <v>1</v>
      </c>
      <c r="G2091" t="s">
        <v>69</v>
      </c>
      <c r="H2091" t="s">
        <v>110</v>
      </c>
      <c r="I2091">
        <v>11</v>
      </c>
      <c r="J2091" s="19">
        <f>WEEKNUM(tblRidershipData[[#This Row],[MeasurementDate]])</f>
        <v>50</v>
      </c>
      <c r="K2091" s="19">
        <f>MONTH(tblRidershipData[[#This Row],[MeasurementDate]])</f>
        <v>12</v>
      </c>
    </row>
    <row r="2092" spans="1:11" x14ac:dyDescent="0.25">
      <c r="A2092" s="31">
        <v>43811</v>
      </c>
      <c r="B2092" t="s">
        <v>5</v>
      </c>
      <c r="C2092" s="31">
        <v>7307</v>
      </c>
      <c r="D2092" t="s">
        <v>82</v>
      </c>
      <c r="E2092" t="s">
        <v>111</v>
      </c>
      <c r="F2092">
        <v>1</v>
      </c>
      <c r="G2092" t="s">
        <v>70</v>
      </c>
      <c r="H2092" t="s">
        <v>110</v>
      </c>
      <c r="I2092">
        <v>1</v>
      </c>
      <c r="J2092" s="19">
        <f>WEEKNUM(tblRidershipData[[#This Row],[MeasurementDate]])</f>
        <v>50</v>
      </c>
      <c r="K2092" s="19">
        <f>MONTH(tblRidershipData[[#This Row],[MeasurementDate]])</f>
        <v>12</v>
      </c>
    </row>
    <row r="2093" spans="1:11" x14ac:dyDescent="0.25">
      <c r="A2093" s="31">
        <v>43811</v>
      </c>
      <c r="B2093" t="s">
        <v>5</v>
      </c>
      <c r="C2093" s="31">
        <v>7307</v>
      </c>
      <c r="D2093" t="s">
        <v>82</v>
      </c>
      <c r="E2093" t="s">
        <v>111</v>
      </c>
      <c r="F2093">
        <v>1</v>
      </c>
      <c r="G2093" t="s">
        <v>73</v>
      </c>
      <c r="H2093" t="s">
        <v>110</v>
      </c>
      <c r="I2093">
        <v>14</v>
      </c>
      <c r="J2093" s="19">
        <f>WEEKNUM(tblRidershipData[[#This Row],[MeasurementDate]])</f>
        <v>50</v>
      </c>
      <c r="K2093" s="19">
        <f>MONTH(tblRidershipData[[#This Row],[MeasurementDate]])</f>
        <v>12</v>
      </c>
    </row>
    <row r="2094" spans="1:11" x14ac:dyDescent="0.25">
      <c r="A2094" s="31">
        <v>43811</v>
      </c>
      <c r="B2094" t="s">
        <v>5</v>
      </c>
      <c r="C2094" s="31">
        <v>7307</v>
      </c>
      <c r="D2094" t="s">
        <v>82</v>
      </c>
      <c r="E2094" t="s">
        <v>111</v>
      </c>
      <c r="F2094">
        <v>1</v>
      </c>
      <c r="G2094" t="s">
        <v>74</v>
      </c>
      <c r="H2094" t="s">
        <v>110</v>
      </c>
      <c r="I2094">
        <v>4</v>
      </c>
      <c r="J2094" s="19">
        <f>WEEKNUM(tblRidershipData[[#This Row],[MeasurementDate]])</f>
        <v>50</v>
      </c>
      <c r="K2094" s="19">
        <f>MONTH(tblRidershipData[[#This Row],[MeasurementDate]])</f>
        <v>12</v>
      </c>
    </row>
    <row r="2095" spans="1:11" x14ac:dyDescent="0.25">
      <c r="A2095" s="31">
        <v>43811</v>
      </c>
      <c r="B2095" t="s">
        <v>5</v>
      </c>
      <c r="C2095" s="31">
        <v>7307</v>
      </c>
      <c r="D2095" t="s">
        <v>82</v>
      </c>
      <c r="E2095" t="s">
        <v>109</v>
      </c>
      <c r="F2095">
        <v>1</v>
      </c>
      <c r="G2095" t="s">
        <v>43</v>
      </c>
      <c r="H2095" t="s">
        <v>110</v>
      </c>
      <c r="I2095">
        <v>3</v>
      </c>
      <c r="J2095" s="19">
        <f>WEEKNUM(tblRidershipData[[#This Row],[MeasurementDate]])</f>
        <v>50</v>
      </c>
      <c r="K2095" s="19">
        <f>MONTH(tblRidershipData[[#This Row],[MeasurementDate]])</f>
        <v>12</v>
      </c>
    </row>
    <row r="2096" spans="1:11" x14ac:dyDescent="0.25">
      <c r="A2096" s="31">
        <v>43811</v>
      </c>
      <c r="B2096" t="s">
        <v>5</v>
      </c>
      <c r="C2096" s="31">
        <v>7307</v>
      </c>
      <c r="D2096" t="s">
        <v>82</v>
      </c>
      <c r="E2096" t="s">
        <v>109</v>
      </c>
      <c r="F2096">
        <v>1</v>
      </c>
      <c r="G2096" t="s">
        <v>44</v>
      </c>
      <c r="H2096" t="s">
        <v>110</v>
      </c>
      <c r="I2096">
        <v>1</v>
      </c>
      <c r="J2096" s="19">
        <f>WEEKNUM(tblRidershipData[[#This Row],[MeasurementDate]])</f>
        <v>50</v>
      </c>
      <c r="K2096" s="19">
        <f>MONTH(tblRidershipData[[#This Row],[MeasurementDate]])</f>
        <v>12</v>
      </c>
    </row>
    <row r="2097" spans="1:11" x14ac:dyDescent="0.25">
      <c r="A2097" s="31">
        <v>43811</v>
      </c>
      <c r="B2097" t="s">
        <v>5</v>
      </c>
      <c r="C2097" s="31">
        <v>7307</v>
      </c>
      <c r="D2097" t="s">
        <v>82</v>
      </c>
      <c r="E2097" t="s">
        <v>109</v>
      </c>
      <c r="F2097">
        <v>1</v>
      </c>
      <c r="G2097" t="s">
        <v>46</v>
      </c>
      <c r="H2097" t="s">
        <v>110</v>
      </c>
      <c r="I2097">
        <v>7</v>
      </c>
      <c r="J2097" s="19">
        <f>WEEKNUM(tblRidershipData[[#This Row],[MeasurementDate]])</f>
        <v>50</v>
      </c>
      <c r="K2097" s="19">
        <f>MONTH(tblRidershipData[[#This Row],[MeasurementDate]])</f>
        <v>12</v>
      </c>
    </row>
    <row r="2098" spans="1:11" x14ac:dyDescent="0.25">
      <c r="A2098" s="31">
        <v>43811</v>
      </c>
      <c r="B2098" t="s">
        <v>5</v>
      </c>
      <c r="C2098" s="31">
        <v>7307</v>
      </c>
      <c r="D2098" t="s">
        <v>82</v>
      </c>
      <c r="E2098" t="s">
        <v>109</v>
      </c>
      <c r="F2098">
        <v>1</v>
      </c>
      <c r="G2098" t="s">
        <v>55</v>
      </c>
      <c r="H2098" t="s">
        <v>110</v>
      </c>
      <c r="I2098">
        <v>10</v>
      </c>
      <c r="J2098" s="19">
        <f>WEEKNUM(tblRidershipData[[#This Row],[MeasurementDate]])</f>
        <v>50</v>
      </c>
      <c r="K2098" s="19">
        <f>MONTH(tblRidershipData[[#This Row],[MeasurementDate]])</f>
        <v>12</v>
      </c>
    </row>
    <row r="2099" spans="1:11" x14ac:dyDescent="0.25">
      <c r="A2099" s="31">
        <v>43811</v>
      </c>
      <c r="B2099" t="s">
        <v>5</v>
      </c>
      <c r="C2099" s="31">
        <v>7307</v>
      </c>
      <c r="D2099" t="s">
        <v>82</v>
      </c>
      <c r="E2099" t="s">
        <v>109</v>
      </c>
      <c r="F2099">
        <v>1</v>
      </c>
      <c r="G2099" t="s">
        <v>59</v>
      </c>
      <c r="H2099" t="s">
        <v>110</v>
      </c>
      <c r="I2099">
        <v>3</v>
      </c>
      <c r="J2099" s="19">
        <f>WEEKNUM(tblRidershipData[[#This Row],[MeasurementDate]])</f>
        <v>50</v>
      </c>
      <c r="K2099" s="19">
        <f>MONTH(tblRidershipData[[#This Row],[MeasurementDate]])</f>
        <v>12</v>
      </c>
    </row>
    <row r="2100" spans="1:11" x14ac:dyDescent="0.25">
      <c r="A2100" s="31">
        <v>43811</v>
      </c>
      <c r="B2100" t="s">
        <v>5</v>
      </c>
      <c r="C2100" s="31">
        <v>7307</v>
      </c>
      <c r="D2100" t="s">
        <v>82</v>
      </c>
      <c r="E2100" t="s">
        <v>109</v>
      </c>
      <c r="F2100">
        <v>1</v>
      </c>
      <c r="G2100" t="s">
        <v>60</v>
      </c>
      <c r="H2100" t="s">
        <v>110</v>
      </c>
      <c r="I2100">
        <v>8</v>
      </c>
      <c r="J2100" s="19">
        <f>WEEKNUM(tblRidershipData[[#This Row],[MeasurementDate]])</f>
        <v>50</v>
      </c>
      <c r="K2100" s="19">
        <f>MONTH(tblRidershipData[[#This Row],[MeasurementDate]])</f>
        <v>12</v>
      </c>
    </row>
    <row r="2101" spans="1:11" x14ac:dyDescent="0.25">
      <c r="A2101" s="31">
        <v>43811</v>
      </c>
      <c r="B2101" t="s">
        <v>5</v>
      </c>
      <c r="C2101" s="31">
        <v>7307</v>
      </c>
      <c r="D2101" t="s">
        <v>82</v>
      </c>
      <c r="E2101" t="s">
        <v>109</v>
      </c>
      <c r="F2101">
        <v>1</v>
      </c>
      <c r="G2101" t="s">
        <v>64</v>
      </c>
      <c r="H2101" t="s">
        <v>110</v>
      </c>
      <c r="I2101">
        <v>3</v>
      </c>
      <c r="J2101" s="19">
        <f>WEEKNUM(tblRidershipData[[#This Row],[MeasurementDate]])</f>
        <v>50</v>
      </c>
      <c r="K2101" s="19">
        <f>MONTH(tblRidershipData[[#This Row],[MeasurementDate]])</f>
        <v>12</v>
      </c>
    </row>
    <row r="2102" spans="1:11" x14ac:dyDescent="0.25">
      <c r="A2102" s="31">
        <v>43811</v>
      </c>
      <c r="B2102" t="s">
        <v>5</v>
      </c>
      <c r="C2102" s="31">
        <v>7307</v>
      </c>
      <c r="D2102" t="s">
        <v>82</v>
      </c>
      <c r="E2102" t="s">
        <v>109</v>
      </c>
      <c r="F2102">
        <v>1</v>
      </c>
      <c r="G2102" t="s">
        <v>66</v>
      </c>
      <c r="H2102" t="s">
        <v>110</v>
      </c>
      <c r="I2102">
        <v>13</v>
      </c>
      <c r="J2102" s="19">
        <f>WEEKNUM(tblRidershipData[[#This Row],[MeasurementDate]])</f>
        <v>50</v>
      </c>
      <c r="K2102" s="19">
        <f>MONTH(tblRidershipData[[#This Row],[MeasurementDate]])</f>
        <v>12</v>
      </c>
    </row>
    <row r="2103" spans="1:11" x14ac:dyDescent="0.25">
      <c r="A2103" s="31">
        <v>43811</v>
      </c>
      <c r="B2103" t="s">
        <v>5</v>
      </c>
      <c r="C2103" s="31">
        <v>7307</v>
      </c>
      <c r="D2103" t="s">
        <v>82</v>
      </c>
      <c r="E2103" t="s">
        <v>109</v>
      </c>
      <c r="F2103">
        <v>1</v>
      </c>
      <c r="G2103" t="s">
        <v>69</v>
      </c>
      <c r="H2103" t="s">
        <v>110</v>
      </c>
      <c r="I2103">
        <v>3</v>
      </c>
      <c r="J2103" s="19">
        <f>WEEKNUM(tblRidershipData[[#This Row],[MeasurementDate]])</f>
        <v>50</v>
      </c>
      <c r="K2103" s="19">
        <f>MONTH(tblRidershipData[[#This Row],[MeasurementDate]])</f>
        <v>12</v>
      </c>
    </row>
    <row r="2104" spans="1:11" x14ac:dyDescent="0.25">
      <c r="A2104" s="31">
        <v>43811</v>
      </c>
      <c r="B2104" t="s">
        <v>5</v>
      </c>
      <c r="C2104" s="31">
        <v>7307</v>
      </c>
      <c r="D2104" t="s">
        <v>82</v>
      </c>
      <c r="E2104" t="s">
        <v>109</v>
      </c>
      <c r="F2104">
        <v>1</v>
      </c>
      <c r="G2104" t="s">
        <v>70</v>
      </c>
      <c r="H2104" t="s">
        <v>110</v>
      </c>
      <c r="I2104">
        <v>10</v>
      </c>
      <c r="J2104" s="19">
        <f>WEEKNUM(tblRidershipData[[#This Row],[MeasurementDate]])</f>
        <v>50</v>
      </c>
      <c r="K2104" s="19">
        <f>MONTH(tblRidershipData[[#This Row],[MeasurementDate]])</f>
        <v>12</v>
      </c>
    </row>
    <row r="2105" spans="1:11" x14ac:dyDescent="0.25">
      <c r="A2105" s="31">
        <v>43811</v>
      </c>
      <c r="B2105" t="s">
        <v>5</v>
      </c>
      <c r="C2105" s="31">
        <v>7307</v>
      </c>
      <c r="D2105" t="s">
        <v>82</v>
      </c>
      <c r="E2105" t="s">
        <v>109</v>
      </c>
      <c r="F2105">
        <v>1</v>
      </c>
      <c r="G2105" t="s">
        <v>71</v>
      </c>
      <c r="H2105" t="s">
        <v>110</v>
      </c>
      <c r="I2105">
        <v>7</v>
      </c>
      <c r="J2105" s="19">
        <f>WEEKNUM(tblRidershipData[[#This Row],[MeasurementDate]])</f>
        <v>50</v>
      </c>
      <c r="K2105" s="19">
        <f>MONTH(tblRidershipData[[#This Row],[MeasurementDate]])</f>
        <v>12</v>
      </c>
    </row>
    <row r="2106" spans="1:11" x14ac:dyDescent="0.25">
      <c r="A2106" s="31">
        <v>43811</v>
      </c>
      <c r="B2106" t="s">
        <v>5</v>
      </c>
      <c r="C2106" s="31">
        <v>7307</v>
      </c>
      <c r="D2106" t="s">
        <v>82</v>
      </c>
      <c r="E2106" t="s">
        <v>109</v>
      </c>
      <c r="F2106">
        <v>1</v>
      </c>
      <c r="G2106" t="s">
        <v>76</v>
      </c>
      <c r="H2106" t="s">
        <v>110</v>
      </c>
      <c r="I2106">
        <v>1</v>
      </c>
      <c r="J2106" s="19">
        <f>WEEKNUM(tblRidershipData[[#This Row],[MeasurementDate]])</f>
        <v>50</v>
      </c>
      <c r="K2106" s="19">
        <f>MONTH(tblRidershipData[[#This Row],[MeasurementDate]])</f>
        <v>12</v>
      </c>
    </row>
    <row r="2107" spans="1:11" x14ac:dyDescent="0.25">
      <c r="A2107" s="31">
        <v>43811</v>
      </c>
      <c r="B2107" t="s">
        <v>5</v>
      </c>
      <c r="C2107" s="31">
        <v>7307</v>
      </c>
      <c r="D2107" t="s">
        <v>82</v>
      </c>
      <c r="E2107" t="s">
        <v>109</v>
      </c>
      <c r="F2107">
        <v>2</v>
      </c>
      <c r="G2107" t="s">
        <v>43</v>
      </c>
      <c r="H2107" t="s">
        <v>110</v>
      </c>
      <c r="I2107">
        <v>8</v>
      </c>
      <c r="J2107" s="19">
        <f>WEEKNUM(tblRidershipData[[#This Row],[MeasurementDate]])</f>
        <v>50</v>
      </c>
      <c r="K2107" s="19">
        <f>MONTH(tblRidershipData[[#This Row],[MeasurementDate]])</f>
        <v>12</v>
      </c>
    </row>
    <row r="2108" spans="1:11" x14ac:dyDescent="0.25">
      <c r="A2108" s="31">
        <v>43811</v>
      </c>
      <c r="B2108" t="s">
        <v>5</v>
      </c>
      <c r="C2108" s="31">
        <v>7307</v>
      </c>
      <c r="D2108" t="s">
        <v>82</v>
      </c>
      <c r="E2108" t="s">
        <v>109</v>
      </c>
      <c r="F2108">
        <v>2</v>
      </c>
      <c r="G2108" t="s">
        <v>46</v>
      </c>
      <c r="H2108" t="s">
        <v>110</v>
      </c>
      <c r="I2108">
        <v>5</v>
      </c>
      <c r="J2108" s="19">
        <f>WEEKNUM(tblRidershipData[[#This Row],[MeasurementDate]])</f>
        <v>50</v>
      </c>
      <c r="K2108" s="19">
        <f>MONTH(tblRidershipData[[#This Row],[MeasurementDate]])</f>
        <v>12</v>
      </c>
    </row>
    <row r="2109" spans="1:11" x14ac:dyDescent="0.25">
      <c r="A2109" s="31">
        <v>43811</v>
      </c>
      <c r="B2109" t="s">
        <v>5</v>
      </c>
      <c r="C2109" s="31">
        <v>7307</v>
      </c>
      <c r="D2109" t="s">
        <v>82</v>
      </c>
      <c r="E2109" t="s">
        <v>109</v>
      </c>
      <c r="F2109">
        <v>2</v>
      </c>
      <c r="G2109" t="s">
        <v>66</v>
      </c>
      <c r="H2109" t="s">
        <v>110</v>
      </c>
      <c r="I2109">
        <v>3</v>
      </c>
      <c r="J2109" s="19">
        <f>WEEKNUM(tblRidershipData[[#This Row],[MeasurementDate]])</f>
        <v>50</v>
      </c>
      <c r="K2109" s="19">
        <f>MONTH(tblRidershipData[[#This Row],[MeasurementDate]])</f>
        <v>12</v>
      </c>
    </row>
    <row r="2110" spans="1:11" x14ac:dyDescent="0.25">
      <c r="A2110" s="31">
        <v>43811</v>
      </c>
      <c r="B2110" t="s">
        <v>5</v>
      </c>
      <c r="C2110" s="31">
        <v>7307</v>
      </c>
      <c r="D2110" t="s">
        <v>82</v>
      </c>
      <c r="E2110" t="s">
        <v>111</v>
      </c>
      <c r="F2110">
        <v>1</v>
      </c>
      <c r="G2110" t="s">
        <v>43</v>
      </c>
      <c r="H2110" t="s">
        <v>110</v>
      </c>
      <c r="I2110">
        <v>12</v>
      </c>
      <c r="J2110" s="19">
        <f>WEEKNUM(tblRidershipData[[#This Row],[MeasurementDate]])</f>
        <v>50</v>
      </c>
      <c r="K2110" s="19">
        <f>MONTH(tblRidershipData[[#This Row],[MeasurementDate]])</f>
        <v>12</v>
      </c>
    </row>
    <row r="2111" spans="1:11" x14ac:dyDescent="0.25">
      <c r="A2111" s="31">
        <v>43811</v>
      </c>
      <c r="B2111" t="s">
        <v>5</v>
      </c>
      <c r="C2111" s="31">
        <v>7307</v>
      </c>
      <c r="D2111" t="s">
        <v>82</v>
      </c>
      <c r="E2111" t="s">
        <v>111</v>
      </c>
      <c r="F2111">
        <v>1</v>
      </c>
      <c r="G2111" t="s">
        <v>44</v>
      </c>
      <c r="H2111" t="s">
        <v>110</v>
      </c>
      <c r="I2111">
        <v>3</v>
      </c>
      <c r="J2111" s="19">
        <f>WEEKNUM(tblRidershipData[[#This Row],[MeasurementDate]])</f>
        <v>50</v>
      </c>
      <c r="K2111" s="19">
        <f>MONTH(tblRidershipData[[#This Row],[MeasurementDate]])</f>
        <v>12</v>
      </c>
    </row>
    <row r="2112" spans="1:11" x14ac:dyDescent="0.25">
      <c r="A2112" s="31">
        <v>43811</v>
      </c>
      <c r="B2112" t="s">
        <v>5</v>
      </c>
      <c r="C2112" s="31">
        <v>7307</v>
      </c>
      <c r="D2112" t="s">
        <v>82</v>
      </c>
      <c r="E2112" t="s">
        <v>111</v>
      </c>
      <c r="F2112">
        <v>1</v>
      </c>
      <c r="G2112" t="s">
        <v>46</v>
      </c>
      <c r="H2112" t="s">
        <v>110</v>
      </c>
      <c r="I2112">
        <v>22</v>
      </c>
      <c r="J2112" s="19">
        <f>WEEKNUM(tblRidershipData[[#This Row],[MeasurementDate]])</f>
        <v>50</v>
      </c>
      <c r="K2112" s="19">
        <f>MONTH(tblRidershipData[[#This Row],[MeasurementDate]])</f>
        <v>12</v>
      </c>
    </row>
    <row r="2113" spans="1:11" x14ac:dyDescent="0.25">
      <c r="A2113" s="31">
        <v>43811</v>
      </c>
      <c r="B2113" t="s">
        <v>5</v>
      </c>
      <c r="C2113" s="31">
        <v>7307</v>
      </c>
      <c r="D2113" t="s">
        <v>82</v>
      </c>
      <c r="E2113" t="s">
        <v>111</v>
      </c>
      <c r="F2113">
        <v>1</v>
      </c>
      <c r="G2113" t="s">
        <v>55</v>
      </c>
      <c r="H2113" t="s">
        <v>110</v>
      </c>
      <c r="I2113">
        <v>2</v>
      </c>
      <c r="J2113" s="19">
        <f>WEEKNUM(tblRidershipData[[#This Row],[MeasurementDate]])</f>
        <v>50</v>
      </c>
      <c r="K2113" s="19">
        <f>MONTH(tblRidershipData[[#This Row],[MeasurementDate]])</f>
        <v>12</v>
      </c>
    </row>
    <row r="2114" spans="1:11" x14ac:dyDescent="0.25">
      <c r="A2114" s="31">
        <v>43811</v>
      </c>
      <c r="B2114" t="s">
        <v>5</v>
      </c>
      <c r="C2114" s="31">
        <v>7307</v>
      </c>
      <c r="D2114" t="s">
        <v>82</v>
      </c>
      <c r="E2114" t="s">
        <v>111</v>
      </c>
      <c r="F2114">
        <v>1</v>
      </c>
      <c r="G2114" t="s">
        <v>59</v>
      </c>
      <c r="H2114" t="s">
        <v>110</v>
      </c>
      <c r="I2114">
        <v>4</v>
      </c>
      <c r="J2114" s="19">
        <f>WEEKNUM(tblRidershipData[[#This Row],[MeasurementDate]])</f>
        <v>50</v>
      </c>
      <c r="K2114" s="19">
        <f>MONTH(tblRidershipData[[#This Row],[MeasurementDate]])</f>
        <v>12</v>
      </c>
    </row>
    <row r="2115" spans="1:11" x14ac:dyDescent="0.25">
      <c r="A2115" s="31">
        <v>43811</v>
      </c>
      <c r="B2115" t="s">
        <v>5</v>
      </c>
      <c r="C2115" s="31">
        <v>7307</v>
      </c>
      <c r="D2115" t="s">
        <v>82</v>
      </c>
      <c r="E2115" t="s">
        <v>111</v>
      </c>
      <c r="F2115">
        <v>1</v>
      </c>
      <c r="G2115" t="s">
        <v>66</v>
      </c>
      <c r="H2115" t="s">
        <v>110</v>
      </c>
      <c r="I2115">
        <v>11</v>
      </c>
      <c r="J2115" s="19">
        <f>WEEKNUM(tblRidershipData[[#This Row],[MeasurementDate]])</f>
        <v>50</v>
      </c>
      <c r="K2115" s="19">
        <f>MONTH(tblRidershipData[[#This Row],[MeasurementDate]])</f>
        <v>12</v>
      </c>
    </row>
    <row r="2116" spans="1:11" x14ac:dyDescent="0.25">
      <c r="A2116" s="31">
        <v>43811</v>
      </c>
      <c r="B2116" t="s">
        <v>5</v>
      </c>
      <c r="C2116" s="31">
        <v>7307</v>
      </c>
      <c r="D2116" t="s">
        <v>82</v>
      </c>
      <c r="E2116" t="s">
        <v>111</v>
      </c>
      <c r="F2116">
        <v>1</v>
      </c>
      <c r="G2116" t="s">
        <v>69</v>
      </c>
      <c r="H2116" t="s">
        <v>110</v>
      </c>
      <c r="I2116">
        <v>5</v>
      </c>
      <c r="J2116" s="19">
        <f>WEEKNUM(tblRidershipData[[#This Row],[MeasurementDate]])</f>
        <v>50</v>
      </c>
      <c r="K2116" s="19">
        <f>MONTH(tblRidershipData[[#This Row],[MeasurementDate]])</f>
        <v>12</v>
      </c>
    </row>
    <row r="2117" spans="1:11" x14ac:dyDescent="0.25">
      <c r="A2117" s="31">
        <v>43811</v>
      </c>
      <c r="B2117" t="s">
        <v>5</v>
      </c>
      <c r="C2117" s="31">
        <v>7307</v>
      </c>
      <c r="D2117" t="s">
        <v>82</v>
      </c>
      <c r="E2117" t="s">
        <v>111</v>
      </c>
      <c r="F2117">
        <v>1</v>
      </c>
      <c r="G2117" t="s">
        <v>70</v>
      </c>
      <c r="H2117" t="s">
        <v>110</v>
      </c>
      <c r="I2117">
        <v>2</v>
      </c>
      <c r="J2117" s="19">
        <f>WEEKNUM(tblRidershipData[[#This Row],[MeasurementDate]])</f>
        <v>50</v>
      </c>
      <c r="K2117" s="19">
        <f>MONTH(tblRidershipData[[#This Row],[MeasurementDate]])</f>
        <v>12</v>
      </c>
    </row>
    <row r="2118" spans="1:11" x14ac:dyDescent="0.25">
      <c r="A2118" s="31">
        <v>43811</v>
      </c>
      <c r="B2118" t="s">
        <v>5</v>
      </c>
      <c r="C2118" s="31">
        <v>7307</v>
      </c>
      <c r="D2118" t="s">
        <v>82</v>
      </c>
      <c r="E2118" t="s">
        <v>111</v>
      </c>
      <c r="F2118">
        <v>1</v>
      </c>
      <c r="G2118" t="s">
        <v>71</v>
      </c>
      <c r="H2118" t="s">
        <v>110</v>
      </c>
      <c r="I2118">
        <v>4</v>
      </c>
      <c r="J2118" s="19">
        <f>WEEKNUM(tblRidershipData[[#This Row],[MeasurementDate]])</f>
        <v>50</v>
      </c>
      <c r="K2118" s="19">
        <f>MONTH(tblRidershipData[[#This Row],[MeasurementDate]])</f>
        <v>12</v>
      </c>
    </row>
    <row r="2119" spans="1:11" x14ac:dyDescent="0.25">
      <c r="A2119" s="31">
        <v>43811</v>
      </c>
      <c r="B2119" t="s">
        <v>5</v>
      </c>
      <c r="C2119" s="31">
        <v>7307</v>
      </c>
      <c r="D2119" t="s">
        <v>82</v>
      </c>
      <c r="E2119" t="s">
        <v>111</v>
      </c>
      <c r="F2119">
        <v>1</v>
      </c>
      <c r="G2119" t="s">
        <v>76</v>
      </c>
      <c r="H2119" t="s">
        <v>110</v>
      </c>
      <c r="I2119">
        <v>4</v>
      </c>
      <c r="J2119" s="19">
        <f>WEEKNUM(tblRidershipData[[#This Row],[MeasurementDate]])</f>
        <v>50</v>
      </c>
      <c r="K2119" s="19">
        <f>MONTH(tblRidershipData[[#This Row],[MeasurementDate]])</f>
        <v>12</v>
      </c>
    </row>
    <row r="2120" spans="1:11" x14ac:dyDescent="0.25">
      <c r="A2120" s="31">
        <v>43811</v>
      </c>
      <c r="B2120" t="s">
        <v>5</v>
      </c>
      <c r="C2120" s="31">
        <v>7307</v>
      </c>
      <c r="D2120" t="s">
        <v>82</v>
      </c>
      <c r="E2120" t="s">
        <v>109</v>
      </c>
      <c r="F2120">
        <v>1</v>
      </c>
      <c r="G2120" t="s">
        <v>52</v>
      </c>
      <c r="H2120" t="s">
        <v>110</v>
      </c>
      <c r="I2120">
        <v>23</v>
      </c>
      <c r="J2120" s="19">
        <f>WEEKNUM(tblRidershipData[[#This Row],[MeasurementDate]])</f>
        <v>50</v>
      </c>
      <c r="K2120" s="19">
        <f>MONTH(tblRidershipData[[#This Row],[MeasurementDate]])</f>
        <v>12</v>
      </c>
    </row>
    <row r="2121" spans="1:11" x14ac:dyDescent="0.25">
      <c r="A2121" s="31">
        <v>43811</v>
      </c>
      <c r="B2121" t="s">
        <v>5</v>
      </c>
      <c r="C2121" s="31">
        <v>7307</v>
      </c>
      <c r="D2121" t="s">
        <v>82</v>
      </c>
      <c r="E2121" t="s">
        <v>109</v>
      </c>
      <c r="F2121">
        <v>1</v>
      </c>
      <c r="G2121" t="s">
        <v>59</v>
      </c>
      <c r="H2121" t="s">
        <v>110</v>
      </c>
      <c r="I2121">
        <v>22</v>
      </c>
      <c r="J2121" s="19">
        <f>WEEKNUM(tblRidershipData[[#This Row],[MeasurementDate]])</f>
        <v>50</v>
      </c>
      <c r="K2121" s="19">
        <f>MONTH(tblRidershipData[[#This Row],[MeasurementDate]])</f>
        <v>12</v>
      </c>
    </row>
    <row r="2122" spans="1:11" x14ac:dyDescent="0.25">
      <c r="A2122" s="31">
        <v>43811</v>
      </c>
      <c r="B2122" t="s">
        <v>5</v>
      </c>
      <c r="C2122" s="31">
        <v>7307</v>
      </c>
      <c r="D2122" t="s">
        <v>82</v>
      </c>
      <c r="E2122" t="s">
        <v>109</v>
      </c>
      <c r="F2122">
        <v>1</v>
      </c>
      <c r="G2122" t="s">
        <v>64</v>
      </c>
      <c r="H2122" t="s">
        <v>110</v>
      </c>
      <c r="I2122">
        <v>9</v>
      </c>
      <c r="J2122" s="19">
        <f>WEEKNUM(tblRidershipData[[#This Row],[MeasurementDate]])</f>
        <v>50</v>
      </c>
      <c r="K2122" s="19">
        <f>MONTH(tblRidershipData[[#This Row],[MeasurementDate]])</f>
        <v>12</v>
      </c>
    </row>
    <row r="2123" spans="1:11" x14ac:dyDescent="0.25">
      <c r="A2123" s="31">
        <v>43811</v>
      </c>
      <c r="B2123" t="s">
        <v>5</v>
      </c>
      <c r="C2123" s="31">
        <v>7307</v>
      </c>
      <c r="D2123" t="s">
        <v>82</v>
      </c>
      <c r="E2123" t="s">
        <v>109</v>
      </c>
      <c r="F2123">
        <v>1</v>
      </c>
      <c r="G2123" t="s">
        <v>66</v>
      </c>
      <c r="H2123" t="s">
        <v>110</v>
      </c>
      <c r="I2123">
        <v>16</v>
      </c>
      <c r="J2123" s="19">
        <f>WEEKNUM(tblRidershipData[[#This Row],[MeasurementDate]])</f>
        <v>50</v>
      </c>
      <c r="K2123" s="19">
        <f>MONTH(tblRidershipData[[#This Row],[MeasurementDate]])</f>
        <v>12</v>
      </c>
    </row>
    <row r="2124" spans="1:11" x14ac:dyDescent="0.25">
      <c r="A2124" s="31">
        <v>43811</v>
      </c>
      <c r="B2124" t="s">
        <v>5</v>
      </c>
      <c r="C2124" s="31">
        <v>7307</v>
      </c>
      <c r="D2124" t="s">
        <v>82</v>
      </c>
      <c r="E2124" t="s">
        <v>109</v>
      </c>
      <c r="F2124">
        <v>1</v>
      </c>
      <c r="G2124" t="s">
        <v>69</v>
      </c>
      <c r="H2124" t="s">
        <v>110</v>
      </c>
      <c r="I2124">
        <v>15</v>
      </c>
      <c r="J2124" s="19">
        <f>WEEKNUM(tblRidershipData[[#This Row],[MeasurementDate]])</f>
        <v>50</v>
      </c>
      <c r="K2124" s="19">
        <f>MONTH(tblRidershipData[[#This Row],[MeasurementDate]])</f>
        <v>12</v>
      </c>
    </row>
    <row r="2125" spans="1:11" x14ac:dyDescent="0.25">
      <c r="A2125" s="31">
        <v>43811</v>
      </c>
      <c r="B2125" t="s">
        <v>5</v>
      </c>
      <c r="C2125" s="31">
        <v>8312</v>
      </c>
      <c r="D2125" t="s">
        <v>83</v>
      </c>
      <c r="E2125" t="s">
        <v>109</v>
      </c>
      <c r="F2125">
        <v>2</v>
      </c>
      <c r="G2125" t="s">
        <v>52</v>
      </c>
      <c r="H2125" t="s">
        <v>110</v>
      </c>
      <c r="I2125">
        <v>3</v>
      </c>
      <c r="J2125" s="19">
        <f>WEEKNUM(tblRidershipData[[#This Row],[MeasurementDate]])</f>
        <v>50</v>
      </c>
      <c r="K2125" s="19">
        <f>MONTH(tblRidershipData[[#This Row],[MeasurementDate]])</f>
        <v>12</v>
      </c>
    </row>
    <row r="2126" spans="1:11" x14ac:dyDescent="0.25">
      <c r="A2126" s="31">
        <v>43811</v>
      </c>
      <c r="B2126" t="s">
        <v>5</v>
      </c>
      <c r="C2126" s="31">
        <v>8312</v>
      </c>
      <c r="D2126" t="s">
        <v>83</v>
      </c>
      <c r="E2126" t="s">
        <v>109</v>
      </c>
      <c r="F2126">
        <v>2</v>
      </c>
      <c r="G2126" t="s">
        <v>72</v>
      </c>
      <c r="H2126" t="s">
        <v>110</v>
      </c>
      <c r="I2126">
        <v>19</v>
      </c>
      <c r="J2126" s="19">
        <f>WEEKNUM(tblRidershipData[[#This Row],[MeasurementDate]])</f>
        <v>50</v>
      </c>
      <c r="K2126" s="19">
        <f>MONTH(tblRidershipData[[#This Row],[MeasurementDate]])</f>
        <v>12</v>
      </c>
    </row>
    <row r="2127" spans="1:11" x14ac:dyDescent="0.25">
      <c r="A2127" s="31">
        <v>43811</v>
      </c>
      <c r="B2127" t="s">
        <v>5</v>
      </c>
      <c r="C2127" s="31">
        <v>8312</v>
      </c>
      <c r="D2127" t="s">
        <v>83</v>
      </c>
      <c r="E2127" t="s">
        <v>109</v>
      </c>
      <c r="F2127">
        <v>2</v>
      </c>
      <c r="G2127" t="s">
        <v>74</v>
      </c>
      <c r="H2127" t="s">
        <v>110</v>
      </c>
      <c r="I2127">
        <v>28</v>
      </c>
      <c r="J2127" s="19">
        <f>WEEKNUM(tblRidershipData[[#This Row],[MeasurementDate]])</f>
        <v>50</v>
      </c>
      <c r="K2127" s="19">
        <f>MONTH(tblRidershipData[[#This Row],[MeasurementDate]])</f>
        <v>12</v>
      </c>
    </row>
    <row r="2128" spans="1:11" x14ac:dyDescent="0.25">
      <c r="A2128" s="31">
        <v>43811</v>
      </c>
      <c r="B2128" t="s">
        <v>5</v>
      </c>
      <c r="C2128" s="31">
        <v>8312</v>
      </c>
      <c r="D2128" t="s">
        <v>83</v>
      </c>
      <c r="E2128" t="s">
        <v>109</v>
      </c>
      <c r="F2128">
        <v>2</v>
      </c>
      <c r="G2128" t="s">
        <v>75</v>
      </c>
      <c r="H2128" t="s">
        <v>110</v>
      </c>
      <c r="I2128">
        <v>14</v>
      </c>
      <c r="J2128" s="19">
        <f>WEEKNUM(tblRidershipData[[#This Row],[MeasurementDate]])</f>
        <v>50</v>
      </c>
      <c r="K2128" s="19">
        <f>MONTH(tblRidershipData[[#This Row],[MeasurementDate]])</f>
        <v>12</v>
      </c>
    </row>
    <row r="2129" spans="1:11" x14ac:dyDescent="0.25">
      <c r="A2129" s="31">
        <v>43811</v>
      </c>
      <c r="B2129" t="s">
        <v>5</v>
      </c>
      <c r="C2129" s="31">
        <v>8312</v>
      </c>
      <c r="D2129" t="s">
        <v>83</v>
      </c>
      <c r="E2129" t="s">
        <v>111</v>
      </c>
      <c r="F2129">
        <v>1</v>
      </c>
      <c r="G2129" t="s">
        <v>43</v>
      </c>
      <c r="H2129" t="s">
        <v>110</v>
      </c>
      <c r="I2129">
        <v>12</v>
      </c>
      <c r="J2129" s="19">
        <f>WEEKNUM(tblRidershipData[[#This Row],[MeasurementDate]])</f>
        <v>50</v>
      </c>
      <c r="K2129" s="19">
        <f>MONTH(tblRidershipData[[#This Row],[MeasurementDate]])</f>
        <v>12</v>
      </c>
    </row>
    <row r="2130" spans="1:11" x14ac:dyDescent="0.25">
      <c r="A2130" s="31">
        <v>43811</v>
      </c>
      <c r="B2130" t="s">
        <v>5</v>
      </c>
      <c r="C2130" s="31">
        <v>8312</v>
      </c>
      <c r="D2130" t="s">
        <v>83</v>
      </c>
      <c r="E2130" t="s">
        <v>111</v>
      </c>
      <c r="F2130">
        <v>1</v>
      </c>
      <c r="G2130" t="s">
        <v>44</v>
      </c>
      <c r="H2130" t="s">
        <v>110</v>
      </c>
      <c r="I2130">
        <v>7</v>
      </c>
      <c r="J2130" s="19">
        <f>WEEKNUM(tblRidershipData[[#This Row],[MeasurementDate]])</f>
        <v>50</v>
      </c>
      <c r="K2130" s="19">
        <f>MONTH(tblRidershipData[[#This Row],[MeasurementDate]])</f>
        <v>12</v>
      </c>
    </row>
    <row r="2131" spans="1:11" x14ac:dyDescent="0.25">
      <c r="A2131" s="31">
        <v>43811</v>
      </c>
      <c r="B2131" t="s">
        <v>5</v>
      </c>
      <c r="C2131" s="31">
        <v>8312</v>
      </c>
      <c r="D2131" t="s">
        <v>83</v>
      </c>
      <c r="E2131" t="s">
        <v>111</v>
      </c>
      <c r="F2131">
        <v>1</v>
      </c>
      <c r="G2131" t="s">
        <v>46</v>
      </c>
      <c r="H2131" t="s">
        <v>110</v>
      </c>
      <c r="I2131">
        <v>14</v>
      </c>
      <c r="J2131" s="19">
        <f>WEEKNUM(tblRidershipData[[#This Row],[MeasurementDate]])</f>
        <v>50</v>
      </c>
      <c r="K2131" s="19">
        <f>MONTH(tblRidershipData[[#This Row],[MeasurementDate]])</f>
        <v>12</v>
      </c>
    </row>
    <row r="2132" spans="1:11" x14ac:dyDescent="0.25">
      <c r="A2132" s="31">
        <v>43811</v>
      </c>
      <c r="B2132" t="s">
        <v>5</v>
      </c>
      <c r="C2132" s="31">
        <v>8312</v>
      </c>
      <c r="D2132" t="s">
        <v>83</v>
      </c>
      <c r="E2132" t="s">
        <v>111</v>
      </c>
      <c r="F2132">
        <v>1</v>
      </c>
      <c r="G2132" t="s">
        <v>55</v>
      </c>
      <c r="H2132" t="s">
        <v>110</v>
      </c>
      <c r="I2132">
        <v>2</v>
      </c>
      <c r="J2132" s="19">
        <f>WEEKNUM(tblRidershipData[[#This Row],[MeasurementDate]])</f>
        <v>50</v>
      </c>
      <c r="K2132" s="19">
        <f>MONTH(tblRidershipData[[#This Row],[MeasurementDate]])</f>
        <v>12</v>
      </c>
    </row>
    <row r="2133" spans="1:11" x14ac:dyDescent="0.25">
      <c r="A2133" s="31">
        <v>43811</v>
      </c>
      <c r="B2133" t="s">
        <v>5</v>
      </c>
      <c r="C2133" s="31">
        <v>8312</v>
      </c>
      <c r="D2133" t="s">
        <v>83</v>
      </c>
      <c r="E2133" t="s">
        <v>111</v>
      </c>
      <c r="F2133">
        <v>1</v>
      </c>
      <c r="G2133" t="s">
        <v>59</v>
      </c>
      <c r="H2133" t="s">
        <v>110</v>
      </c>
      <c r="I2133">
        <v>1</v>
      </c>
      <c r="J2133" s="19">
        <f>WEEKNUM(tblRidershipData[[#This Row],[MeasurementDate]])</f>
        <v>50</v>
      </c>
      <c r="K2133" s="19">
        <f>MONTH(tblRidershipData[[#This Row],[MeasurementDate]])</f>
        <v>12</v>
      </c>
    </row>
    <row r="2134" spans="1:11" x14ac:dyDescent="0.25">
      <c r="A2134" s="31">
        <v>43811</v>
      </c>
      <c r="B2134" t="s">
        <v>5</v>
      </c>
      <c r="C2134" s="31">
        <v>8312</v>
      </c>
      <c r="D2134" t="s">
        <v>83</v>
      </c>
      <c r="E2134" t="s">
        <v>111</v>
      </c>
      <c r="F2134">
        <v>1</v>
      </c>
      <c r="G2134" t="s">
        <v>60</v>
      </c>
      <c r="H2134" t="s">
        <v>110</v>
      </c>
      <c r="I2134">
        <v>3</v>
      </c>
      <c r="J2134" s="19">
        <f>WEEKNUM(tblRidershipData[[#This Row],[MeasurementDate]])</f>
        <v>50</v>
      </c>
      <c r="K2134" s="19">
        <f>MONTH(tblRidershipData[[#This Row],[MeasurementDate]])</f>
        <v>12</v>
      </c>
    </row>
    <row r="2135" spans="1:11" x14ac:dyDescent="0.25">
      <c r="A2135" s="31">
        <v>43811</v>
      </c>
      <c r="B2135" t="s">
        <v>5</v>
      </c>
      <c r="C2135" s="31">
        <v>8312</v>
      </c>
      <c r="D2135" t="s">
        <v>83</v>
      </c>
      <c r="E2135" t="s">
        <v>111</v>
      </c>
      <c r="F2135">
        <v>1</v>
      </c>
      <c r="G2135" t="s">
        <v>70</v>
      </c>
      <c r="H2135" t="s">
        <v>110</v>
      </c>
      <c r="I2135">
        <v>3</v>
      </c>
      <c r="J2135" s="19">
        <f>WEEKNUM(tblRidershipData[[#This Row],[MeasurementDate]])</f>
        <v>50</v>
      </c>
      <c r="K2135" s="19">
        <f>MONTH(tblRidershipData[[#This Row],[MeasurementDate]])</f>
        <v>12</v>
      </c>
    </row>
    <row r="2136" spans="1:11" x14ac:dyDescent="0.25">
      <c r="A2136" s="31">
        <v>43811</v>
      </c>
      <c r="B2136" t="s">
        <v>5</v>
      </c>
      <c r="C2136" s="31">
        <v>8312</v>
      </c>
      <c r="D2136" t="s">
        <v>83</v>
      </c>
      <c r="E2136" t="s">
        <v>111</v>
      </c>
      <c r="F2136">
        <v>2</v>
      </c>
      <c r="G2136" t="s">
        <v>60</v>
      </c>
      <c r="H2136" t="s">
        <v>110</v>
      </c>
      <c r="I2136">
        <v>13</v>
      </c>
      <c r="J2136" s="19">
        <f>WEEKNUM(tblRidershipData[[#This Row],[MeasurementDate]])</f>
        <v>50</v>
      </c>
      <c r="K2136" s="19">
        <f>MONTH(tblRidershipData[[#This Row],[MeasurementDate]])</f>
        <v>12</v>
      </c>
    </row>
    <row r="2137" spans="1:11" x14ac:dyDescent="0.25">
      <c r="A2137" s="31">
        <v>43811</v>
      </c>
      <c r="B2137" t="s">
        <v>5</v>
      </c>
      <c r="C2137" s="31">
        <v>8312</v>
      </c>
      <c r="D2137" t="s">
        <v>83</v>
      </c>
      <c r="E2137" t="s">
        <v>111</v>
      </c>
      <c r="F2137">
        <v>1</v>
      </c>
      <c r="G2137" t="s">
        <v>42</v>
      </c>
      <c r="H2137" t="s">
        <v>112</v>
      </c>
      <c r="I2137">
        <v>12</v>
      </c>
      <c r="J2137" s="19">
        <f>WEEKNUM(tblRidershipData[[#This Row],[MeasurementDate]])</f>
        <v>50</v>
      </c>
      <c r="K2137" s="19">
        <f>MONTH(tblRidershipData[[#This Row],[MeasurementDate]])</f>
        <v>12</v>
      </c>
    </row>
    <row r="2138" spans="1:11" x14ac:dyDescent="0.25">
      <c r="A2138" s="31">
        <v>43811</v>
      </c>
      <c r="B2138" t="s">
        <v>5</v>
      </c>
      <c r="C2138" s="31">
        <v>8312</v>
      </c>
      <c r="D2138" t="s">
        <v>83</v>
      </c>
      <c r="E2138" t="s">
        <v>111</v>
      </c>
      <c r="F2138">
        <v>1</v>
      </c>
      <c r="G2138" t="s">
        <v>57</v>
      </c>
      <c r="H2138" t="s">
        <v>112</v>
      </c>
      <c r="I2138">
        <v>16</v>
      </c>
      <c r="J2138" s="19">
        <f>WEEKNUM(tblRidershipData[[#This Row],[MeasurementDate]])</f>
        <v>50</v>
      </c>
      <c r="K2138" s="19">
        <f>MONTH(tblRidershipData[[#This Row],[MeasurementDate]])</f>
        <v>12</v>
      </c>
    </row>
    <row r="2139" spans="1:11" x14ac:dyDescent="0.25">
      <c r="A2139" s="31">
        <v>43811</v>
      </c>
      <c r="B2139" t="s">
        <v>5</v>
      </c>
      <c r="C2139" s="31">
        <v>8312</v>
      </c>
      <c r="D2139" t="s">
        <v>83</v>
      </c>
      <c r="E2139" t="s">
        <v>111</v>
      </c>
      <c r="F2139">
        <v>1</v>
      </c>
      <c r="G2139" t="s">
        <v>66</v>
      </c>
      <c r="H2139" t="s">
        <v>112</v>
      </c>
      <c r="I2139">
        <v>2</v>
      </c>
      <c r="J2139" s="19">
        <f>WEEKNUM(tblRidershipData[[#This Row],[MeasurementDate]])</f>
        <v>50</v>
      </c>
      <c r="K2139" s="19">
        <f>MONTH(tblRidershipData[[#This Row],[MeasurementDate]])</f>
        <v>12</v>
      </c>
    </row>
    <row r="2140" spans="1:11" x14ac:dyDescent="0.25">
      <c r="A2140" s="31">
        <v>43811</v>
      </c>
      <c r="B2140" t="s">
        <v>5</v>
      </c>
      <c r="C2140" s="31">
        <v>8312</v>
      </c>
      <c r="D2140" t="s">
        <v>83</v>
      </c>
      <c r="E2140" t="s">
        <v>111</v>
      </c>
      <c r="F2140">
        <v>1</v>
      </c>
      <c r="G2140" t="s">
        <v>69</v>
      </c>
      <c r="H2140" t="s">
        <v>112</v>
      </c>
      <c r="I2140">
        <v>11</v>
      </c>
      <c r="J2140" s="19">
        <f>WEEKNUM(tblRidershipData[[#This Row],[MeasurementDate]])</f>
        <v>50</v>
      </c>
      <c r="K2140" s="19">
        <f>MONTH(tblRidershipData[[#This Row],[MeasurementDate]])</f>
        <v>12</v>
      </c>
    </row>
    <row r="2141" spans="1:11" x14ac:dyDescent="0.25">
      <c r="A2141" s="31">
        <v>43811</v>
      </c>
      <c r="B2141" t="s">
        <v>5</v>
      </c>
      <c r="C2141" s="31">
        <v>8312</v>
      </c>
      <c r="D2141" t="s">
        <v>83</v>
      </c>
      <c r="E2141" t="s">
        <v>111</v>
      </c>
      <c r="F2141">
        <v>2</v>
      </c>
      <c r="G2141" t="s">
        <v>44</v>
      </c>
      <c r="H2141" t="s">
        <v>112</v>
      </c>
      <c r="I2141">
        <v>14</v>
      </c>
      <c r="J2141" s="19">
        <f>WEEKNUM(tblRidershipData[[#This Row],[MeasurementDate]])</f>
        <v>50</v>
      </c>
      <c r="K2141" s="19">
        <f>MONTH(tblRidershipData[[#This Row],[MeasurementDate]])</f>
        <v>12</v>
      </c>
    </row>
    <row r="2142" spans="1:11" x14ac:dyDescent="0.25">
      <c r="A2142" s="31">
        <v>43811</v>
      </c>
      <c r="B2142" t="s">
        <v>5</v>
      </c>
      <c r="C2142" s="31">
        <v>8312</v>
      </c>
      <c r="D2142" t="s">
        <v>83</v>
      </c>
      <c r="E2142" t="s">
        <v>109</v>
      </c>
      <c r="F2142">
        <v>1</v>
      </c>
      <c r="G2142" t="s">
        <v>43</v>
      </c>
      <c r="H2142" t="s">
        <v>112</v>
      </c>
      <c r="I2142">
        <v>1</v>
      </c>
      <c r="J2142" s="19">
        <f>WEEKNUM(tblRidershipData[[#This Row],[MeasurementDate]])</f>
        <v>50</v>
      </c>
      <c r="K2142" s="19">
        <f>MONTH(tblRidershipData[[#This Row],[MeasurementDate]])</f>
        <v>12</v>
      </c>
    </row>
    <row r="2143" spans="1:11" x14ac:dyDescent="0.25">
      <c r="A2143" s="31">
        <v>43811</v>
      </c>
      <c r="B2143" t="s">
        <v>5</v>
      </c>
      <c r="C2143" s="31">
        <v>8312</v>
      </c>
      <c r="D2143" t="s">
        <v>83</v>
      </c>
      <c r="E2143" t="s">
        <v>109</v>
      </c>
      <c r="F2143">
        <v>1</v>
      </c>
      <c r="G2143" t="s">
        <v>44</v>
      </c>
      <c r="H2143" t="s">
        <v>112</v>
      </c>
      <c r="I2143">
        <v>5</v>
      </c>
      <c r="J2143" s="19">
        <f>WEEKNUM(tblRidershipData[[#This Row],[MeasurementDate]])</f>
        <v>50</v>
      </c>
      <c r="K2143" s="19">
        <f>MONTH(tblRidershipData[[#This Row],[MeasurementDate]])</f>
        <v>12</v>
      </c>
    </row>
    <row r="2144" spans="1:11" x14ac:dyDescent="0.25">
      <c r="A2144" s="31">
        <v>43811</v>
      </c>
      <c r="B2144" t="s">
        <v>5</v>
      </c>
      <c r="C2144" s="31">
        <v>8312</v>
      </c>
      <c r="D2144" t="s">
        <v>83</v>
      </c>
      <c r="E2144" t="s">
        <v>109</v>
      </c>
      <c r="F2144">
        <v>1</v>
      </c>
      <c r="G2144" t="s">
        <v>46</v>
      </c>
      <c r="H2144" t="s">
        <v>112</v>
      </c>
      <c r="I2144">
        <v>6</v>
      </c>
      <c r="J2144" s="19">
        <f>WEEKNUM(tblRidershipData[[#This Row],[MeasurementDate]])</f>
        <v>50</v>
      </c>
      <c r="K2144" s="19">
        <f>MONTH(tblRidershipData[[#This Row],[MeasurementDate]])</f>
        <v>12</v>
      </c>
    </row>
    <row r="2145" spans="1:11" x14ac:dyDescent="0.25">
      <c r="A2145" s="31">
        <v>43811</v>
      </c>
      <c r="B2145" t="s">
        <v>5</v>
      </c>
      <c r="C2145" s="31">
        <v>8312</v>
      </c>
      <c r="D2145" t="s">
        <v>83</v>
      </c>
      <c r="E2145" t="s">
        <v>109</v>
      </c>
      <c r="F2145">
        <v>1</v>
      </c>
      <c r="G2145" t="s">
        <v>55</v>
      </c>
      <c r="H2145" t="s">
        <v>112</v>
      </c>
      <c r="I2145">
        <v>5</v>
      </c>
      <c r="J2145" s="19">
        <f>WEEKNUM(tblRidershipData[[#This Row],[MeasurementDate]])</f>
        <v>50</v>
      </c>
      <c r="K2145" s="19">
        <f>MONTH(tblRidershipData[[#This Row],[MeasurementDate]])</f>
        <v>12</v>
      </c>
    </row>
    <row r="2146" spans="1:11" x14ac:dyDescent="0.25">
      <c r="A2146" s="31">
        <v>43811</v>
      </c>
      <c r="B2146" t="s">
        <v>5</v>
      </c>
      <c r="C2146" s="31">
        <v>8312</v>
      </c>
      <c r="D2146" t="s">
        <v>83</v>
      </c>
      <c r="E2146" t="s">
        <v>109</v>
      </c>
      <c r="F2146">
        <v>1</v>
      </c>
      <c r="G2146" t="s">
        <v>60</v>
      </c>
      <c r="H2146" t="s">
        <v>112</v>
      </c>
      <c r="I2146">
        <v>17</v>
      </c>
      <c r="J2146" s="19">
        <f>WEEKNUM(tblRidershipData[[#This Row],[MeasurementDate]])</f>
        <v>50</v>
      </c>
      <c r="K2146" s="19">
        <f>MONTH(tblRidershipData[[#This Row],[MeasurementDate]])</f>
        <v>12</v>
      </c>
    </row>
    <row r="2147" spans="1:11" x14ac:dyDescent="0.25">
      <c r="A2147" s="31">
        <v>43811</v>
      </c>
      <c r="B2147" t="s">
        <v>5</v>
      </c>
      <c r="C2147" s="31">
        <v>8312</v>
      </c>
      <c r="D2147" t="s">
        <v>83</v>
      </c>
      <c r="E2147" t="s">
        <v>109</v>
      </c>
      <c r="F2147">
        <v>1</v>
      </c>
      <c r="G2147" t="s">
        <v>66</v>
      </c>
      <c r="H2147" t="s">
        <v>112</v>
      </c>
      <c r="I2147">
        <v>11</v>
      </c>
      <c r="J2147" s="19">
        <f>WEEKNUM(tblRidershipData[[#This Row],[MeasurementDate]])</f>
        <v>50</v>
      </c>
      <c r="K2147" s="19">
        <f>MONTH(tblRidershipData[[#This Row],[MeasurementDate]])</f>
        <v>12</v>
      </c>
    </row>
    <row r="2148" spans="1:11" x14ac:dyDescent="0.25">
      <c r="A2148" s="31">
        <v>43811</v>
      </c>
      <c r="B2148" t="s">
        <v>5</v>
      </c>
      <c r="C2148" s="31">
        <v>8312</v>
      </c>
      <c r="D2148" t="s">
        <v>83</v>
      </c>
      <c r="E2148" t="s">
        <v>109</v>
      </c>
      <c r="F2148">
        <v>1</v>
      </c>
      <c r="G2148" t="s">
        <v>69</v>
      </c>
      <c r="H2148" t="s">
        <v>112</v>
      </c>
      <c r="I2148">
        <v>6</v>
      </c>
      <c r="J2148" s="19">
        <f>WEEKNUM(tblRidershipData[[#This Row],[MeasurementDate]])</f>
        <v>50</v>
      </c>
      <c r="K2148" s="19">
        <f>MONTH(tblRidershipData[[#This Row],[MeasurementDate]])</f>
        <v>12</v>
      </c>
    </row>
    <row r="2149" spans="1:11" x14ac:dyDescent="0.25">
      <c r="A2149" s="31">
        <v>43811</v>
      </c>
      <c r="B2149" t="s">
        <v>5</v>
      </c>
      <c r="C2149" s="31">
        <v>8312</v>
      </c>
      <c r="D2149" t="s">
        <v>83</v>
      </c>
      <c r="E2149" t="s">
        <v>109</v>
      </c>
      <c r="F2149">
        <v>1</v>
      </c>
      <c r="G2149" t="s">
        <v>70</v>
      </c>
      <c r="H2149" t="s">
        <v>112</v>
      </c>
      <c r="I2149">
        <v>4</v>
      </c>
      <c r="J2149" s="19">
        <f>WEEKNUM(tblRidershipData[[#This Row],[MeasurementDate]])</f>
        <v>50</v>
      </c>
      <c r="K2149" s="19">
        <f>MONTH(tblRidershipData[[#This Row],[MeasurementDate]])</f>
        <v>12</v>
      </c>
    </row>
    <row r="2150" spans="1:11" x14ac:dyDescent="0.25">
      <c r="A2150" s="31">
        <v>43811</v>
      </c>
      <c r="B2150" t="s">
        <v>5</v>
      </c>
      <c r="C2150" s="31">
        <v>8312</v>
      </c>
      <c r="D2150" t="s">
        <v>83</v>
      </c>
      <c r="E2150" t="s">
        <v>109</v>
      </c>
      <c r="F2150">
        <v>1</v>
      </c>
      <c r="G2150" t="s">
        <v>71</v>
      </c>
      <c r="H2150" t="s">
        <v>112</v>
      </c>
      <c r="I2150">
        <v>6</v>
      </c>
      <c r="J2150" s="19">
        <f>WEEKNUM(tblRidershipData[[#This Row],[MeasurementDate]])</f>
        <v>50</v>
      </c>
      <c r="K2150" s="19">
        <f>MONTH(tblRidershipData[[#This Row],[MeasurementDate]])</f>
        <v>12</v>
      </c>
    </row>
    <row r="2151" spans="1:11" x14ac:dyDescent="0.25">
      <c r="A2151" s="31">
        <v>43811</v>
      </c>
      <c r="B2151" t="s">
        <v>5</v>
      </c>
      <c r="C2151" s="31">
        <v>8312</v>
      </c>
      <c r="D2151" t="s">
        <v>83</v>
      </c>
      <c r="E2151" t="s">
        <v>109</v>
      </c>
      <c r="F2151">
        <v>1</v>
      </c>
      <c r="G2151" t="s">
        <v>72</v>
      </c>
      <c r="H2151" t="s">
        <v>112</v>
      </c>
      <c r="I2151">
        <v>3</v>
      </c>
      <c r="J2151" s="19">
        <f>WEEKNUM(tblRidershipData[[#This Row],[MeasurementDate]])</f>
        <v>50</v>
      </c>
      <c r="K2151" s="19">
        <f>MONTH(tblRidershipData[[#This Row],[MeasurementDate]])</f>
        <v>12</v>
      </c>
    </row>
    <row r="2152" spans="1:11" x14ac:dyDescent="0.25">
      <c r="A2152" s="31">
        <v>43811</v>
      </c>
      <c r="B2152" t="s">
        <v>5</v>
      </c>
      <c r="C2152" s="31">
        <v>9308</v>
      </c>
      <c r="D2152" t="s">
        <v>87</v>
      </c>
      <c r="E2152" t="s">
        <v>111</v>
      </c>
      <c r="F2152">
        <v>1</v>
      </c>
      <c r="G2152" t="s">
        <v>43</v>
      </c>
      <c r="H2152" t="s">
        <v>110</v>
      </c>
      <c r="I2152">
        <v>18</v>
      </c>
      <c r="J2152" s="19">
        <f>WEEKNUM(tblRidershipData[[#This Row],[MeasurementDate]])</f>
        <v>50</v>
      </c>
      <c r="K2152" s="19">
        <f>MONTH(tblRidershipData[[#This Row],[MeasurementDate]])</f>
        <v>12</v>
      </c>
    </row>
    <row r="2153" spans="1:11" x14ac:dyDescent="0.25">
      <c r="A2153" s="31">
        <v>43811</v>
      </c>
      <c r="B2153" t="s">
        <v>5</v>
      </c>
      <c r="C2153" s="31">
        <v>9308</v>
      </c>
      <c r="D2153" t="s">
        <v>87</v>
      </c>
      <c r="E2153" t="s">
        <v>111</v>
      </c>
      <c r="F2153">
        <v>1</v>
      </c>
      <c r="G2153" t="s">
        <v>44</v>
      </c>
      <c r="H2153" t="s">
        <v>110</v>
      </c>
      <c r="I2153">
        <v>1</v>
      </c>
      <c r="J2153" s="19">
        <f>WEEKNUM(tblRidershipData[[#This Row],[MeasurementDate]])</f>
        <v>50</v>
      </c>
      <c r="K2153" s="19">
        <f>MONTH(tblRidershipData[[#This Row],[MeasurementDate]])</f>
        <v>12</v>
      </c>
    </row>
    <row r="2154" spans="1:11" x14ac:dyDescent="0.25">
      <c r="A2154" s="31">
        <v>43811</v>
      </c>
      <c r="B2154" t="s">
        <v>5</v>
      </c>
      <c r="C2154" s="31">
        <v>9308</v>
      </c>
      <c r="D2154" t="s">
        <v>87</v>
      </c>
      <c r="E2154" t="s">
        <v>111</v>
      </c>
      <c r="F2154">
        <v>1</v>
      </c>
      <c r="G2154" t="s">
        <v>46</v>
      </c>
      <c r="H2154" t="s">
        <v>110</v>
      </c>
      <c r="I2154">
        <v>2</v>
      </c>
      <c r="J2154" s="19">
        <f>WEEKNUM(tblRidershipData[[#This Row],[MeasurementDate]])</f>
        <v>50</v>
      </c>
      <c r="K2154" s="19">
        <f>MONTH(tblRidershipData[[#This Row],[MeasurementDate]])</f>
        <v>12</v>
      </c>
    </row>
    <row r="2155" spans="1:11" x14ac:dyDescent="0.25">
      <c r="A2155" s="31">
        <v>43811</v>
      </c>
      <c r="B2155" t="s">
        <v>5</v>
      </c>
      <c r="C2155" s="31">
        <v>9308</v>
      </c>
      <c r="D2155" t="s">
        <v>87</v>
      </c>
      <c r="E2155" t="s">
        <v>111</v>
      </c>
      <c r="F2155">
        <v>1</v>
      </c>
      <c r="G2155" t="s">
        <v>57</v>
      </c>
      <c r="H2155" t="s">
        <v>110</v>
      </c>
      <c r="I2155">
        <v>4</v>
      </c>
      <c r="J2155" s="19">
        <f>WEEKNUM(tblRidershipData[[#This Row],[MeasurementDate]])</f>
        <v>50</v>
      </c>
      <c r="K2155" s="19">
        <f>MONTH(tblRidershipData[[#This Row],[MeasurementDate]])</f>
        <v>12</v>
      </c>
    </row>
    <row r="2156" spans="1:11" x14ac:dyDescent="0.25">
      <c r="A2156" s="31">
        <v>43811</v>
      </c>
      <c r="B2156" t="s">
        <v>5</v>
      </c>
      <c r="C2156" s="31">
        <v>9308</v>
      </c>
      <c r="D2156" t="s">
        <v>87</v>
      </c>
      <c r="E2156" t="s">
        <v>111</v>
      </c>
      <c r="F2156">
        <v>1</v>
      </c>
      <c r="G2156" t="s">
        <v>60</v>
      </c>
      <c r="H2156" t="s">
        <v>110</v>
      </c>
      <c r="I2156">
        <v>4</v>
      </c>
      <c r="J2156" s="19">
        <f>WEEKNUM(tblRidershipData[[#This Row],[MeasurementDate]])</f>
        <v>50</v>
      </c>
      <c r="K2156" s="19">
        <f>MONTH(tblRidershipData[[#This Row],[MeasurementDate]])</f>
        <v>12</v>
      </c>
    </row>
    <row r="2157" spans="1:11" x14ac:dyDescent="0.25">
      <c r="A2157" s="31">
        <v>43811</v>
      </c>
      <c r="B2157" t="s">
        <v>5</v>
      </c>
      <c r="C2157" s="31">
        <v>9308</v>
      </c>
      <c r="D2157" t="s">
        <v>87</v>
      </c>
      <c r="E2157" t="s">
        <v>111</v>
      </c>
      <c r="F2157">
        <v>1</v>
      </c>
      <c r="G2157" t="s">
        <v>66</v>
      </c>
      <c r="H2157" t="s">
        <v>110</v>
      </c>
      <c r="I2157">
        <v>13</v>
      </c>
      <c r="J2157" s="19">
        <f>WEEKNUM(tblRidershipData[[#This Row],[MeasurementDate]])</f>
        <v>50</v>
      </c>
      <c r="K2157" s="19">
        <f>MONTH(tblRidershipData[[#This Row],[MeasurementDate]])</f>
        <v>12</v>
      </c>
    </row>
    <row r="2158" spans="1:11" x14ac:dyDescent="0.25">
      <c r="A2158" s="31">
        <v>43811</v>
      </c>
      <c r="B2158" t="s">
        <v>5</v>
      </c>
      <c r="C2158" s="31">
        <v>9308</v>
      </c>
      <c r="D2158" t="s">
        <v>87</v>
      </c>
      <c r="E2158" t="s">
        <v>111</v>
      </c>
      <c r="F2158">
        <v>1</v>
      </c>
      <c r="G2158" t="s">
        <v>70</v>
      </c>
      <c r="H2158" t="s">
        <v>110</v>
      </c>
      <c r="I2158">
        <v>4</v>
      </c>
      <c r="J2158" s="19">
        <f>WEEKNUM(tblRidershipData[[#This Row],[MeasurementDate]])</f>
        <v>50</v>
      </c>
      <c r="K2158" s="19">
        <f>MONTH(tblRidershipData[[#This Row],[MeasurementDate]])</f>
        <v>12</v>
      </c>
    </row>
    <row r="2159" spans="1:11" x14ac:dyDescent="0.25">
      <c r="A2159" s="31">
        <v>43811</v>
      </c>
      <c r="B2159" t="s">
        <v>5</v>
      </c>
      <c r="C2159" s="31">
        <v>9308</v>
      </c>
      <c r="D2159" t="s">
        <v>87</v>
      </c>
      <c r="E2159" t="s">
        <v>111</v>
      </c>
      <c r="F2159">
        <v>1</v>
      </c>
      <c r="G2159" t="s">
        <v>71</v>
      </c>
      <c r="H2159" t="s">
        <v>110</v>
      </c>
      <c r="I2159">
        <v>5</v>
      </c>
      <c r="J2159" s="19">
        <f>WEEKNUM(tblRidershipData[[#This Row],[MeasurementDate]])</f>
        <v>50</v>
      </c>
      <c r="K2159" s="19">
        <f>MONTH(tblRidershipData[[#This Row],[MeasurementDate]])</f>
        <v>12</v>
      </c>
    </row>
    <row r="2160" spans="1:11" x14ac:dyDescent="0.25">
      <c r="A2160" s="31">
        <v>43811</v>
      </c>
      <c r="B2160" t="s">
        <v>5</v>
      </c>
      <c r="C2160" s="31">
        <v>9308</v>
      </c>
      <c r="D2160" t="s">
        <v>87</v>
      </c>
      <c r="E2160" t="s">
        <v>111</v>
      </c>
      <c r="F2160">
        <v>2</v>
      </c>
      <c r="G2160" t="s">
        <v>60</v>
      </c>
      <c r="H2160" t="s">
        <v>110</v>
      </c>
      <c r="I2160">
        <v>1</v>
      </c>
      <c r="J2160" s="19">
        <f>WEEKNUM(tblRidershipData[[#This Row],[MeasurementDate]])</f>
        <v>50</v>
      </c>
      <c r="K2160" s="19">
        <f>MONTH(tblRidershipData[[#This Row],[MeasurementDate]])</f>
        <v>12</v>
      </c>
    </row>
    <row r="2161" spans="1:11" x14ac:dyDescent="0.25">
      <c r="A2161" s="31">
        <v>43811</v>
      </c>
      <c r="B2161" t="s">
        <v>5</v>
      </c>
      <c r="C2161" s="31">
        <v>9308</v>
      </c>
      <c r="D2161" t="s">
        <v>87</v>
      </c>
      <c r="E2161" t="s">
        <v>111</v>
      </c>
      <c r="F2161">
        <v>2</v>
      </c>
      <c r="G2161" t="s">
        <v>65</v>
      </c>
      <c r="H2161" t="s">
        <v>110</v>
      </c>
      <c r="I2161">
        <v>1</v>
      </c>
      <c r="J2161" s="19">
        <f>WEEKNUM(tblRidershipData[[#This Row],[MeasurementDate]])</f>
        <v>50</v>
      </c>
      <c r="K2161" s="19">
        <f>MONTH(tblRidershipData[[#This Row],[MeasurementDate]])</f>
        <v>12</v>
      </c>
    </row>
    <row r="2162" spans="1:11" x14ac:dyDescent="0.25">
      <c r="A2162" s="31">
        <v>43811</v>
      </c>
      <c r="B2162" t="s">
        <v>5</v>
      </c>
      <c r="C2162" s="31">
        <v>9308</v>
      </c>
      <c r="D2162" t="s">
        <v>87</v>
      </c>
      <c r="E2162" t="s">
        <v>111</v>
      </c>
      <c r="F2162">
        <v>2</v>
      </c>
      <c r="G2162" t="s">
        <v>71</v>
      </c>
      <c r="H2162" t="s">
        <v>110</v>
      </c>
      <c r="I2162">
        <v>2</v>
      </c>
      <c r="J2162" s="19">
        <f>WEEKNUM(tblRidershipData[[#This Row],[MeasurementDate]])</f>
        <v>50</v>
      </c>
      <c r="K2162" s="19">
        <f>MONTH(tblRidershipData[[#This Row],[MeasurementDate]])</f>
        <v>12</v>
      </c>
    </row>
    <row r="2163" spans="1:11" x14ac:dyDescent="0.25">
      <c r="A2163" s="31">
        <v>43811</v>
      </c>
      <c r="B2163" t="s">
        <v>5</v>
      </c>
      <c r="C2163" s="31">
        <v>9308</v>
      </c>
      <c r="D2163" t="s">
        <v>87</v>
      </c>
      <c r="E2163" t="s">
        <v>111</v>
      </c>
      <c r="F2163">
        <v>2</v>
      </c>
      <c r="G2163" t="s">
        <v>76</v>
      </c>
      <c r="H2163" t="s">
        <v>110</v>
      </c>
      <c r="I2163">
        <v>8</v>
      </c>
      <c r="J2163" s="19">
        <f>WEEKNUM(tblRidershipData[[#This Row],[MeasurementDate]])</f>
        <v>50</v>
      </c>
      <c r="K2163" s="19">
        <f>MONTH(tblRidershipData[[#This Row],[MeasurementDate]])</f>
        <v>12</v>
      </c>
    </row>
    <row r="2164" spans="1:11" x14ac:dyDescent="0.25">
      <c r="A2164" s="31">
        <v>43811</v>
      </c>
      <c r="B2164" t="s">
        <v>5</v>
      </c>
      <c r="C2164" s="31">
        <v>9308</v>
      </c>
      <c r="D2164" t="s">
        <v>87</v>
      </c>
      <c r="E2164" t="s">
        <v>109</v>
      </c>
      <c r="F2164">
        <v>1</v>
      </c>
      <c r="G2164" t="s">
        <v>43</v>
      </c>
      <c r="H2164" t="s">
        <v>110</v>
      </c>
      <c r="I2164">
        <v>3</v>
      </c>
      <c r="J2164" s="19">
        <f>WEEKNUM(tblRidershipData[[#This Row],[MeasurementDate]])</f>
        <v>50</v>
      </c>
      <c r="K2164" s="19">
        <f>MONTH(tblRidershipData[[#This Row],[MeasurementDate]])</f>
        <v>12</v>
      </c>
    </row>
    <row r="2165" spans="1:11" x14ac:dyDescent="0.25">
      <c r="A2165" s="31">
        <v>43811</v>
      </c>
      <c r="B2165" t="s">
        <v>5</v>
      </c>
      <c r="C2165" s="31">
        <v>9308</v>
      </c>
      <c r="D2165" t="s">
        <v>87</v>
      </c>
      <c r="E2165" t="s">
        <v>109</v>
      </c>
      <c r="F2165">
        <v>1</v>
      </c>
      <c r="G2165" t="s">
        <v>44</v>
      </c>
      <c r="H2165" t="s">
        <v>110</v>
      </c>
      <c r="I2165">
        <v>20</v>
      </c>
      <c r="J2165" s="19">
        <f>WEEKNUM(tblRidershipData[[#This Row],[MeasurementDate]])</f>
        <v>50</v>
      </c>
      <c r="K2165" s="19">
        <f>MONTH(tblRidershipData[[#This Row],[MeasurementDate]])</f>
        <v>12</v>
      </c>
    </row>
    <row r="2166" spans="1:11" x14ac:dyDescent="0.25">
      <c r="A2166" s="31">
        <v>43811</v>
      </c>
      <c r="B2166" t="s">
        <v>5</v>
      </c>
      <c r="C2166" s="31">
        <v>9308</v>
      </c>
      <c r="D2166" t="s">
        <v>87</v>
      </c>
      <c r="E2166" t="s">
        <v>109</v>
      </c>
      <c r="F2166">
        <v>1</v>
      </c>
      <c r="G2166" t="s">
        <v>51</v>
      </c>
      <c r="H2166" t="s">
        <v>110</v>
      </c>
      <c r="I2166">
        <v>6</v>
      </c>
      <c r="J2166" s="19">
        <f>WEEKNUM(tblRidershipData[[#This Row],[MeasurementDate]])</f>
        <v>50</v>
      </c>
      <c r="K2166" s="19">
        <f>MONTH(tblRidershipData[[#This Row],[MeasurementDate]])</f>
        <v>12</v>
      </c>
    </row>
    <row r="2167" spans="1:11" x14ac:dyDescent="0.25">
      <c r="A2167" s="31">
        <v>43811</v>
      </c>
      <c r="B2167" t="s">
        <v>5</v>
      </c>
      <c r="C2167" s="31">
        <v>9308</v>
      </c>
      <c r="D2167" t="s">
        <v>87</v>
      </c>
      <c r="E2167" t="s">
        <v>109</v>
      </c>
      <c r="F2167">
        <v>1</v>
      </c>
      <c r="G2167" t="s">
        <v>52</v>
      </c>
      <c r="H2167" t="s">
        <v>110</v>
      </c>
      <c r="I2167">
        <v>10</v>
      </c>
      <c r="J2167" s="19">
        <f>WEEKNUM(tblRidershipData[[#This Row],[MeasurementDate]])</f>
        <v>50</v>
      </c>
      <c r="K2167" s="19">
        <f>MONTH(tblRidershipData[[#This Row],[MeasurementDate]])</f>
        <v>12</v>
      </c>
    </row>
    <row r="2168" spans="1:11" x14ac:dyDescent="0.25">
      <c r="A2168" s="31">
        <v>43811</v>
      </c>
      <c r="B2168" t="s">
        <v>5</v>
      </c>
      <c r="C2168" s="31">
        <v>9308</v>
      </c>
      <c r="D2168" t="s">
        <v>87</v>
      </c>
      <c r="E2168" t="s">
        <v>109</v>
      </c>
      <c r="F2168">
        <v>1</v>
      </c>
      <c r="G2168" t="s">
        <v>59</v>
      </c>
      <c r="H2168" t="s">
        <v>110</v>
      </c>
      <c r="I2168">
        <v>44</v>
      </c>
      <c r="J2168" s="19">
        <f>WEEKNUM(tblRidershipData[[#This Row],[MeasurementDate]])</f>
        <v>50</v>
      </c>
      <c r="K2168" s="19">
        <f>MONTH(tblRidershipData[[#This Row],[MeasurementDate]])</f>
        <v>12</v>
      </c>
    </row>
    <row r="2169" spans="1:11" x14ac:dyDescent="0.25">
      <c r="A2169" s="31">
        <v>43811</v>
      </c>
      <c r="B2169" t="s">
        <v>5</v>
      </c>
      <c r="C2169" s="31">
        <v>9308</v>
      </c>
      <c r="D2169" t="s">
        <v>87</v>
      </c>
      <c r="E2169" t="s">
        <v>109</v>
      </c>
      <c r="F2169">
        <v>1</v>
      </c>
      <c r="G2169" t="s">
        <v>66</v>
      </c>
      <c r="H2169" t="s">
        <v>110</v>
      </c>
      <c r="I2169">
        <v>5</v>
      </c>
      <c r="J2169" s="19">
        <f>WEEKNUM(tblRidershipData[[#This Row],[MeasurementDate]])</f>
        <v>50</v>
      </c>
      <c r="K2169" s="19">
        <f>MONTH(tblRidershipData[[#This Row],[MeasurementDate]])</f>
        <v>12</v>
      </c>
    </row>
    <row r="2170" spans="1:11" x14ac:dyDescent="0.25">
      <c r="A2170" s="31">
        <v>43811</v>
      </c>
      <c r="B2170" t="s">
        <v>5</v>
      </c>
      <c r="C2170" s="31">
        <v>9308</v>
      </c>
      <c r="D2170" t="s">
        <v>87</v>
      </c>
      <c r="E2170" t="s">
        <v>109</v>
      </c>
      <c r="F2170">
        <v>1</v>
      </c>
      <c r="G2170" t="s">
        <v>69</v>
      </c>
      <c r="H2170" t="s">
        <v>110</v>
      </c>
      <c r="I2170">
        <v>18</v>
      </c>
      <c r="J2170" s="19">
        <f>WEEKNUM(tblRidershipData[[#This Row],[MeasurementDate]])</f>
        <v>50</v>
      </c>
      <c r="K2170" s="19">
        <f>MONTH(tblRidershipData[[#This Row],[MeasurementDate]])</f>
        <v>12</v>
      </c>
    </row>
    <row r="2171" spans="1:11" x14ac:dyDescent="0.25">
      <c r="A2171" s="31">
        <v>43811</v>
      </c>
      <c r="B2171" t="s">
        <v>5</v>
      </c>
      <c r="C2171" s="31">
        <v>9308</v>
      </c>
      <c r="D2171" t="s">
        <v>87</v>
      </c>
      <c r="E2171" t="s">
        <v>109</v>
      </c>
      <c r="F2171">
        <v>1</v>
      </c>
      <c r="G2171" t="s">
        <v>70</v>
      </c>
      <c r="H2171" t="s">
        <v>110</v>
      </c>
      <c r="I2171">
        <v>25</v>
      </c>
      <c r="J2171" s="19">
        <f>WEEKNUM(tblRidershipData[[#This Row],[MeasurementDate]])</f>
        <v>50</v>
      </c>
      <c r="K2171" s="19">
        <f>MONTH(tblRidershipData[[#This Row],[MeasurementDate]])</f>
        <v>12</v>
      </c>
    </row>
    <row r="2172" spans="1:11" x14ac:dyDescent="0.25">
      <c r="A2172" s="31">
        <v>43811</v>
      </c>
      <c r="B2172" t="s">
        <v>5</v>
      </c>
      <c r="C2172" s="31">
        <v>9308</v>
      </c>
      <c r="D2172" t="s">
        <v>87</v>
      </c>
      <c r="E2172" t="s">
        <v>111</v>
      </c>
      <c r="F2172">
        <v>1</v>
      </c>
      <c r="G2172" t="s">
        <v>52</v>
      </c>
      <c r="H2172" t="s">
        <v>112</v>
      </c>
      <c r="I2172">
        <v>37</v>
      </c>
      <c r="J2172" s="19">
        <f>WEEKNUM(tblRidershipData[[#This Row],[MeasurementDate]])</f>
        <v>50</v>
      </c>
      <c r="K2172" s="19">
        <f>MONTH(tblRidershipData[[#This Row],[MeasurementDate]])</f>
        <v>12</v>
      </c>
    </row>
    <row r="2173" spans="1:11" x14ac:dyDescent="0.25">
      <c r="A2173" s="31">
        <v>43811</v>
      </c>
      <c r="B2173" t="s">
        <v>5</v>
      </c>
      <c r="C2173" s="31">
        <v>9308</v>
      </c>
      <c r="D2173" t="s">
        <v>87</v>
      </c>
      <c r="E2173" t="s">
        <v>111</v>
      </c>
      <c r="F2173">
        <v>1</v>
      </c>
      <c r="G2173" t="s">
        <v>55</v>
      </c>
      <c r="H2173" t="s">
        <v>112</v>
      </c>
      <c r="I2173">
        <v>1</v>
      </c>
      <c r="J2173" s="19">
        <f>WEEKNUM(tblRidershipData[[#This Row],[MeasurementDate]])</f>
        <v>50</v>
      </c>
      <c r="K2173" s="19">
        <f>MONTH(tblRidershipData[[#This Row],[MeasurementDate]])</f>
        <v>12</v>
      </c>
    </row>
    <row r="2174" spans="1:11" x14ac:dyDescent="0.25">
      <c r="A2174" s="31">
        <v>43811</v>
      </c>
      <c r="B2174" t="s">
        <v>5</v>
      </c>
      <c r="C2174" s="31">
        <v>9308</v>
      </c>
      <c r="D2174" t="s">
        <v>87</v>
      </c>
      <c r="E2174" t="s">
        <v>111</v>
      </c>
      <c r="F2174">
        <v>1</v>
      </c>
      <c r="G2174" t="s">
        <v>59</v>
      </c>
      <c r="H2174" t="s">
        <v>112</v>
      </c>
      <c r="I2174">
        <v>5</v>
      </c>
      <c r="J2174" s="19">
        <f>WEEKNUM(tblRidershipData[[#This Row],[MeasurementDate]])</f>
        <v>50</v>
      </c>
      <c r="K2174" s="19">
        <f>MONTH(tblRidershipData[[#This Row],[MeasurementDate]])</f>
        <v>12</v>
      </c>
    </row>
    <row r="2175" spans="1:11" x14ac:dyDescent="0.25">
      <c r="A2175" s="31">
        <v>43811</v>
      </c>
      <c r="B2175" t="s">
        <v>5</v>
      </c>
      <c r="C2175" s="31">
        <v>9308</v>
      </c>
      <c r="D2175" t="s">
        <v>87</v>
      </c>
      <c r="E2175" t="s">
        <v>111</v>
      </c>
      <c r="F2175">
        <v>1</v>
      </c>
      <c r="G2175" t="s">
        <v>70</v>
      </c>
      <c r="H2175" t="s">
        <v>112</v>
      </c>
      <c r="I2175">
        <v>1</v>
      </c>
      <c r="J2175" s="19">
        <f>WEEKNUM(tblRidershipData[[#This Row],[MeasurementDate]])</f>
        <v>50</v>
      </c>
      <c r="K2175" s="19">
        <f>MONTH(tblRidershipData[[#This Row],[MeasurementDate]])</f>
        <v>12</v>
      </c>
    </row>
    <row r="2176" spans="1:11" x14ac:dyDescent="0.25">
      <c r="A2176" s="31">
        <v>43811</v>
      </c>
      <c r="B2176" t="s">
        <v>5</v>
      </c>
      <c r="C2176" s="31">
        <v>9308</v>
      </c>
      <c r="D2176" t="s">
        <v>87</v>
      </c>
      <c r="E2176" t="s">
        <v>111</v>
      </c>
      <c r="F2176">
        <v>2</v>
      </c>
      <c r="G2176" t="s">
        <v>52</v>
      </c>
      <c r="H2176" t="s">
        <v>112</v>
      </c>
      <c r="I2176">
        <v>15</v>
      </c>
      <c r="J2176" s="19">
        <f>WEEKNUM(tblRidershipData[[#This Row],[MeasurementDate]])</f>
        <v>50</v>
      </c>
      <c r="K2176" s="19">
        <f>MONTH(tblRidershipData[[#This Row],[MeasurementDate]])</f>
        <v>12</v>
      </c>
    </row>
    <row r="2177" spans="1:11" x14ac:dyDescent="0.25">
      <c r="A2177" s="31">
        <v>43811</v>
      </c>
      <c r="B2177" t="s">
        <v>5</v>
      </c>
      <c r="C2177" s="31">
        <v>9308</v>
      </c>
      <c r="D2177" t="s">
        <v>87</v>
      </c>
      <c r="E2177" t="s">
        <v>111</v>
      </c>
      <c r="F2177">
        <v>2</v>
      </c>
      <c r="G2177" t="s">
        <v>58</v>
      </c>
      <c r="H2177" t="s">
        <v>112</v>
      </c>
      <c r="I2177">
        <v>4</v>
      </c>
      <c r="J2177" s="19">
        <f>WEEKNUM(tblRidershipData[[#This Row],[MeasurementDate]])</f>
        <v>50</v>
      </c>
      <c r="K2177" s="19">
        <f>MONTH(tblRidershipData[[#This Row],[MeasurementDate]])</f>
        <v>12</v>
      </c>
    </row>
    <row r="2178" spans="1:11" x14ac:dyDescent="0.25">
      <c r="A2178" s="31">
        <v>43811</v>
      </c>
      <c r="B2178" t="s">
        <v>5</v>
      </c>
      <c r="C2178" s="31">
        <v>9308</v>
      </c>
      <c r="D2178" t="s">
        <v>87</v>
      </c>
      <c r="E2178" t="s">
        <v>109</v>
      </c>
      <c r="F2178">
        <v>1</v>
      </c>
      <c r="G2178" t="s">
        <v>43</v>
      </c>
      <c r="H2178" t="s">
        <v>112</v>
      </c>
      <c r="I2178">
        <v>22</v>
      </c>
      <c r="J2178" s="19">
        <f>WEEKNUM(tblRidershipData[[#This Row],[MeasurementDate]])</f>
        <v>50</v>
      </c>
      <c r="K2178" s="19">
        <f>MONTH(tblRidershipData[[#This Row],[MeasurementDate]])</f>
        <v>12</v>
      </c>
    </row>
    <row r="2179" spans="1:11" x14ac:dyDescent="0.25">
      <c r="A2179" s="31">
        <v>43811</v>
      </c>
      <c r="B2179" t="s">
        <v>5</v>
      </c>
      <c r="C2179" s="31">
        <v>9308</v>
      </c>
      <c r="D2179" t="s">
        <v>87</v>
      </c>
      <c r="E2179" t="s">
        <v>109</v>
      </c>
      <c r="F2179">
        <v>1</v>
      </c>
      <c r="G2179" t="s">
        <v>44</v>
      </c>
      <c r="H2179" t="s">
        <v>112</v>
      </c>
      <c r="I2179">
        <v>3</v>
      </c>
      <c r="J2179" s="19">
        <f>WEEKNUM(tblRidershipData[[#This Row],[MeasurementDate]])</f>
        <v>50</v>
      </c>
      <c r="K2179" s="19">
        <f>MONTH(tblRidershipData[[#This Row],[MeasurementDate]])</f>
        <v>12</v>
      </c>
    </row>
    <row r="2180" spans="1:11" x14ac:dyDescent="0.25">
      <c r="A2180" s="31">
        <v>43811</v>
      </c>
      <c r="B2180" t="s">
        <v>5</v>
      </c>
      <c r="C2180" s="31">
        <v>9308</v>
      </c>
      <c r="D2180" t="s">
        <v>87</v>
      </c>
      <c r="E2180" t="s">
        <v>109</v>
      </c>
      <c r="F2180">
        <v>1</v>
      </c>
      <c r="G2180" t="s">
        <v>46</v>
      </c>
      <c r="H2180" t="s">
        <v>112</v>
      </c>
      <c r="I2180">
        <v>7</v>
      </c>
      <c r="J2180" s="19">
        <f>WEEKNUM(tblRidershipData[[#This Row],[MeasurementDate]])</f>
        <v>50</v>
      </c>
      <c r="K2180" s="19">
        <f>MONTH(tblRidershipData[[#This Row],[MeasurementDate]])</f>
        <v>12</v>
      </c>
    </row>
    <row r="2181" spans="1:11" x14ac:dyDescent="0.25">
      <c r="A2181" s="31">
        <v>43811</v>
      </c>
      <c r="B2181" t="s">
        <v>5</v>
      </c>
      <c r="C2181" s="31">
        <v>9308</v>
      </c>
      <c r="D2181" t="s">
        <v>87</v>
      </c>
      <c r="E2181" t="s">
        <v>109</v>
      </c>
      <c r="F2181">
        <v>1</v>
      </c>
      <c r="G2181" t="s">
        <v>51</v>
      </c>
      <c r="H2181" t="s">
        <v>112</v>
      </c>
      <c r="I2181">
        <v>8</v>
      </c>
      <c r="J2181" s="19">
        <f>WEEKNUM(tblRidershipData[[#This Row],[MeasurementDate]])</f>
        <v>50</v>
      </c>
      <c r="K2181" s="19">
        <f>MONTH(tblRidershipData[[#This Row],[MeasurementDate]])</f>
        <v>12</v>
      </c>
    </row>
    <row r="2182" spans="1:11" x14ac:dyDescent="0.25">
      <c r="A2182" s="31">
        <v>43811</v>
      </c>
      <c r="B2182" t="s">
        <v>5</v>
      </c>
      <c r="C2182" s="31">
        <v>9308</v>
      </c>
      <c r="D2182" t="s">
        <v>87</v>
      </c>
      <c r="E2182" t="s">
        <v>109</v>
      </c>
      <c r="F2182">
        <v>1</v>
      </c>
      <c r="G2182" t="s">
        <v>55</v>
      </c>
      <c r="H2182" t="s">
        <v>112</v>
      </c>
      <c r="I2182">
        <v>3</v>
      </c>
      <c r="J2182" s="19">
        <f>WEEKNUM(tblRidershipData[[#This Row],[MeasurementDate]])</f>
        <v>50</v>
      </c>
      <c r="K2182" s="19">
        <f>MONTH(tblRidershipData[[#This Row],[MeasurementDate]])</f>
        <v>12</v>
      </c>
    </row>
    <row r="2183" spans="1:11" x14ac:dyDescent="0.25">
      <c r="A2183" s="31">
        <v>43811</v>
      </c>
      <c r="B2183" t="s">
        <v>5</v>
      </c>
      <c r="C2183" s="31">
        <v>9308</v>
      </c>
      <c r="D2183" t="s">
        <v>87</v>
      </c>
      <c r="E2183" t="s">
        <v>109</v>
      </c>
      <c r="F2183">
        <v>1</v>
      </c>
      <c r="G2183" t="s">
        <v>60</v>
      </c>
      <c r="H2183" t="s">
        <v>112</v>
      </c>
      <c r="I2183">
        <v>11</v>
      </c>
      <c r="J2183" s="19">
        <f>WEEKNUM(tblRidershipData[[#This Row],[MeasurementDate]])</f>
        <v>50</v>
      </c>
      <c r="K2183" s="19">
        <f>MONTH(tblRidershipData[[#This Row],[MeasurementDate]])</f>
        <v>12</v>
      </c>
    </row>
    <row r="2184" spans="1:11" x14ac:dyDescent="0.25">
      <c r="A2184" s="31">
        <v>43811</v>
      </c>
      <c r="B2184" t="s">
        <v>5</v>
      </c>
      <c r="C2184" s="31">
        <v>9308</v>
      </c>
      <c r="D2184" t="s">
        <v>87</v>
      </c>
      <c r="E2184" t="s">
        <v>109</v>
      </c>
      <c r="F2184">
        <v>1</v>
      </c>
      <c r="G2184" t="s">
        <v>65</v>
      </c>
      <c r="H2184" t="s">
        <v>112</v>
      </c>
      <c r="I2184">
        <v>3</v>
      </c>
      <c r="J2184" s="19">
        <f>WEEKNUM(tblRidershipData[[#This Row],[MeasurementDate]])</f>
        <v>50</v>
      </c>
      <c r="K2184" s="19">
        <f>MONTH(tblRidershipData[[#This Row],[MeasurementDate]])</f>
        <v>12</v>
      </c>
    </row>
    <row r="2185" spans="1:11" x14ac:dyDescent="0.25">
      <c r="A2185" s="31">
        <v>43811</v>
      </c>
      <c r="B2185" t="s">
        <v>5</v>
      </c>
      <c r="C2185" s="31">
        <v>9308</v>
      </c>
      <c r="D2185" t="s">
        <v>87</v>
      </c>
      <c r="E2185" t="s">
        <v>109</v>
      </c>
      <c r="F2185">
        <v>1</v>
      </c>
      <c r="G2185" t="s">
        <v>66</v>
      </c>
      <c r="H2185" t="s">
        <v>112</v>
      </c>
      <c r="I2185">
        <v>26</v>
      </c>
      <c r="J2185" s="19">
        <f>WEEKNUM(tblRidershipData[[#This Row],[MeasurementDate]])</f>
        <v>50</v>
      </c>
      <c r="K2185" s="19">
        <f>MONTH(tblRidershipData[[#This Row],[MeasurementDate]])</f>
        <v>12</v>
      </c>
    </row>
    <row r="2186" spans="1:11" x14ac:dyDescent="0.25">
      <c r="A2186" s="31">
        <v>43811</v>
      </c>
      <c r="B2186" t="s">
        <v>5</v>
      </c>
      <c r="C2186" s="31">
        <v>9308</v>
      </c>
      <c r="D2186" t="s">
        <v>87</v>
      </c>
      <c r="E2186" t="s">
        <v>109</v>
      </c>
      <c r="F2186">
        <v>1</v>
      </c>
      <c r="G2186" t="s">
        <v>69</v>
      </c>
      <c r="H2186" t="s">
        <v>112</v>
      </c>
      <c r="I2186">
        <v>10</v>
      </c>
      <c r="J2186" s="19">
        <f>WEEKNUM(tblRidershipData[[#This Row],[MeasurementDate]])</f>
        <v>50</v>
      </c>
      <c r="K2186" s="19">
        <f>MONTH(tblRidershipData[[#This Row],[MeasurementDate]])</f>
        <v>12</v>
      </c>
    </row>
    <row r="2187" spans="1:11" x14ac:dyDescent="0.25">
      <c r="A2187" s="31">
        <v>43811</v>
      </c>
      <c r="B2187" t="s">
        <v>5</v>
      </c>
      <c r="C2187" s="31">
        <v>9308</v>
      </c>
      <c r="D2187" t="s">
        <v>87</v>
      </c>
      <c r="E2187" t="s">
        <v>109</v>
      </c>
      <c r="F2187">
        <v>1</v>
      </c>
      <c r="G2187" t="s">
        <v>70</v>
      </c>
      <c r="H2187" t="s">
        <v>112</v>
      </c>
      <c r="I2187">
        <v>9</v>
      </c>
      <c r="J2187" s="19">
        <f>WEEKNUM(tblRidershipData[[#This Row],[MeasurementDate]])</f>
        <v>50</v>
      </c>
      <c r="K2187" s="19">
        <f>MONTH(tblRidershipData[[#This Row],[MeasurementDate]])</f>
        <v>12</v>
      </c>
    </row>
    <row r="2188" spans="1:11" x14ac:dyDescent="0.25">
      <c r="A2188" s="31">
        <v>43811</v>
      </c>
      <c r="B2188" t="s">
        <v>5</v>
      </c>
      <c r="C2188" s="31">
        <v>9308</v>
      </c>
      <c r="D2188" t="s">
        <v>87</v>
      </c>
      <c r="E2188" t="s">
        <v>109</v>
      </c>
      <c r="F2188">
        <v>1</v>
      </c>
      <c r="G2188" t="s">
        <v>71</v>
      </c>
      <c r="H2188" t="s">
        <v>112</v>
      </c>
      <c r="I2188">
        <v>7</v>
      </c>
      <c r="J2188" s="19">
        <f>WEEKNUM(tblRidershipData[[#This Row],[MeasurementDate]])</f>
        <v>50</v>
      </c>
      <c r="K2188" s="19">
        <f>MONTH(tblRidershipData[[#This Row],[MeasurementDate]])</f>
        <v>12</v>
      </c>
    </row>
    <row r="2189" spans="1:11" x14ac:dyDescent="0.25">
      <c r="A2189" s="31">
        <v>43811</v>
      </c>
      <c r="B2189" t="s">
        <v>5</v>
      </c>
      <c r="C2189" s="31">
        <v>9308</v>
      </c>
      <c r="D2189" t="s">
        <v>87</v>
      </c>
      <c r="E2189" t="s">
        <v>109</v>
      </c>
      <c r="F2189">
        <v>1</v>
      </c>
      <c r="G2189" t="s">
        <v>76</v>
      </c>
      <c r="H2189" t="s">
        <v>112</v>
      </c>
      <c r="I2189">
        <v>7</v>
      </c>
      <c r="J2189" s="19">
        <f>WEEKNUM(tblRidershipData[[#This Row],[MeasurementDate]])</f>
        <v>50</v>
      </c>
      <c r="K2189" s="19">
        <f>MONTH(tblRidershipData[[#This Row],[MeasurementDate]])</f>
        <v>12</v>
      </c>
    </row>
    <row r="2190" spans="1:11" x14ac:dyDescent="0.25">
      <c r="A2190" s="31">
        <v>43811</v>
      </c>
      <c r="B2190" t="s">
        <v>5</v>
      </c>
      <c r="C2190" s="31">
        <v>9308</v>
      </c>
      <c r="D2190" t="s">
        <v>87</v>
      </c>
      <c r="E2190" t="s">
        <v>109</v>
      </c>
      <c r="F2190">
        <v>2</v>
      </c>
      <c r="G2190" t="s">
        <v>43</v>
      </c>
      <c r="H2190" t="s">
        <v>112</v>
      </c>
      <c r="I2190">
        <v>3</v>
      </c>
      <c r="J2190" s="19">
        <f>WEEKNUM(tblRidershipData[[#This Row],[MeasurementDate]])</f>
        <v>50</v>
      </c>
      <c r="K2190" s="19">
        <f>MONTH(tblRidershipData[[#This Row],[MeasurementDate]])</f>
        <v>12</v>
      </c>
    </row>
    <row r="2191" spans="1:11" x14ac:dyDescent="0.25">
      <c r="A2191" s="31">
        <v>43811</v>
      </c>
      <c r="B2191" t="s">
        <v>5</v>
      </c>
      <c r="C2191" s="31">
        <v>9308</v>
      </c>
      <c r="D2191" t="s">
        <v>87</v>
      </c>
      <c r="E2191" t="s">
        <v>109</v>
      </c>
      <c r="F2191">
        <v>2</v>
      </c>
      <c r="G2191" t="s">
        <v>44</v>
      </c>
      <c r="H2191" t="s">
        <v>112</v>
      </c>
      <c r="I2191">
        <v>8</v>
      </c>
      <c r="J2191" s="19">
        <f>WEEKNUM(tblRidershipData[[#This Row],[MeasurementDate]])</f>
        <v>50</v>
      </c>
      <c r="K2191" s="19">
        <f>MONTH(tblRidershipData[[#This Row],[MeasurementDate]])</f>
        <v>12</v>
      </c>
    </row>
    <row r="2192" spans="1:11" x14ac:dyDescent="0.25">
      <c r="A2192" s="31">
        <v>43811</v>
      </c>
      <c r="B2192" t="s">
        <v>5</v>
      </c>
      <c r="C2192" s="31">
        <v>9308</v>
      </c>
      <c r="D2192" t="s">
        <v>87</v>
      </c>
      <c r="E2192" t="s">
        <v>109</v>
      </c>
      <c r="F2192">
        <v>2</v>
      </c>
      <c r="G2192" t="s">
        <v>46</v>
      </c>
      <c r="H2192" t="s">
        <v>112</v>
      </c>
      <c r="I2192">
        <v>18</v>
      </c>
      <c r="J2192" s="19">
        <f>WEEKNUM(tblRidershipData[[#This Row],[MeasurementDate]])</f>
        <v>50</v>
      </c>
      <c r="K2192" s="19">
        <f>MONTH(tblRidershipData[[#This Row],[MeasurementDate]])</f>
        <v>12</v>
      </c>
    </row>
    <row r="2193" spans="1:11" x14ac:dyDescent="0.25">
      <c r="A2193" s="31">
        <v>43811</v>
      </c>
      <c r="B2193" t="s">
        <v>5</v>
      </c>
      <c r="C2193" s="31">
        <v>9308</v>
      </c>
      <c r="D2193" t="s">
        <v>87</v>
      </c>
      <c r="E2193" t="s">
        <v>109</v>
      </c>
      <c r="F2193">
        <v>2</v>
      </c>
      <c r="G2193" t="s">
        <v>55</v>
      </c>
      <c r="H2193" t="s">
        <v>112</v>
      </c>
      <c r="I2193">
        <v>4</v>
      </c>
      <c r="J2193" s="19">
        <f>WEEKNUM(tblRidershipData[[#This Row],[MeasurementDate]])</f>
        <v>50</v>
      </c>
      <c r="K2193" s="19">
        <f>MONTH(tblRidershipData[[#This Row],[MeasurementDate]])</f>
        <v>12</v>
      </c>
    </row>
    <row r="2194" spans="1:11" x14ac:dyDescent="0.25">
      <c r="A2194" s="31">
        <v>43811</v>
      </c>
      <c r="B2194" t="s">
        <v>5</v>
      </c>
      <c r="C2194" s="31">
        <v>9308</v>
      </c>
      <c r="D2194" t="s">
        <v>87</v>
      </c>
      <c r="E2194" t="s">
        <v>109</v>
      </c>
      <c r="F2194">
        <v>2</v>
      </c>
      <c r="G2194" t="s">
        <v>69</v>
      </c>
      <c r="H2194" t="s">
        <v>112</v>
      </c>
      <c r="I2194">
        <v>2</v>
      </c>
      <c r="J2194" s="19">
        <f>WEEKNUM(tblRidershipData[[#This Row],[MeasurementDate]])</f>
        <v>50</v>
      </c>
      <c r="K2194" s="19">
        <f>MONTH(tblRidershipData[[#This Row],[MeasurementDate]])</f>
        <v>12</v>
      </c>
    </row>
    <row r="2195" spans="1:11" x14ac:dyDescent="0.25">
      <c r="A2195" s="31">
        <v>43811</v>
      </c>
      <c r="B2195" t="s">
        <v>5</v>
      </c>
      <c r="C2195" s="31">
        <v>9308</v>
      </c>
      <c r="D2195" t="s">
        <v>87</v>
      </c>
      <c r="E2195" t="s">
        <v>109</v>
      </c>
      <c r="F2195">
        <v>2</v>
      </c>
      <c r="G2195" t="s">
        <v>70</v>
      </c>
      <c r="H2195" t="s">
        <v>112</v>
      </c>
      <c r="I2195">
        <v>10</v>
      </c>
      <c r="J2195" s="19">
        <f>WEEKNUM(tblRidershipData[[#This Row],[MeasurementDate]])</f>
        <v>50</v>
      </c>
      <c r="K2195" s="19">
        <f>MONTH(tblRidershipData[[#This Row],[MeasurementDate]])</f>
        <v>12</v>
      </c>
    </row>
    <row r="2196" spans="1:11" x14ac:dyDescent="0.25">
      <c r="A2196" s="31">
        <v>43811</v>
      </c>
      <c r="B2196" t="s">
        <v>5</v>
      </c>
      <c r="C2196" s="31">
        <v>9313</v>
      </c>
      <c r="D2196" t="s">
        <v>89</v>
      </c>
      <c r="E2196" t="s">
        <v>111</v>
      </c>
      <c r="F2196">
        <v>1</v>
      </c>
      <c r="G2196" t="s">
        <v>45</v>
      </c>
      <c r="H2196" t="s">
        <v>110</v>
      </c>
      <c r="I2196">
        <v>1</v>
      </c>
      <c r="J2196" s="19">
        <f>WEEKNUM(tblRidershipData[[#This Row],[MeasurementDate]])</f>
        <v>50</v>
      </c>
      <c r="K2196" s="19">
        <f>MONTH(tblRidershipData[[#This Row],[MeasurementDate]])</f>
        <v>12</v>
      </c>
    </row>
    <row r="2197" spans="1:11" x14ac:dyDescent="0.25">
      <c r="A2197" s="31">
        <v>43811</v>
      </c>
      <c r="B2197" t="s">
        <v>5</v>
      </c>
      <c r="C2197" s="31">
        <v>9313</v>
      </c>
      <c r="D2197" t="s">
        <v>89</v>
      </c>
      <c r="E2197" t="s">
        <v>111</v>
      </c>
      <c r="F2197">
        <v>1</v>
      </c>
      <c r="G2197" t="s">
        <v>46</v>
      </c>
      <c r="H2197" t="s">
        <v>110</v>
      </c>
      <c r="I2197">
        <v>1</v>
      </c>
      <c r="J2197" s="19">
        <f>WEEKNUM(tblRidershipData[[#This Row],[MeasurementDate]])</f>
        <v>50</v>
      </c>
      <c r="K2197" s="19">
        <f>MONTH(tblRidershipData[[#This Row],[MeasurementDate]])</f>
        <v>12</v>
      </c>
    </row>
    <row r="2198" spans="1:11" x14ac:dyDescent="0.25">
      <c r="A2198" s="31">
        <v>43811</v>
      </c>
      <c r="B2198" t="s">
        <v>5</v>
      </c>
      <c r="C2198" s="31">
        <v>9313</v>
      </c>
      <c r="D2198" t="s">
        <v>89</v>
      </c>
      <c r="E2198" t="s">
        <v>111</v>
      </c>
      <c r="F2198">
        <v>1</v>
      </c>
      <c r="G2198" t="s">
        <v>47</v>
      </c>
      <c r="H2198" t="s">
        <v>110</v>
      </c>
      <c r="I2198">
        <v>3</v>
      </c>
      <c r="J2198" s="19">
        <f>WEEKNUM(tblRidershipData[[#This Row],[MeasurementDate]])</f>
        <v>50</v>
      </c>
      <c r="K2198" s="19">
        <f>MONTH(tblRidershipData[[#This Row],[MeasurementDate]])</f>
        <v>12</v>
      </c>
    </row>
    <row r="2199" spans="1:11" x14ac:dyDescent="0.25">
      <c r="A2199" s="31">
        <v>43811</v>
      </c>
      <c r="B2199" t="s">
        <v>5</v>
      </c>
      <c r="C2199" s="31">
        <v>9313</v>
      </c>
      <c r="D2199" t="s">
        <v>89</v>
      </c>
      <c r="E2199" t="s">
        <v>111</v>
      </c>
      <c r="F2199">
        <v>1</v>
      </c>
      <c r="G2199" t="s">
        <v>50</v>
      </c>
      <c r="H2199" t="s">
        <v>110</v>
      </c>
      <c r="I2199">
        <v>8</v>
      </c>
      <c r="J2199" s="19">
        <f>WEEKNUM(tblRidershipData[[#This Row],[MeasurementDate]])</f>
        <v>50</v>
      </c>
      <c r="K2199" s="19">
        <f>MONTH(tblRidershipData[[#This Row],[MeasurementDate]])</f>
        <v>12</v>
      </c>
    </row>
    <row r="2200" spans="1:11" x14ac:dyDescent="0.25">
      <c r="A2200" s="31">
        <v>43811</v>
      </c>
      <c r="B2200" t="s">
        <v>5</v>
      </c>
      <c r="C2200" s="31">
        <v>9313</v>
      </c>
      <c r="D2200" t="s">
        <v>89</v>
      </c>
      <c r="E2200" t="s">
        <v>111</v>
      </c>
      <c r="F2200">
        <v>1</v>
      </c>
      <c r="G2200" t="s">
        <v>55</v>
      </c>
      <c r="H2200" t="s">
        <v>110</v>
      </c>
      <c r="I2200">
        <v>1</v>
      </c>
      <c r="J2200" s="19">
        <f>WEEKNUM(tblRidershipData[[#This Row],[MeasurementDate]])</f>
        <v>50</v>
      </c>
      <c r="K2200" s="19">
        <f>MONTH(tblRidershipData[[#This Row],[MeasurementDate]])</f>
        <v>12</v>
      </c>
    </row>
    <row r="2201" spans="1:11" x14ac:dyDescent="0.25">
      <c r="A2201" s="31">
        <v>43811</v>
      </c>
      <c r="B2201" t="s">
        <v>5</v>
      </c>
      <c r="C2201" s="31">
        <v>9313</v>
      </c>
      <c r="D2201" t="s">
        <v>89</v>
      </c>
      <c r="E2201" t="s">
        <v>111</v>
      </c>
      <c r="F2201">
        <v>1</v>
      </c>
      <c r="G2201" t="s">
        <v>58</v>
      </c>
      <c r="H2201" t="s">
        <v>110</v>
      </c>
      <c r="I2201">
        <v>4</v>
      </c>
      <c r="J2201" s="19">
        <f>WEEKNUM(tblRidershipData[[#This Row],[MeasurementDate]])</f>
        <v>50</v>
      </c>
      <c r="K2201" s="19">
        <f>MONTH(tblRidershipData[[#This Row],[MeasurementDate]])</f>
        <v>12</v>
      </c>
    </row>
    <row r="2202" spans="1:11" x14ac:dyDescent="0.25">
      <c r="A2202" s="31">
        <v>43811</v>
      </c>
      <c r="B2202" t="s">
        <v>5</v>
      </c>
      <c r="C2202" s="31">
        <v>9313</v>
      </c>
      <c r="D2202" t="s">
        <v>89</v>
      </c>
      <c r="E2202" t="s">
        <v>111</v>
      </c>
      <c r="F2202">
        <v>1</v>
      </c>
      <c r="G2202" t="s">
        <v>69</v>
      </c>
      <c r="H2202" t="s">
        <v>110</v>
      </c>
      <c r="I2202">
        <v>1</v>
      </c>
      <c r="J2202" s="19">
        <f>WEEKNUM(tblRidershipData[[#This Row],[MeasurementDate]])</f>
        <v>50</v>
      </c>
      <c r="K2202" s="19">
        <f>MONTH(tblRidershipData[[#This Row],[MeasurementDate]])</f>
        <v>12</v>
      </c>
    </row>
    <row r="2203" spans="1:11" x14ac:dyDescent="0.25">
      <c r="A2203" s="31">
        <v>43811</v>
      </c>
      <c r="B2203" t="s">
        <v>5</v>
      </c>
      <c r="C2203" s="31">
        <v>9313</v>
      </c>
      <c r="D2203" t="s">
        <v>89</v>
      </c>
      <c r="E2203" t="s">
        <v>111</v>
      </c>
      <c r="F2203">
        <v>1</v>
      </c>
      <c r="G2203" t="s">
        <v>70</v>
      </c>
      <c r="H2203" t="s">
        <v>110</v>
      </c>
      <c r="I2203">
        <v>4</v>
      </c>
      <c r="J2203" s="19">
        <f>WEEKNUM(tblRidershipData[[#This Row],[MeasurementDate]])</f>
        <v>50</v>
      </c>
      <c r="K2203" s="19">
        <f>MONTH(tblRidershipData[[#This Row],[MeasurementDate]])</f>
        <v>12</v>
      </c>
    </row>
    <row r="2204" spans="1:11" x14ac:dyDescent="0.25">
      <c r="A2204" s="31">
        <v>43811</v>
      </c>
      <c r="B2204" t="s">
        <v>5</v>
      </c>
      <c r="C2204" s="31">
        <v>9313</v>
      </c>
      <c r="D2204" t="s">
        <v>89</v>
      </c>
      <c r="E2204" t="s">
        <v>111</v>
      </c>
      <c r="F2204">
        <v>1</v>
      </c>
      <c r="G2204" t="s">
        <v>72</v>
      </c>
      <c r="H2204" t="s">
        <v>110</v>
      </c>
      <c r="I2204">
        <v>7</v>
      </c>
      <c r="J2204" s="19">
        <f>WEEKNUM(tblRidershipData[[#This Row],[MeasurementDate]])</f>
        <v>50</v>
      </c>
      <c r="K2204" s="19">
        <f>MONTH(tblRidershipData[[#This Row],[MeasurementDate]])</f>
        <v>12</v>
      </c>
    </row>
    <row r="2205" spans="1:11" x14ac:dyDescent="0.25">
      <c r="A2205" s="31">
        <v>43811</v>
      </c>
      <c r="B2205" t="s">
        <v>5</v>
      </c>
      <c r="C2205" s="31">
        <v>9313</v>
      </c>
      <c r="D2205" t="s">
        <v>89</v>
      </c>
      <c r="E2205" t="s">
        <v>111</v>
      </c>
      <c r="F2205">
        <v>1</v>
      </c>
      <c r="G2205" t="s">
        <v>77</v>
      </c>
      <c r="H2205" t="s">
        <v>110</v>
      </c>
      <c r="I2205">
        <v>3</v>
      </c>
      <c r="J2205" s="19">
        <f>WEEKNUM(tblRidershipData[[#This Row],[MeasurementDate]])</f>
        <v>50</v>
      </c>
      <c r="K2205" s="19">
        <f>MONTH(tblRidershipData[[#This Row],[MeasurementDate]])</f>
        <v>12</v>
      </c>
    </row>
    <row r="2206" spans="1:11" x14ac:dyDescent="0.25">
      <c r="A2206" s="31">
        <v>43811</v>
      </c>
      <c r="B2206" t="s">
        <v>5</v>
      </c>
      <c r="C2206" s="31">
        <v>9318</v>
      </c>
      <c r="D2206" t="s">
        <v>86</v>
      </c>
      <c r="E2206" t="s">
        <v>111</v>
      </c>
      <c r="F2206">
        <v>1</v>
      </c>
      <c r="G2206" t="s">
        <v>43</v>
      </c>
      <c r="H2206" t="s">
        <v>110</v>
      </c>
      <c r="I2206">
        <v>5</v>
      </c>
      <c r="J2206" s="19">
        <f>WEEKNUM(tblRidershipData[[#This Row],[MeasurementDate]])</f>
        <v>50</v>
      </c>
      <c r="K2206" s="19">
        <f>MONTH(tblRidershipData[[#This Row],[MeasurementDate]])</f>
        <v>12</v>
      </c>
    </row>
    <row r="2207" spans="1:11" x14ac:dyDescent="0.25">
      <c r="A2207" s="31">
        <v>43811</v>
      </c>
      <c r="B2207" t="s">
        <v>5</v>
      </c>
      <c r="C2207" s="31">
        <v>9318</v>
      </c>
      <c r="D2207" t="s">
        <v>86</v>
      </c>
      <c r="E2207" t="s">
        <v>111</v>
      </c>
      <c r="F2207">
        <v>1</v>
      </c>
      <c r="G2207" t="s">
        <v>54</v>
      </c>
      <c r="H2207" t="s">
        <v>110</v>
      </c>
      <c r="I2207">
        <v>2</v>
      </c>
      <c r="J2207" s="19">
        <f>WEEKNUM(tblRidershipData[[#This Row],[MeasurementDate]])</f>
        <v>50</v>
      </c>
      <c r="K2207" s="19">
        <f>MONTH(tblRidershipData[[#This Row],[MeasurementDate]])</f>
        <v>12</v>
      </c>
    </row>
    <row r="2208" spans="1:11" x14ac:dyDescent="0.25">
      <c r="A2208" s="31">
        <v>43811</v>
      </c>
      <c r="B2208" t="s">
        <v>5</v>
      </c>
      <c r="C2208" s="31">
        <v>9318</v>
      </c>
      <c r="D2208" t="s">
        <v>86</v>
      </c>
      <c r="E2208" t="s">
        <v>111</v>
      </c>
      <c r="F2208">
        <v>1</v>
      </c>
      <c r="G2208" t="s">
        <v>67</v>
      </c>
      <c r="H2208" t="s">
        <v>110</v>
      </c>
      <c r="I2208">
        <v>2</v>
      </c>
      <c r="J2208" s="19">
        <f>WEEKNUM(tblRidershipData[[#This Row],[MeasurementDate]])</f>
        <v>50</v>
      </c>
      <c r="K2208" s="19">
        <f>MONTH(tblRidershipData[[#This Row],[MeasurementDate]])</f>
        <v>12</v>
      </c>
    </row>
    <row r="2209" spans="1:11" x14ac:dyDescent="0.25">
      <c r="A2209" s="31">
        <v>43811</v>
      </c>
      <c r="B2209" t="s">
        <v>5</v>
      </c>
      <c r="C2209" s="31">
        <v>9318</v>
      </c>
      <c r="D2209" t="s">
        <v>86</v>
      </c>
      <c r="E2209" t="s">
        <v>111</v>
      </c>
      <c r="F2209">
        <v>1</v>
      </c>
      <c r="G2209" t="s">
        <v>69</v>
      </c>
      <c r="H2209" t="s">
        <v>110</v>
      </c>
      <c r="I2209">
        <v>4</v>
      </c>
      <c r="J2209" s="19">
        <f>WEEKNUM(tblRidershipData[[#This Row],[MeasurementDate]])</f>
        <v>50</v>
      </c>
      <c r="K2209" s="19">
        <f>MONTH(tblRidershipData[[#This Row],[MeasurementDate]])</f>
        <v>12</v>
      </c>
    </row>
    <row r="2210" spans="1:11" x14ac:dyDescent="0.25">
      <c r="A2210" s="31">
        <v>43811</v>
      </c>
      <c r="B2210" t="s">
        <v>5</v>
      </c>
      <c r="C2210" s="31">
        <v>9318</v>
      </c>
      <c r="D2210" t="s">
        <v>86</v>
      </c>
      <c r="E2210" t="s">
        <v>111</v>
      </c>
      <c r="F2210">
        <v>1</v>
      </c>
      <c r="G2210" t="s">
        <v>71</v>
      </c>
      <c r="H2210" t="s">
        <v>110</v>
      </c>
      <c r="I2210">
        <v>1</v>
      </c>
      <c r="J2210" s="19">
        <f>WEEKNUM(tblRidershipData[[#This Row],[MeasurementDate]])</f>
        <v>50</v>
      </c>
      <c r="K2210" s="19">
        <f>MONTH(tblRidershipData[[#This Row],[MeasurementDate]])</f>
        <v>12</v>
      </c>
    </row>
    <row r="2211" spans="1:11" x14ac:dyDescent="0.25">
      <c r="A2211" s="31">
        <v>43811</v>
      </c>
      <c r="B2211" t="s">
        <v>5</v>
      </c>
      <c r="C2211" s="31">
        <v>9318</v>
      </c>
      <c r="D2211" t="s">
        <v>86</v>
      </c>
      <c r="E2211" t="s">
        <v>109</v>
      </c>
      <c r="F2211">
        <v>1</v>
      </c>
      <c r="G2211" t="s">
        <v>61</v>
      </c>
      <c r="H2211" t="s">
        <v>110</v>
      </c>
      <c r="I2211">
        <v>22</v>
      </c>
      <c r="J2211" s="19">
        <f>WEEKNUM(tblRidershipData[[#This Row],[MeasurementDate]])</f>
        <v>50</v>
      </c>
      <c r="K2211" s="19">
        <f>MONTH(tblRidershipData[[#This Row],[MeasurementDate]])</f>
        <v>12</v>
      </c>
    </row>
    <row r="2212" spans="1:11" x14ac:dyDescent="0.25">
      <c r="A2212" s="31">
        <v>43811</v>
      </c>
      <c r="B2212" t="s">
        <v>5</v>
      </c>
      <c r="C2212" s="31">
        <v>9318</v>
      </c>
      <c r="D2212" t="s">
        <v>86</v>
      </c>
      <c r="E2212" t="s">
        <v>109</v>
      </c>
      <c r="F2212">
        <v>1</v>
      </c>
      <c r="G2212" t="s">
        <v>68</v>
      </c>
      <c r="H2212" t="s">
        <v>110</v>
      </c>
      <c r="I2212">
        <v>9</v>
      </c>
      <c r="J2212" s="19">
        <f>WEEKNUM(tblRidershipData[[#This Row],[MeasurementDate]])</f>
        <v>50</v>
      </c>
      <c r="K2212" s="19">
        <f>MONTH(tblRidershipData[[#This Row],[MeasurementDate]])</f>
        <v>12</v>
      </c>
    </row>
    <row r="2213" spans="1:11" x14ac:dyDescent="0.25">
      <c r="A2213" s="31">
        <v>43811</v>
      </c>
      <c r="B2213" t="s">
        <v>5</v>
      </c>
      <c r="C2213" s="31">
        <v>9318</v>
      </c>
      <c r="D2213" t="s">
        <v>86</v>
      </c>
      <c r="E2213" t="s">
        <v>111</v>
      </c>
      <c r="F2213">
        <v>1</v>
      </c>
      <c r="G2213" t="s">
        <v>46</v>
      </c>
      <c r="H2213" t="s">
        <v>112</v>
      </c>
      <c r="I2213">
        <v>2</v>
      </c>
      <c r="J2213" s="19">
        <f>WEEKNUM(tblRidershipData[[#This Row],[MeasurementDate]])</f>
        <v>50</v>
      </c>
      <c r="K2213" s="19">
        <f>MONTH(tblRidershipData[[#This Row],[MeasurementDate]])</f>
        <v>12</v>
      </c>
    </row>
    <row r="2214" spans="1:11" x14ac:dyDescent="0.25">
      <c r="A2214" s="31">
        <v>43811</v>
      </c>
      <c r="B2214" t="s">
        <v>5</v>
      </c>
      <c r="C2214" s="31">
        <v>9318</v>
      </c>
      <c r="D2214" t="s">
        <v>86</v>
      </c>
      <c r="E2214" t="s">
        <v>111</v>
      </c>
      <c r="F2214">
        <v>1</v>
      </c>
      <c r="G2214" t="s">
        <v>61</v>
      </c>
      <c r="H2214" t="s">
        <v>112</v>
      </c>
      <c r="I2214">
        <v>9</v>
      </c>
      <c r="J2214" s="19">
        <f>WEEKNUM(tblRidershipData[[#This Row],[MeasurementDate]])</f>
        <v>50</v>
      </c>
      <c r="K2214" s="19">
        <f>MONTH(tblRidershipData[[#This Row],[MeasurementDate]])</f>
        <v>12</v>
      </c>
    </row>
    <row r="2215" spans="1:11" x14ac:dyDescent="0.25">
      <c r="A2215" s="31">
        <v>43811</v>
      </c>
      <c r="B2215" t="s">
        <v>5</v>
      </c>
      <c r="C2215" s="31">
        <v>9318</v>
      </c>
      <c r="D2215" t="s">
        <v>86</v>
      </c>
      <c r="E2215" t="s">
        <v>111</v>
      </c>
      <c r="F2215">
        <v>1</v>
      </c>
      <c r="G2215" t="s">
        <v>69</v>
      </c>
      <c r="H2215" t="s">
        <v>112</v>
      </c>
      <c r="I2215">
        <v>1</v>
      </c>
      <c r="J2215" s="19">
        <f>WEEKNUM(tblRidershipData[[#This Row],[MeasurementDate]])</f>
        <v>50</v>
      </c>
      <c r="K2215" s="19">
        <f>MONTH(tblRidershipData[[#This Row],[MeasurementDate]])</f>
        <v>12</v>
      </c>
    </row>
    <row r="2216" spans="1:11" x14ac:dyDescent="0.25">
      <c r="A2216" s="31">
        <v>43811</v>
      </c>
      <c r="B2216" t="s">
        <v>5</v>
      </c>
      <c r="C2216" s="31">
        <v>9318</v>
      </c>
      <c r="D2216" t="s">
        <v>86</v>
      </c>
      <c r="E2216" t="s">
        <v>111</v>
      </c>
      <c r="F2216">
        <v>1</v>
      </c>
      <c r="G2216" t="s">
        <v>70</v>
      </c>
      <c r="H2216" t="s">
        <v>112</v>
      </c>
      <c r="I2216">
        <v>2</v>
      </c>
      <c r="J2216" s="19">
        <f>WEEKNUM(tblRidershipData[[#This Row],[MeasurementDate]])</f>
        <v>50</v>
      </c>
      <c r="K2216" s="19">
        <f>MONTH(tblRidershipData[[#This Row],[MeasurementDate]])</f>
        <v>12</v>
      </c>
    </row>
    <row r="2217" spans="1:11" x14ac:dyDescent="0.25">
      <c r="A2217" s="31">
        <v>43811</v>
      </c>
      <c r="B2217" t="s">
        <v>5</v>
      </c>
      <c r="C2217" s="31">
        <v>9318</v>
      </c>
      <c r="D2217" t="s">
        <v>86</v>
      </c>
      <c r="E2217" t="s">
        <v>109</v>
      </c>
      <c r="F2217">
        <v>1</v>
      </c>
      <c r="G2217" t="s">
        <v>43</v>
      </c>
      <c r="H2217" t="s">
        <v>112</v>
      </c>
      <c r="I2217">
        <v>5</v>
      </c>
      <c r="J2217" s="19">
        <f>WEEKNUM(tblRidershipData[[#This Row],[MeasurementDate]])</f>
        <v>50</v>
      </c>
      <c r="K2217" s="19">
        <f>MONTH(tblRidershipData[[#This Row],[MeasurementDate]])</f>
        <v>12</v>
      </c>
    </row>
    <row r="2218" spans="1:11" x14ac:dyDescent="0.25">
      <c r="A2218" s="31">
        <v>43811</v>
      </c>
      <c r="B2218" t="s">
        <v>5</v>
      </c>
      <c r="C2218" s="31">
        <v>9318</v>
      </c>
      <c r="D2218" t="s">
        <v>86</v>
      </c>
      <c r="E2218" t="s">
        <v>109</v>
      </c>
      <c r="F2218">
        <v>1</v>
      </c>
      <c r="G2218" t="s">
        <v>44</v>
      </c>
      <c r="H2218" t="s">
        <v>112</v>
      </c>
      <c r="I2218">
        <v>1</v>
      </c>
      <c r="J2218" s="19">
        <f>WEEKNUM(tblRidershipData[[#This Row],[MeasurementDate]])</f>
        <v>50</v>
      </c>
      <c r="K2218" s="19">
        <f>MONTH(tblRidershipData[[#This Row],[MeasurementDate]])</f>
        <v>12</v>
      </c>
    </row>
    <row r="2219" spans="1:11" x14ac:dyDescent="0.25">
      <c r="A2219" s="31">
        <v>43811</v>
      </c>
      <c r="B2219" t="s">
        <v>5</v>
      </c>
      <c r="C2219" s="31">
        <v>9318</v>
      </c>
      <c r="D2219" t="s">
        <v>86</v>
      </c>
      <c r="E2219" t="s">
        <v>109</v>
      </c>
      <c r="F2219">
        <v>1</v>
      </c>
      <c r="G2219" t="s">
        <v>54</v>
      </c>
      <c r="H2219" t="s">
        <v>112</v>
      </c>
      <c r="I2219">
        <v>3</v>
      </c>
      <c r="J2219" s="19">
        <f>WEEKNUM(tblRidershipData[[#This Row],[MeasurementDate]])</f>
        <v>50</v>
      </c>
      <c r="K2219" s="19">
        <f>MONTH(tblRidershipData[[#This Row],[MeasurementDate]])</f>
        <v>12</v>
      </c>
    </row>
    <row r="2220" spans="1:11" x14ac:dyDescent="0.25">
      <c r="A2220" s="31">
        <v>43811</v>
      </c>
      <c r="B2220" t="s">
        <v>5</v>
      </c>
      <c r="C2220" s="31">
        <v>9318</v>
      </c>
      <c r="D2220" t="s">
        <v>86</v>
      </c>
      <c r="E2220" t="s">
        <v>109</v>
      </c>
      <c r="F2220">
        <v>1</v>
      </c>
      <c r="G2220" t="s">
        <v>56</v>
      </c>
      <c r="H2220" t="s">
        <v>112</v>
      </c>
      <c r="I2220">
        <v>1</v>
      </c>
      <c r="J2220" s="19">
        <f>WEEKNUM(tblRidershipData[[#This Row],[MeasurementDate]])</f>
        <v>50</v>
      </c>
      <c r="K2220" s="19">
        <f>MONTH(tblRidershipData[[#This Row],[MeasurementDate]])</f>
        <v>12</v>
      </c>
    </row>
    <row r="2221" spans="1:11" x14ac:dyDescent="0.25">
      <c r="A2221" s="31">
        <v>43811</v>
      </c>
      <c r="B2221" t="s">
        <v>5</v>
      </c>
      <c r="C2221" s="31">
        <v>9318</v>
      </c>
      <c r="D2221" t="s">
        <v>86</v>
      </c>
      <c r="E2221" t="s">
        <v>109</v>
      </c>
      <c r="F2221">
        <v>1</v>
      </c>
      <c r="G2221" t="s">
        <v>57</v>
      </c>
      <c r="H2221" t="s">
        <v>112</v>
      </c>
      <c r="I2221">
        <v>3</v>
      </c>
      <c r="J2221" s="19">
        <f>WEEKNUM(tblRidershipData[[#This Row],[MeasurementDate]])</f>
        <v>50</v>
      </c>
      <c r="K2221" s="19">
        <f>MONTH(tblRidershipData[[#This Row],[MeasurementDate]])</f>
        <v>12</v>
      </c>
    </row>
    <row r="2222" spans="1:11" x14ac:dyDescent="0.25">
      <c r="A2222" s="31">
        <v>43811</v>
      </c>
      <c r="B2222" t="s">
        <v>5</v>
      </c>
      <c r="C2222" s="31">
        <v>9318</v>
      </c>
      <c r="D2222" t="s">
        <v>86</v>
      </c>
      <c r="E2222" t="s">
        <v>109</v>
      </c>
      <c r="F2222">
        <v>1</v>
      </c>
      <c r="G2222" t="s">
        <v>60</v>
      </c>
      <c r="H2222" t="s">
        <v>112</v>
      </c>
      <c r="I2222">
        <v>1</v>
      </c>
      <c r="J2222" s="19">
        <f>WEEKNUM(tblRidershipData[[#This Row],[MeasurementDate]])</f>
        <v>50</v>
      </c>
      <c r="K2222" s="19">
        <f>MONTH(tblRidershipData[[#This Row],[MeasurementDate]])</f>
        <v>12</v>
      </c>
    </row>
    <row r="2223" spans="1:11" x14ac:dyDescent="0.25">
      <c r="A2223" s="31">
        <v>43811</v>
      </c>
      <c r="B2223" t="s">
        <v>5</v>
      </c>
      <c r="C2223" s="31">
        <v>9318</v>
      </c>
      <c r="D2223" t="s">
        <v>86</v>
      </c>
      <c r="E2223" t="s">
        <v>109</v>
      </c>
      <c r="F2223">
        <v>1</v>
      </c>
      <c r="G2223" t="s">
        <v>66</v>
      </c>
      <c r="H2223" t="s">
        <v>112</v>
      </c>
      <c r="I2223">
        <v>2</v>
      </c>
      <c r="J2223" s="19">
        <f>WEEKNUM(tblRidershipData[[#This Row],[MeasurementDate]])</f>
        <v>50</v>
      </c>
      <c r="K2223" s="19">
        <f>MONTH(tblRidershipData[[#This Row],[MeasurementDate]])</f>
        <v>12</v>
      </c>
    </row>
    <row r="2224" spans="1:11" x14ac:dyDescent="0.25">
      <c r="A2224" s="31">
        <v>43811</v>
      </c>
      <c r="B2224" t="s">
        <v>5</v>
      </c>
      <c r="C2224" s="31">
        <v>9318</v>
      </c>
      <c r="D2224" t="s">
        <v>86</v>
      </c>
      <c r="E2224" t="s">
        <v>109</v>
      </c>
      <c r="F2224">
        <v>1</v>
      </c>
      <c r="G2224" t="s">
        <v>67</v>
      </c>
      <c r="H2224" t="s">
        <v>112</v>
      </c>
      <c r="I2224">
        <v>7</v>
      </c>
      <c r="J2224" s="19">
        <f>WEEKNUM(tblRidershipData[[#This Row],[MeasurementDate]])</f>
        <v>50</v>
      </c>
      <c r="K2224" s="19">
        <f>MONTH(tblRidershipData[[#This Row],[MeasurementDate]])</f>
        <v>12</v>
      </c>
    </row>
    <row r="2225" spans="1:11" x14ac:dyDescent="0.25">
      <c r="A2225" s="31">
        <v>43811</v>
      </c>
      <c r="B2225" t="s">
        <v>5</v>
      </c>
      <c r="C2225" s="31">
        <v>9318</v>
      </c>
      <c r="D2225" t="s">
        <v>86</v>
      </c>
      <c r="E2225" t="s">
        <v>109</v>
      </c>
      <c r="F2225">
        <v>1</v>
      </c>
      <c r="G2225" t="s">
        <v>69</v>
      </c>
      <c r="H2225" t="s">
        <v>112</v>
      </c>
      <c r="I2225">
        <v>2</v>
      </c>
      <c r="J2225" s="19">
        <f>WEEKNUM(tblRidershipData[[#This Row],[MeasurementDate]])</f>
        <v>50</v>
      </c>
      <c r="K2225" s="19">
        <f>MONTH(tblRidershipData[[#This Row],[MeasurementDate]])</f>
        <v>12</v>
      </c>
    </row>
    <row r="2226" spans="1:11" x14ac:dyDescent="0.25">
      <c r="A2226" s="31">
        <v>43811</v>
      </c>
      <c r="B2226" t="s">
        <v>5</v>
      </c>
      <c r="C2226" s="31">
        <v>9318</v>
      </c>
      <c r="D2226" t="s">
        <v>86</v>
      </c>
      <c r="E2226" t="s">
        <v>109</v>
      </c>
      <c r="F2226">
        <v>1</v>
      </c>
      <c r="G2226" t="s">
        <v>71</v>
      </c>
      <c r="H2226" t="s">
        <v>112</v>
      </c>
      <c r="I2226">
        <v>1</v>
      </c>
      <c r="J2226" s="19">
        <f>WEEKNUM(tblRidershipData[[#This Row],[MeasurementDate]])</f>
        <v>50</v>
      </c>
      <c r="K2226" s="19">
        <f>MONTH(tblRidershipData[[#This Row],[MeasurementDate]])</f>
        <v>12</v>
      </c>
    </row>
    <row r="2227" spans="1:11" x14ac:dyDescent="0.25">
      <c r="A2227" s="31">
        <v>43811</v>
      </c>
      <c r="B2227" t="s">
        <v>5</v>
      </c>
      <c r="C2227" s="31">
        <v>9318</v>
      </c>
      <c r="D2227" t="s">
        <v>86</v>
      </c>
      <c r="E2227" t="s">
        <v>109</v>
      </c>
      <c r="F2227">
        <v>1</v>
      </c>
      <c r="G2227" t="s">
        <v>73</v>
      </c>
      <c r="H2227" t="s">
        <v>112</v>
      </c>
      <c r="I2227">
        <v>3</v>
      </c>
      <c r="J2227" s="19">
        <f>WEEKNUM(tblRidershipData[[#This Row],[MeasurementDate]])</f>
        <v>50</v>
      </c>
      <c r="K2227" s="19">
        <f>MONTH(tblRidershipData[[#This Row],[MeasurementDate]])</f>
        <v>12</v>
      </c>
    </row>
    <row r="2228" spans="1:11" x14ac:dyDescent="0.25">
      <c r="A2228" s="31">
        <v>43811</v>
      </c>
      <c r="B2228" t="s">
        <v>5</v>
      </c>
      <c r="C2228" s="31">
        <v>9318</v>
      </c>
      <c r="D2228" t="s">
        <v>86</v>
      </c>
      <c r="E2228" t="s">
        <v>109</v>
      </c>
      <c r="F2228">
        <v>1</v>
      </c>
      <c r="G2228" t="s">
        <v>77</v>
      </c>
      <c r="H2228" t="s">
        <v>112</v>
      </c>
      <c r="I2228">
        <v>1</v>
      </c>
      <c r="J2228" s="19">
        <f>WEEKNUM(tblRidershipData[[#This Row],[MeasurementDate]])</f>
        <v>50</v>
      </c>
      <c r="K2228" s="19">
        <f>MONTH(tblRidershipData[[#This Row],[MeasurementDate]])</f>
        <v>12</v>
      </c>
    </row>
    <row r="2229" spans="1:11" x14ac:dyDescent="0.25">
      <c r="A2229" s="31">
        <v>43811</v>
      </c>
      <c r="B2229" t="s">
        <v>5</v>
      </c>
      <c r="C2229" s="31">
        <v>1094</v>
      </c>
      <c r="D2229" t="s">
        <v>102</v>
      </c>
      <c r="E2229" t="s">
        <v>111</v>
      </c>
      <c r="F2229">
        <v>1</v>
      </c>
      <c r="G2229" t="s">
        <v>45</v>
      </c>
      <c r="H2229" t="s">
        <v>110</v>
      </c>
      <c r="I2229">
        <v>13</v>
      </c>
      <c r="J2229" s="19">
        <f>WEEKNUM(tblRidershipData[[#This Row],[MeasurementDate]])</f>
        <v>50</v>
      </c>
      <c r="K2229" s="19">
        <f>MONTH(tblRidershipData[[#This Row],[MeasurementDate]])</f>
        <v>12</v>
      </c>
    </row>
    <row r="2230" spans="1:11" x14ac:dyDescent="0.25">
      <c r="A2230" s="31">
        <v>43811</v>
      </c>
      <c r="B2230" t="s">
        <v>5</v>
      </c>
      <c r="C2230" s="31">
        <v>1094</v>
      </c>
      <c r="D2230" t="s">
        <v>102</v>
      </c>
      <c r="E2230" t="s">
        <v>111</v>
      </c>
      <c r="F2230">
        <v>1</v>
      </c>
      <c r="G2230" t="s">
        <v>47</v>
      </c>
      <c r="H2230" t="s">
        <v>110</v>
      </c>
      <c r="I2230">
        <v>1</v>
      </c>
      <c r="J2230" s="19">
        <f>WEEKNUM(tblRidershipData[[#This Row],[MeasurementDate]])</f>
        <v>50</v>
      </c>
      <c r="K2230" s="19">
        <f>MONTH(tblRidershipData[[#This Row],[MeasurementDate]])</f>
        <v>12</v>
      </c>
    </row>
    <row r="2231" spans="1:11" x14ac:dyDescent="0.25">
      <c r="A2231" s="31">
        <v>43811</v>
      </c>
      <c r="B2231" t="s">
        <v>5</v>
      </c>
      <c r="C2231" s="31">
        <v>1094</v>
      </c>
      <c r="D2231" t="s">
        <v>102</v>
      </c>
      <c r="E2231" t="s">
        <v>111</v>
      </c>
      <c r="F2231">
        <v>1</v>
      </c>
      <c r="G2231" t="s">
        <v>54</v>
      </c>
      <c r="H2231" t="s">
        <v>110</v>
      </c>
      <c r="I2231">
        <v>15</v>
      </c>
      <c r="J2231" s="19">
        <f>WEEKNUM(tblRidershipData[[#This Row],[MeasurementDate]])</f>
        <v>50</v>
      </c>
      <c r="K2231" s="19">
        <f>MONTH(tblRidershipData[[#This Row],[MeasurementDate]])</f>
        <v>12</v>
      </c>
    </row>
    <row r="2232" spans="1:11" x14ac:dyDescent="0.25">
      <c r="A2232" s="31">
        <v>43811</v>
      </c>
      <c r="B2232" t="s">
        <v>5</v>
      </c>
      <c r="C2232" s="31">
        <v>1094</v>
      </c>
      <c r="D2232" t="s">
        <v>102</v>
      </c>
      <c r="E2232" t="s">
        <v>111</v>
      </c>
      <c r="F2232">
        <v>1</v>
      </c>
      <c r="G2232" t="s">
        <v>62</v>
      </c>
      <c r="H2232" t="s">
        <v>110</v>
      </c>
      <c r="I2232">
        <v>3</v>
      </c>
      <c r="J2232" s="19">
        <f>WEEKNUM(tblRidershipData[[#This Row],[MeasurementDate]])</f>
        <v>50</v>
      </c>
      <c r="K2232" s="19">
        <f>MONTH(tblRidershipData[[#This Row],[MeasurementDate]])</f>
        <v>12</v>
      </c>
    </row>
    <row r="2233" spans="1:11" x14ac:dyDescent="0.25">
      <c r="A2233" s="31">
        <v>43811</v>
      </c>
      <c r="B2233" t="s">
        <v>5</v>
      </c>
      <c r="C2233" s="31">
        <v>1094</v>
      </c>
      <c r="D2233" t="s">
        <v>102</v>
      </c>
      <c r="E2233" t="s">
        <v>111</v>
      </c>
      <c r="F2233">
        <v>1</v>
      </c>
      <c r="G2233" t="s">
        <v>64</v>
      </c>
      <c r="H2233" t="s">
        <v>110</v>
      </c>
      <c r="I2233">
        <v>3</v>
      </c>
      <c r="J2233" s="19">
        <f>WEEKNUM(tblRidershipData[[#This Row],[MeasurementDate]])</f>
        <v>50</v>
      </c>
      <c r="K2233" s="19">
        <f>MONTH(tblRidershipData[[#This Row],[MeasurementDate]])</f>
        <v>12</v>
      </c>
    </row>
    <row r="2234" spans="1:11" x14ac:dyDescent="0.25">
      <c r="A2234" s="31">
        <v>43811</v>
      </c>
      <c r="B2234" t="s">
        <v>5</v>
      </c>
      <c r="C2234" s="31">
        <v>1094</v>
      </c>
      <c r="D2234" t="s">
        <v>102</v>
      </c>
      <c r="E2234" t="s">
        <v>111</v>
      </c>
      <c r="F2234">
        <v>1</v>
      </c>
      <c r="G2234" t="s">
        <v>67</v>
      </c>
      <c r="H2234" t="s">
        <v>110</v>
      </c>
      <c r="I2234">
        <v>9</v>
      </c>
      <c r="J2234" s="19">
        <f>WEEKNUM(tblRidershipData[[#This Row],[MeasurementDate]])</f>
        <v>50</v>
      </c>
      <c r="K2234" s="19">
        <f>MONTH(tblRidershipData[[#This Row],[MeasurementDate]])</f>
        <v>12</v>
      </c>
    </row>
    <row r="2235" spans="1:11" x14ac:dyDescent="0.25">
      <c r="A2235" s="31">
        <v>43811</v>
      </c>
      <c r="B2235" t="s">
        <v>5</v>
      </c>
      <c r="C2235" s="31">
        <v>1094</v>
      </c>
      <c r="D2235" t="s">
        <v>102</v>
      </c>
      <c r="E2235" t="s">
        <v>111</v>
      </c>
      <c r="F2235">
        <v>1</v>
      </c>
      <c r="G2235" t="s">
        <v>72</v>
      </c>
      <c r="H2235" t="s">
        <v>110</v>
      </c>
      <c r="I2235">
        <v>3</v>
      </c>
      <c r="J2235" s="19">
        <f>WEEKNUM(tblRidershipData[[#This Row],[MeasurementDate]])</f>
        <v>50</v>
      </c>
      <c r="K2235" s="19">
        <f>MONTH(tblRidershipData[[#This Row],[MeasurementDate]])</f>
        <v>12</v>
      </c>
    </row>
    <row r="2236" spans="1:11" x14ac:dyDescent="0.25">
      <c r="A2236" s="31">
        <v>43811</v>
      </c>
      <c r="B2236" t="s">
        <v>5</v>
      </c>
      <c r="C2236" s="31">
        <v>1094</v>
      </c>
      <c r="D2236" t="s">
        <v>102</v>
      </c>
      <c r="E2236" t="s">
        <v>111</v>
      </c>
      <c r="F2236">
        <v>1</v>
      </c>
      <c r="G2236" t="s">
        <v>73</v>
      </c>
      <c r="H2236" t="s">
        <v>110</v>
      </c>
      <c r="I2236">
        <v>3</v>
      </c>
      <c r="J2236" s="19">
        <f>WEEKNUM(tblRidershipData[[#This Row],[MeasurementDate]])</f>
        <v>50</v>
      </c>
      <c r="K2236" s="19">
        <f>MONTH(tblRidershipData[[#This Row],[MeasurementDate]])</f>
        <v>12</v>
      </c>
    </row>
    <row r="2237" spans="1:11" x14ac:dyDescent="0.25">
      <c r="A2237" s="31">
        <v>43811</v>
      </c>
      <c r="B2237" t="s">
        <v>5</v>
      </c>
      <c r="C2237" s="31">
        <v>1094</v>
      </c>
      <c r="D2237" t="s">
        <v>102</v>
      </c>
      <c r="E2237" t="s">
        <v>109</v>
      </c>
      <c r="F2237">
        <v>1</v>
      </c>
      <c r="G2237" t="s">
        <v>44</v>
      </c>
      <c r="H2237" t="s">
        <v>110</v>
      </c>
      <c r="I2237">
        <v>5</v>
      </c>
      <c r="J2237" s="19">
        <f>WEEKNUM(tblRidershipData[[#This Row],[MeasurementDate]])</f>
        <v>50</v>
      </c>
      <c r="K2237" s="19">
        <f>MONTH(tblRidershipData[[#This Row],[MeasurementDate]])</f>
        <v>12</v>
      </c>
    </row>
    <row r="2238" spans="1:11" x14ac:dyDescent="0.25">
      <c r="A2238" s="31">
        <v>43811</v>
      </c>
      <c r="B2238" t="s">
        <v>5</v>
      </c>
      <c r="C2238" s="31">
        <v>1094</v>
      </c>
      <c r="D2238" t="s">
        <v>102</v>
      </c>
      <c r="E2238" t="s">
        <v>109</v>
      </c>
      <c r="F2238">
        <v>1</v>
      </c>
      <c r="G2238" t="s">
        <v>59</v>
      </c>
      <c r="H2238" t="s">
        <v>110</v>
      </c>
      <c r="I2238">
        <v>2</v>
      </c>
      <c r="J2238" s="19">
        <f>WEEKNUM(tblRidershipData[[#This Row],[MeasurementDate]])</f>
        <v>50</v>
      </c>
      <c r="K2238" s="19">
        <f>MONTH(tblRidershipData[[#This Row],[MeasurementDate]])</f>
        <v>12</v>
      </c>
    </row>
    <row r="2239" spans="1:11" x14ac:dyDescent="0.25">
      <c r="A2239" s="31">
        <v>43811</v>
      </c>
      <c r="B2239" t="s">
        <v>5</v>
      </c>
      <c r="C2239" s="31">
        <v>1094</v>
      </c>
      <c r="D2239" t="s">
        <v>102</v>
      </c>
      <c r="E2239" t="s">
        <v>109</v>
      </c>
      <c r="F2239">
        <v>1</v>
      </c>
      <c r="G2239" t="s">
        <v>67</v>
      </c>
      <c r="H2239" t="s">
        <v>110</v>
      </c>
      <c r="I2239">
        <v>20</v>
      </c>
      <c r="J2239" s="19">
        <f>WEEKNUM(tblRidershipData[[#This Row],[MeasurementDate]])</f>
        <v>50</v>
      </c>
      <c r="K2239" s="19">
        <f>MONTH(tblRidershipData[[#This Row],[MeasurementDate]])</f>
        <v>12</v>
      </c>
    </row>
    <row r="2240" spans="1:11" x14ac:dyDescent="0.25">
      <c r="A2240" s="31">
        <v>43811</v>
      </c>
      <c r="B2240" t="s">
        <v>5</v>
      </c>
      <c r="C2240" s="31">
        <v>1094</v>
      </c>
      <c r="D2240" t="s">
        <v>102</v>
      </c>
      <c r="E2240" t="s">
        <v>109</v>
      </c>
      <c r="F2240">
        <v>1</v>
      </c>
      <c r="G2240" t="s">
        <v>69</v>
      </c>
      <c r="H2240" t="s">
        <v>110</v>
      </c>
      <c r="I2240">
        <v>20</v>
      </c>
      <c r="J2240" s="19">
        <f>WEEKNUM(tblRidershipData[[#This Row],[MeasurementDate]])</f>
        <v>50</v>
      </c>
      <c r="K2240" s="19">
        <f>MONTH(tblRidershipData[[#This Row],[MeasurementDate]])</f>
        <v>12</v>
      </c>
    </row>
    <row r="2241" spans="1:11" x14ac:dyDescent="0.25">
      <c r="A2241" s="31">
        <v>43811</v>
      </c>
      <c r="B2241" t="s">
        <v>4</v>
      </c>
      <c r="C2241" s="31">
        <v>1734</v>
      </c>
      <c r="D2241" t="s">
        <v>101</v>
      </c>
      <c r="E2241" t="s">
        <v>111</v>
      </c>
      <c r="F2241">
        <v>1</v>
      </c>
      <c r="G2241" t="s">
        <v>45</v>
      </c>
      <c r="H2241" t="s">
        <v>110</v>
      </c>
      <c r="I2241">
        <v>4</v>
      </c>
      <c r="J2241" s="19">
        <f>WEEKNUM(tblRidershipData[[#This Row],[MeasurementDate]])</f>
        <v>50</v>
      </c>
      <c r="K2241" s="19">
        <f>MONTH(tblRidershipData[[#This Row],[MeasurementDate]])</f>
        <v>12</v>
      </c>
    </row>
    <row r="2242" spans="1:11" x14ac:dyDescent="0.25">
      <c r="A2242" s="31">
        <v>43811</v>
      </c>
      <c r="B2242" t="s">
        <v>4</v>
      </c>
      <c r="C2242" s="31">
        <v>1734</v>
      </c>
      <c r="D2242" t="s">
        <v>101</v>
      </c>
      <c r="E2242" t="s">
        <v>111</v>
      </c>
      <c r="F2242">
        <v>1</v>
      </c>
      <c r="G2242" t="s">
        <v>47</v>
      </c>
      <c r="H2242" t="s">
        <v>110</v>
      </c>
      <c r="I2242">
        <v>2</v>
      </c>
      <c r="J2242" s="19">
        <f>WEEKNUM(tblRidershipData[[#This Row],[MeasurementDate]])</f>
        <v>50</v>
      </c>
      <c r="K2242" s="19">
        <f>MONTH(tblRidershipData[[#This Row],[MeasurementDate]])</f>
        <v>12</v>
      </c>
    </row>
    <row r="2243" spans="1:11" x14ac:dyDescent="0.25">
      <c r="A2243" s="31">
        <v>43811</v>
      </c>
      <c r="B2243" t="s">
        <v>4</v>
      </c>
      <c r="C2243" s="31">
        <v>1734</v>
      </c>
      <c r="D2243" t="s">
        <v>101</v>
      </c>
      <c r="E2243" t="s">
        <v>111</v>
      </c>
      <c r="F2243">
        <v>1</v>
      </c>
      <c r="G2243" t="s">
        <v>48</v>
      </c>
      <c r="H2243" t="s">
        <v>110</v>
      </c>
      <c r="I2243">
        <v>4</v>
      </c>
      <c r="J2243" s="19">
        <f>WEEKNUM(tblRidershipData[[#This Row],[MeasurementDate]])</f>
        <v>50</v>
      </c>
      <c r="K2243" s="19">
        <f>MONTH(tblRidershipData[[#This Row],[MeasurementDate]])</f>
        <v>12</v>
      </c>
    </row>
    <row r="2244" spans="1:11" x14ac:dyDescent="0.25">
      <c r="A2244" s="31">
        <v>43811</v>
      </c>
      <c r="B2244" t="s">
        <v>4</v>
      </c>
      <c r="C2244" s="31">
        <v>1734</v>
      </c>
      <c r="D2244" t="s">
        <v>101</v>
      </c>
      <c r="E2244" t="s">
        <v>111</v>
      </c>
      <c r="F2244">
        <v>1</v>
      </c>
      <c r="G2244" t="s">
        <v>54</v>
      </c>
      <c r="H2244" t="s">
        <v>110</v>
      </c>
      <c r="I2244">
        <v>10</v>
      </c>
      <c r="J2244" s="19">
        <f>WEEKNUM(tblRidershipData[[#This Row],[MeasurementDate]])</f>
        <v>50</v>
      </c>
      <c r="K2244" s="19">
        <f>MONTH(tblRidershipData[[#This Row],[MeasurementDate]])</f>
        <v>12</v>
      </c>
    </row>
    <row r="2245" spans="1:11" x14ac:dyDescent="0.25">
      <c r="A2245" s="31">
        <v>43811</v>
      </c>
      <c r="B2245" t="s">
        <v>4</v>
      </c>
      <c r="C2245" s="31">
        <v>1734</v>
      </c>
      <c r="D2245" t="s">
        <v>101</v>
      </c>
      <c r="E2245" t="s">
        <v>111</v>
      </c>
      <c r="F2245">
        <v>1</v>
      </c>
      <c r="G2245" t="s">
        <v>56</v>
      </c>
      <c r="H2245" t="s">
        <v>110</v>
      </c>
      <c r="I2245">
        <v>3</v>
      </c>
      <c r="J2245" s="19">
        <f>WEEKNUM(tblRidershipData[[#This Row],[MeasurementDate]])</f>
        <v>50</v>
      </c>
      <c r="K2245" s="19">
        <f>MONTH(tblRidershipData[[#This Row],[MeasurementDate]])</f>
        <v>12</v>
      </c>
    </row>
    <row r="2246" spans="1:11" x14ac:dyDescent="0.25">
      <c r="A2246" s="31">
        <v>43811</v>
      </c>
      <c r="B2246" t="s">
        <v>4</v>
      </c>
      <c r="C2246" s="31">
        <v>1734</v>
      </c>
      <c r="D2246" t="s">
        <v>101</v>
      </c>
      <c r="E2246" t="s">
        <v>111</v>
      </c>
      <c r="F2246">
        <v>1</v>
      </c>
      <c r="G2246" t="s">
        <v>63</v>
      </c>
      <c r="H2246" t="s">
        <v>110</v>
      </c>
      <c r="I2246">
        <v>11</v>
      </c>
      <c r="J2246" s="19">
        <f>WEEKNUM(tblRidershipData[[#This Row],[MeasurementDate]])</f>
        <v>50</v>
      </c>
      <c r="K2246" s="19">
        <f>MONTH(tblRidershipData[[#This Row],[MeasurementDate]])</f>
        <v>12</v>
      </c>
    </row>
    <row r="2247" spans="1:11" x14ac:dyDescent="0.25">
      <c r="A2247" s="31">
        <v>43811</v>
      </c>
      <c r="B2247" t="s">
        <v>4</v>
      </c>
      <c r="C2247" s="31">
        <v>1734</v>
      </c>
      <c r="D2247" t="s">
        <v>101</v>
      </c>
      <c r="E2247" t="s">
        <v>111</v>
      </c>
      <c r="F2247">
        <v>1</v>
      </c>
      <c r="G2247" t="s">
        <v>64</v>
      </c>
      <c r="H2247" t="s">
        <v>110</v>
      </c>
      <c r="I2247">
        <v>4</v>
      </c>
      <c r="J2247" s="19">
        <f>WEEKNUM(tblRidershipData[[#This Row],[MeasurementDate]])</f>
        <v>50</v>
      </c>
      <c r="K2247" s="19">
        <f>MONTH(tblRidershipData[[#This Row],[MeasurementDate]])</f>
        <v>12</v>
      </c>
    </row>
    <row r="2248" spans="1:11" x14ac:dyDescent="0.25">
      <c r="A2248" s="31">
        <v>43811</v>
      </c>
      <c r="B2248" t="s">
        <v>4</v>
      </c>
      <c r="C2248" s="31">
        <v>1734</v>
      </c>
      <c r="D2248" t="s">
        <v>101</v>
      </c>
      <c r="E2248" t="s">
        <v>111</v>
      </c>
      <c r="F2248">
        <v>1</v>
      </c>
      <c r="G2248" t="s">
        <v>67</v>
      </c>
      <c r="H2248" t="s">
        <v>110</v>
      </c>
      <c r="I2248">
        <v>1</v>
      </c>
      <c r="J2248" s="19">
        <f>WEEKNUM(tblRidershipData[[#This Row],[MeasurementDate]])</f>
        <v>50</v>
      </c>
      <c r="K2248" s="19">
        <f>MONTH(tblRidershipData[[#This Row],[MeasurementDate]])</f>
        <v>12</v>
      </c>
    </row>
    <row r="2249" spans="1:11" x14ac:dyDescent="0.25">
      <c r="A2249" s="31">
        <v>43811</v>
      </c>
      <c r="B2249" t="s">
        <v>4</v>
      </c>
      <c r="C2249" s="31">
        <v>1734</v>
      </c>
      <c r="D2249" t="s">
        <v>101</v>
      </c>
      <c r="E2249" t="s">
        <v>111</v>
      </c>
      <c r="F2249">
        <v>1</v>
      </c>
      <c r="G2249" t="s">
        <v>73</v>
      </c>
      <c r="H2249" t="s">
        <v>110</v>
      </c>
      <c r="I2249">
        <v>3</v>
      </c>
      <c r="J2249" s="19">
        <f>WEEKNUM(tblRidershipData[[#This Row],[MeasurementDate]])</f>
        <v>50</v>
      </c>
      <c r="K2249" s="19">
        <f>MONTH(tblRidershipData[[#This Row],[MeasurementDate]])</f>
        <v>12</v>
      </c>
    </row>
    <row r="2250" spans="1:11" x14ac:dyDescent="0.25">
      <c r="A2250" s="31">
        <v>43811</v>
      </c>
      <c r="B2250" t="s">
        <v>4</v>
      </c>
      <c r="C2250" s="31">
        <v>1734</v>
      </c>
      <c r="D2250" t="s">
        <v>101</v>
      </c>
      <c r="E2250" t="s">
        <v>111</v>
      </c>
      <c r="F2250">
        <v>2</v>
      </c>
      <c r="G2250" t="s">
        <v>52</v>
      </c>
      <c r="H2250" t="s">
        <v>110</v>
      </c>
      <c r="I2250">
        <v>16</v>
      </c>
      <c r="J2250" s="19">
        <f>WEEKNUM(tblRidershipData[[#This Row],[MeasurementDate]])</f>
        <v>50</v>
      </c>
      <c r="K2250" s="19">
        <f>MONTH(tblRidershipData[[#This Row],[MeasurementDate]])</f>
        <v>12</v>
      </c>
    </row>
    <row r="2251" spans="1:11" x14ac:dyDescent="0.25">
      <c r="A2251" s="31">
        <v>43811</v>
      </c>
      <c r="B2251" t="s">
        <v>4</v>
      </c>
      <c r="C2251" s="31">
        <v>1734</v>
      </c>
      <c r="D2251" t="s">
        <v>101</v>
      </c>
      <c r="E2251" t="s">
        <v>111</v>
      </c>
      <c r="F2251">
        <v>2</v>
      </c>
      <c r="G2251" t="s">
        <v>54</v>
      </c>
      <c r="H2251" t="s">
        <v>110</v>
      </c>
      <c r="I2251">
        <v>3</v>
      </c>
      <c r="J2251" s="19">
        <f>WEEKNUM(tblRidershipData[[#This Row],[MeasurementDate]])</f>
        <v>50</v>
      </c>
      <c r="K2251" s="19">
        <f>MONTH(tblRidershipData[[#This Row],[MeasurementDate]])</f>
        <v>12</v>
      </c>
    </row>
    <row r="2252" spans="1:11" x14ac:dyDescent="0.25">
      <c r="A2252" s="31">
        <v>43811</v>
      </c>
      <c r="B2252" t="s">
        <v>4</v>
      </c>
      <c r="C2252" s="31">
        <v>1734</v>
      </c>
      <c r="D2252" t="s">
        <v>101</v>
      </c>
      <c r="E2252" t="s">
        <v>111</v>
      </c>
      <c r="F2252">
        <v>2</v>
      </c>
      <c r="G2252" t="s">
        <v>59</v>
      </c>
      <c r="H2252" t="s">
        <v>110</v>
      </c>
      <c r="I2252">
        <v>11</v>
      </c>
      <c r="J2252" s="19">
        <f>WEEKNUM(tblRidershipData[[#This Row],[MeasurementDate]])</f>
        <v>50</v>
      </c>
      <c r="K2252" s="19">
        <f>MONTH(tblRidershipData[[#This Row],[MeasurementDate]])</f>
        <v>12</v>
      </c>
    </row>
    <row r="2253" spans="1:11" x14ac:dyDescent="0.25">
      <c r="A2253" s="31">
        <v>43811</v>
      </c>
      <c r="B2253" t="s">
        <v>4</v>
      </c>
      <c r="C2253" s="31">
        <v>1734</v>
      </c>
      <c r="D2253" t="s">
        <v>101</v>
      </c>
      <c r="E2253" t="s">
        <v>111</v>
      </c>
      <c r="F2253">
        <v>2</v>
      </c>
      <c r="G2253" t="s">
        <v>67</v>
      </c>
      <c r="H2253" t="s">
        <v>110</v>
      </c>
      <c r="I2253">
        <v>11</v>
      </c>
      <c r="J2253" s="19">
        <f>WEEKNUM(tblRidershipData[[#This Row],[MeasurementDate]])</f>
        <v>50</v>
      </c>
      <c r="K2253" s="19">
        <f>MONTH(tblRidershipData[[#This Row],[MeasurementDate]])</f>
        <v>12</v>
      </c>
    </row>
    <row r="2254" spans="1:11" x14ac:dyDescent="0.25">
      <c r="A2254" s="31">
        <v>43811</v>
      </c>
      <c r="B2254" t="s">
        <v>4</v>
      </c>
      <c r="C2254" s="31">
        <v>1734</v>
      </c>
      <c r="D2254" t="s">
        <v>101</v>
      </c>
      <c r="E2254" t="s">
        <v>109</v>
      </c>
      <c r="F2254">
        <v>1</v>
      </c>
      <c r="G2254" t="s">
        <v>51</v>
      </c>
      <c r="H2254" t="s">
        <v>110</v>
      </c>
      <c r="I2254">
        <v>4</v>
      </c>
      <c r="J2254" s="19">
        <f>WEEKNUM(tblRidershipData[[#This Row],[MeasurementDate]])</f>
        <v>50</v>
      </c>
      <c r="K2254" s="19">
        <f>MONTH(tblRidershipData[[#This Row],[MeasurementDate]])</f>
        <v>12</v>
      </c>
    </row>
    <row r="2255" spans="1:11" x14ac:dyDescent="0.25">
      <c r="A2255" s="31">
        <v>43811</v>
      </c>
      <c r="B2255" t="s">
        <v>4</v>
      </c>
      <c r="C2255" s="31">
        <v>1734</v>
      </c>
      <c r="D2255" t="s">
        <v>101</v>
      </c>
      <c r="E2255" t="s">
        <v>109</v>
      </c>
      <c r="F2255">
        <v>1</v>
      </c>
      <c r="G2255" t="s">
        <v>52</v>
      </c>
      <c r="H2255" t="s">
        <v>110</v>
      </c>
      <c r="I2255">
        <v>31</v>
      </c>
      <c r="J2255" s="19">
        <f>WEEKNUM(tblRidershipData[[#This Row],[MeasurementDate]])</f>
        <v>50</v>
      </c>
      <c r="K2255" s="19">
        <f>MONTH(tblRidershipData[[#This Row],[MeasurementDate]])</f>
        <v>12</v>
      </c>
    </row>
    <row r="2256" spans="1:11" x14ac:dyDescent="0.25">
      <c r="A2256" s="31">
        <v>43811</v>
      </c>
      <c r="B2256" t="s">
        <v>4</v>
      </c>
      <c r="C2256" s="31">
        <v>1734</v>
      </c>
      <c r="D2256" t="s">
        <v>101</v>
      </c>
      <c r="E2256" t="s">
        <v>109</v>
      </c>
      <c r="F2256">
        <v>1</v>
      </c>
      <c r="G2256" t="s">
        <v>65</v>
      </c>
      <c r="H2256" t="s">
        <v>110</v>
      </c>
      <c r="I2256">
        <v>2</v>
      </c>
      <c r="J2256" s="19">
        <f>WEEKNUM(tblRidershipData[[#This Row],[MeasurementDate]])</f>
        <v>50</v>
      </c>
      <c r="K2256" s="19">
        <f>MONTH(tblRidershipData[[#This Row],[MeasurementDate]])</f>
        <v>12</v>
      </c>
    </row>
    <row r="2257" spans="1:11" x14ac:dyDescent="0.25">
      <c r="A2257" s="31">
        <v>43811</v>
      </c>
      <c r="B2257" t="s">
        <v>4</v>
      </c>
      <c r="C2257" s="31">
        <v>1734</v>
      </c>
      <c r="D2257" t="s">
        <v>101</v>
      </c>
      <c r="E2257" t="s">
        <v>109</v>
      </c>
      <c r="F2257">
        <v>1</v>
      </c>
      <c r="G2257" t="s">
        <v>73</v>
      </c>
      <c r="H2257" t="s">
        <v>110</v>
      </c>
      <c r="I2257">
        <v>24</v>
      </c>
      <c r="J2257" s="19">
        <f>WEEKNUM(tblRidershipData[[#This Row],[MeasurementDate]])</f>
        <v>50</v>
      </c>
      <c r="K2257" s="19">
        <f>MONTH(tblRidershipData[[#This Row],[MeasurementDate]])</f>
        <v>12</v>
      </c>
    </row>
    <row r="2258" spans="1:11" x14ac:dyDescent="0.25">
      <c r="A2258" s="31">
        <v>43811</v>
      </c>
      <c r="B2258" t="s">
        <v>4</v>
      </c>
      <c r="C2258" s="31">
        <v>1734</v>
      </c>
      <c r="D2258" t="s">
        <v>101</v>
      </c>
      <c r="E2258" t="s">
        <v>109</v>
      </c>
      <c r="F2258">
        <v>2</v>
      </c>
      <c r="G2258" t="s">
        <v>45</v>
      </c>
      <c r="H2258" t="s">
        <v>110</v>
      </c>
      <c r="I2258">
        <v>2</v>
      </c>
      <c r="J2258" s="19">
        <f>WEEKNUM(tblRidershipData[[#This Row],[MeasurementDate]])</f>
        <v>50</v>
      </c>
      <c r="K2258" s="19">
        <f>MONTH(tblRidershipData[[#This Row],[MeasurementDate]])</f>
        <v>12</v>
      </c>
    </row>
    <row r="2259" spans="1:11" x14ac:dyDescent="0.25">
      <c r="A2259" s="31">
        <v>43811</v>
      </c>
      <c r="B2259" t="s">
        <v>4</v>
      </c>
      <c r="C2259" s="31">
        <v>1734</v>
      </c>
      <c r="D2259" t="s">
        <v>101</v>
      </c>
      <c r="E2259" t="s">
        <v>109</v>
      </c>
      <c r="F2259">
        <v>2</v>
      </c>
      <c r="G2259" t="s">
        <v>47</v>
      </c>
      <c r="H2259" t="s">
        <v>110</v>
      </c>
      <c r="I2259">
        <v>1</v>
      </c>
      <c r="J2259" s="19">
        <f>WEEKNUM(tblRidershipData[[#This Row],[MeasurementDate]])</f>
        <v>50</v>
      </c>
      <c r="K2259" s="19">
        <f>MONTH(tblRidershipData[[#This Row],[MeasurementDate]])</f>
        <v>12</v>
      </c>
    </row>
    <row r="2260" spans="1:11" x14ac:dyDescent="0.25">
      <c r="A2260" s="31">
        <v>43811</v>
      </c>
      <c r="B2260" t="s">
        <v>4</v>
      </c>
      <c r="C2260" s="31">
        <v>1734</v>
      </c>
      <c r="D2260" t="s">
        <v>101</v>
      </c>
      <c r="E2260" t="s">
        <v>109</v>
      </c>
      <c r="F2260">
        <v>2</v>
      </c>
      <c r="G2260" t="s">
        <v>54</v>
      </c>
      <c r="H2260" t="s">
        <v>110</v>
      </c>
      <c r="I2260">
        <v>20</v>
      </c>
      <c r="J2260" s="19">
        <f>WEEKNUM(tblRidershipData[[#This Row],[MeasurementDate]])</f>
        <v>50</v>
      </c>
      <c r="K2260" s="19">
        <f>MONTH(tblRidershipData[[#This Row],[MeasurementDate]])</f>
        <v>12</v>
      </c>
    </row>
    <row r="2261" spans="1:11" x14ac:dyDescent="0.25">
      <c r="A2261" s="31">
        <v>43811</v>
      </c>
      <c r="B2261" t="s">
        <v>4</v>
      </c>
      <c r="C2261" s="31">
        <v>1734</v>
      </c>
      <c r="D2261" t="s">
        <v>101</v>
      </c>
      <c r="E2261" t="s">
        <v>109</v>
      </c>
      <c r="F2261">
        <v>2</v>
      </c>
      <c r="G2261" t="s">
        <v>56</v>
      </c>
      <c r="H2261" t="s">
        <v>110</v>
      </c>
      <c r="I2261">
        <v>1</v>
      </c>
      <c r="J2261" s="19">
        <f>WEEKNUM(tblRidershipData[[#This Row],[MeasurementDate]])</f>
        <v>50</v>
      </c>
      <c r="K2261" s="19">
        <f>MONTH(tblRidershipData[[#This Row],[MeasurementDate]])</f>
        <v>12</v>
      </c>
    </row>
    <row r="2262" spans="1:11" x14ac:dyDescent="0.25">
      <c r="A2262" s="31">
        <v>43811</v>
      </c>
      <c r="B2262" t="s">
        <v>4</v>
      </c>
      <c r="C2262" s="31">
        <v>1734</v>
      </c>
      <c r="D2262" t="s">
        <v>101</v>
      </c>
      <c r="E2262" t="s">
        <v>109</v>
      </c>
      <c r="F2262">
        <v>2</v>
      </c>
      <c r="G2262" t="s">
        <v>62</v>
      </c>
      <c r="H2262" t="s">
        <v>110</v>
      </c>
      <c r="I2262">
        <v>5</v>
      </c>
      <c r="J2262" s="19">
        <f>WEEKNUM(tblRidershipData[[#This Row],[MeasurementDate]])</f>
        <v>50</v>
      </c>
      <c r="K2262" s="19">
        <f>MONTH(tblRidershipData[[#This Row],[MeasurementDate]])</f>
        <v>12</v>
      </c>
    </row>
    <row r="2263" spans="1:11" x14ac:dyDescent="0.25">
      <c r="A2263" s="31">
        <v>43811</v>
      </c>
      <c r="B2263" t="s">
        <v>4</v>
      </c>
      <c r="C2263" s="31">
        <v>1734</v>
      </c>
      <c r="D2263" t="s">
        <v>101</v>
      </c>
      <c r="E2263" t="s">
        <v>109</v>
      </c>
      <c r="F2263">
        <v>2</v>
      </c>
      <c r="G2263" t="s">
        <v>63</v>
      </c>
      <c r="H2263" t="s">
        <v>110</v>
      </c>
      <c r="I2263">
        <v>6</v>
      </c>
      <c r="J2263" s="19">
        <f>WEEKNUM(tblRidershipData[[#This Row],[MeasurementDate]])</f>
        <v>50</v>
      </c>
      <c r="K2263" s="19">
        <f>MONTH(tblRidershipData[[#This Row],[MeasurementDate]])</f>
        <v>12</v>
      </c>
    </row>
    <row r="2264" spans="1:11" x14ac:dyDescent="0.25">
      <c r="A2264" s="31">
        <v>43811</v>
      </c>
      <c r="B2264" t="s">
        <v>4</v>
      </c>
      <c r="C2264" s="31">
        <v>1734</v>
      </c>
      <c r="D2264" t="s">
        <v>101</v>
      </c>
      <c r="E2264" t="s">
        <v>109</v>
      </c>
      <c r="F2264">
        <v>2</v>
      </c>
      <c r="G2264" t="s">
        <v>64</v>
      </c>
      <c r="H2264" t="s">
        <v>110</v>
      </c>
      <c r="I2264">
        <v>13</v>
      </c>
      <c r="J2264" s="19">
        <f>WEEKNUM(tblRidershipData[[#This Row],[MeasurementDate]])</f>
        <v>50</v>
      </c>
      <c r="K2264" s="19">
        <f>MONTH(tblRidershipData[[#This Row],[MeasurementDate]])</f>
        <v>12</v>
      </c>
    </row>
    <row r="2265" spans="1:11" x14ac:dyDescent="0.25">
      <c r="A2265" s="31">
        <v>43811</v>
      </c>
      <c r="B2265" t="s">
        <v>4</v>
      </c>
      <c r="C2265" s="31">
        <v>1734</v>
      </c>
      <c r="D2265" t="s">
        <v>101</v>
      </c>
      <c r="E2265" t="s">
        <v>109</v>
      </c>
      <c r="F2265">
        <v>2</v>
      </c>
      <c r="G2265" t="s">
        <v>67</v>
      </c>
      <c r="H2265" t="s">
        <v>110</v>
      </c>
      <c r="I2265">
        <v>10</v>
      </c>
      <c r="J2265" s="19">
        <f>WEEKNUM(tblRidershipData[[#This Row],[MeasurementDate]])</f>
        <v>50</v>
      </c>
      <c r="K2265" s="19">
        <f>MONTH(tblRidershipData[[#This Row],[MeasurementDate]])</f>
        <v>12</v>
      </c>
    </row>
    <row r="2266" spans="1:11" x14ac:dyDescent="0.25">
      <c r="A2266" s="31">
        <v>43811</v>
      </c>
      <c r="B2266" t="s">
        <v>4</v>
      </c>
      <c r="C2266" s="31">
        <v>1734</v>
      </c>
      <c r="D2266" t="s">
        <v>101</v>
      </c>
      <c r="E2266" t="s">
        <v>109</v>
      </c>
      <c r="F2266">
        <v>2</v>
      </c>
      <c r="G2266" t="s">
        <v>73</v>
      </c>
      <c r="H2266" t="s">
        <v>110</v>
      </c>
      <c r="I2266">
        <v>1</v>
      </c>
      <c r="J2266" s="19">
        <f>WEEKNUM(tblRidershipData[[#This Row],[MeasurementDate]])</f>
        <v>50</v>
      </c>
      <c r="K2266" s="19">
        <f>MONTH(tblRidershipData[[#This Row],[MeasurementDate]])</f>
        <v>12</v>
      </c>
    </row>
    <row r="2267" spans="1:11" x14ac:dyDescent="0.25">
      <c r="A2267" s="31">
        <v>43811</v>
      </c>
      <c r="B2267" t="s">
        <v>5</v>
      </c>
      <c r="C2267" s="31">
        <v>1734</v>
      </c>
      <c r="D2267" t="s">
        <v>89</v>
      </c>
      <c r="E2267" t="s">
        <v>111</v>
      </c>
      <c r="F2267">
        <v>1</v>
      </c>
      <c r="G2267" t="s">
        <v>45</v>
      </c>
      <c r="H2267" t="s">
        <v>112</v>
      </c>
      <c r="I2267">
        <v>4</v>
      </c>
      <c r="J2267" s="19">
        <f>WEEKNUM(tblRidershipData[[#This Row],[MeasurementDate]])</f>
        <v>50</v>
      </c>
      <c r="K2267" s="19">
        <f>MONTH(tblRidershipData[[#This Row],[MeasurementDate]])</f>
        <v>12</v>
      </c>
    </row>
    <row r="2268" spans="1:11" x14ac:dyDescent="0.25">
      <c r="A2268" s="31">
        <v>43811</v>
      </c>
      <c r="B2268" t="s">
        <v>5</v>
      </c>
      <c r="C2268" s="31">
        <v>1734</v>
      </c>
      <c r="D2268" t="s">
        <v>89</v>
      </c>
      <c r="E2268" t="s">
        <v>111</v>
      </c>
      <c r="F2268">
        <v>1</v>
      </c>
      <c r="G2268" t="s">
        <v>47</v>
      </c>
      <c r="H2268" t="s">
        <v>112</v>
      </c>
      <c r="I2268">
        <v>2</v>
      </c>
      <c r="J2268" s="19">
        <f>WEEKNUM(tblRidershipData[[#This Row],[MeasurementDate]])</f>
        <v>50</v>
      </c>
      <c r="K2268" s="19">
        <f>MONTH(tblRidershipData[[#This Row],[MeasurementDate]])</f>
        <v>12</v>
      </c>
    </row>
    <row r="2269" spans="1:11" x14ac:dyDescent="0.25">
      <c r="A2269" s="31">
        <v>43811</v>
      </c>
      <c r="B2269" t="s">
        <v>5</v>
      </c>
      <c r="C2269" s="31">
        <v>1734</v>
      </c>
      <c r="D2269" t="s">
        <v>89</v>
      </c>
      <c r="E2269" t="s">
        <v>111</v>
      </c>
      <c r="F2269">
        <v>1</v>
      </c>
      <c r="G2269" t="s">
        <v>48</v>
      </c>
      <c r="H2269" t="s">
        <v>112</v>
      </c>
      <c r="I2269">
        <v>4</v>
      </c>
      <c r="J2269" s="19">
        <f>WEEKNUM(tblRidershipData[[#This Row],[MeasurementDate]])</f>
        <v>50</v>
      </c>
      <c r="K2269" s="19">
        <f>MONTH(tblRidershipData[[#This Row],[MeasurementDate]])</f>
        <v>12</v>
      </c>
    </row>
    <row r="2270" spans="1:11" x14ac:dyDescent="0.25">
      <c r="A2270" s="31">
        <v>43811</v>
      </c>
      <c r="B2270" t="s">
        <v>5</v>
      </c>
      <c r="C2270" s="31">
        <v>1734</v>
      </c>
      <c r="D2270" t="s">
        <v>89</v>
      </c>
      <c r="E2270" t="s">
        <v>111</v>
      </c>
      <c r="F2270">
        <v>1</v>
      </c>
      <c r="G2270" t="s">
        <v>54</v>
      </c>
      <c r="H2270" t="s">
        <v>112</v>
      </c>
      <c r="I2270">
        <v>10</v>
      </c>
      <c r="J2270" s="19">
        <f>WEEKNUM(tblRidershipData[[#This Row],[MeasurementDate]])</f>
        <v>50</v>
      </c>
      <c r="K2270" s="19">
        <f>MONTH(tblRidershipData[[#This Row],[MeasurementDate]])</f>
        <v>12</v>
      </c>
    </row>
    <row r="2271" spans="1:11" x14ac:dyDescent="0.25">
      <c r="A2271" s="31">
        <v>43811</v>
      </c>
      <c r="B2271" t="s">
        <v>5</v>
      </c>
      <c r="C2271" s="31">
        <v>1734</v>
      </c>
      <c r="D2271" t="s">
        <v>89</v>
      </c>
      <c r="E2271" t="s">
        <v>111</v>
      </c>
      <c r="F2271">
        <v>1</v>
      </c>
      <c r="G2271" t="s">
        <v>56</v>
      </c>
      <c r="H2271" t="s">
        <v>112</v>
      </c>
      <c r="I2271">
        <v>3</v>
      </c>
      <c r="J2271" s="19">
        <f>WEEKNUM(tblRidershipData[[#This Row],[MeasurementDate]])</f>
        <v>50</v>
      </c>
      <c r="K2271" s="19">
        <f>MONTH(tblRidershipData[[#This Row],[MeasurementDate]])</f>
        <v>12</v>
      </c>
    </row>
    <row r="2272" spans="1:11" x14ac:dyDescent="0.25">
      <c r="A2272" s="31">
        <v>43811</v>
      </c>
      <c r="B2272" t="s">
        <v>5</v>
      </c>
      <c r="C2272" s="31">
        <v>1734</v>
      </c>
      <c r="D2272" t="s">
        <v>89</v>
      </c>
      <c r="E2272" t="s">
        <v>111</v>
      </c>
      <c r="F2272">
        <v>1</v>
      </c>
      <c r="G2272" t="s">
        <v>63</v>
      </c>
      <c r="H2272" t="s">
        <v>112</v>
      </c>
      <c r="I2272">
        <v>8</v>
      </c>
      <c r="J2272" s="19">
        <f>WEEKNUM(tblRidershipData[[#This Row],[MeasurementDate]])</f>
        <v>50</v>
      </c>
      <c r="K2272" s="19">
        <f>MONTH(tblRidershipData[[#This Row],[MeasurementDate]])</f>
        <v>12</v>
      </c>
    </row>
    <row r="2273" spans="1:11" x14ac:dyDescent="0.25">
      <c r="A2273" s="31">
        <v>43811</v>
      </c>
      <c r="B2273" t="s">
        <v>5</v>
      </c>
      <c r="C2273" s="31">
        <v>1734</v>
      </c>
      <c r="D2273" t="s">
        <v>89</v>
      </c>
      <c r="E2273" t="s">
        <v>111</v>
      </c>
      <c r="F2273">
        <v>1</v>
      </c>
      <c r="G2273" t="s">
        <v>64</v>
      </c>
      <c r="H2273" t="s">
        <v>112</v>
      </c>
      <c r="I2273">
        <v>5</v>
      </c>
      <c r="J2273" s="19">
        <f>WEEKNUM(tblRidershipData[[#This Row],[MeasurementDate]])</f>
        <v>50</v>
      </c>
      <c r="K2273" s="19">
        <f>MONTH(tblRidershipData[[#This Row],[MeasurementDate]])</f>
        <v>12</v>
      </c>
    </row>
    <row r="2274" spans="1:11" x14ac:dyDescent="0.25">
      <c r="A2274" s="31">
        <v>43811</v>
      </c>
      <c r="B2274" t="s">
        <v>5</v>
      </c>
      <c r="C2274" s="31">
        <v>1734</v>
      </c>
      <c r="D2274" t="s">
        <v>89</v>
      </c>
      <c r="E2274" t="s">
        <v>111</v>
      </c>
      <c r="F2274">
        <v>1</v>
      </c>
      <c r="G2274" t="s">
        <v>67</v>
      </c>
      <c r="H2274" t="s">
        <v>112</v>
      </c>
      <c r="I2274">
        <v>1</v>
      </c>
      <c r="J2274" s="19">
        <f>WEEKNUM(tblRidershipData[[#This Row],[MeasurementDate]])</f>
        <v>50</v>
      </c>
      <c r="K2274" s="19">
        <f>MONTH(tblRidershipData[[#This Row],[MeasurementDate]])</f>
        <v>12</v>
      </c>
    </row>
    <row r="2275" spans="1:11" x14ac:dyDescent="0.25">
      <c r="A2275" s="31">
        <v>43811</v>
      </c>
      <c r="B2275" t="s">
        <v>5</v>
      </c>
      <c r="C2275" s="31">
        <v>1734</v>
      </c>
      <c r="D2275" t="s">
        <v>89</v>
      </c>
      <c r="E2275" t="s">
        <v>111</v>
      </c>
      <c r="F2275">
        <v>1</v>
      </c>
      <c r="G2275" t="s">
        <v>73</v>
      </c>
      <c r="H2275" t="s">
        <v>112</v>
      </c>
      <c r="I2275">
        <v>5</v>
      </c>
      <c r="J2275" s="19">
        <f>WEEKNUM(tblRidershipData[[#This Row],[MeasurementDate]])</f>
        <v>50</v>
      </c>
      <c r="K2275" s="19">
        <f>MONTH(tblRidershipData[[#This Row],[MeasurementDate]])</f>
        <v>12</v>
      </c>
    </row>
    <row r="2276" spans="1:11" x14ac:dyDescent="0.25">
      <c r="A2276" s="31">
        <v>43811</v>
      </c>
      <c r="B2276" t="s">
        <v>5</v>
      </c>
      <c r="C2276" s="31">
        <v>1734</v>
      </c>
      <c r="D2276" t="s">
        <v>89</v>
      </c>
      <c r="E2276" t="s">
        <v>111</v>
      </c>
      <c r="F2276">
        <v>2</v>
      </c>
      <c r="G2276" t="s">
        <v>52</v>
      </c>
      <c r="H2276" t="s">
        <v>112</v>
      </c>
      <c r="I2276">
        <v>16</v>
      </c>
      <c r="J2276" s="19">
        <f>WEEKNUM(tblRidershipData[[#This Row],[MeasurementDate]])</f>
        <v>50</v>
      </c>
      <c r="K2276" s="19">
        <f>MONTH(tblRidershipData[[#This Row],[MeasurementDate]])</f>
        <v>12</v>
      </c>
    </row>
    <row r="2277" spans="1:11" x14ac:dyDescent="0.25">
      <c r="A2277" s="31">
        <v>43811</v>
      </c>
      <c r="B2277" t="s">
        <v>5</v>
      </c>
      <c r="C2277" s="31">
        <v>1734</v>
      </c>
      <c r="D2277" t="s">
        <v>89</v>
      </c>
      <c r="E2277" t="s">
        <v>111</v>
      </c>
      <c r="F2277">
        <v>2</v>
      </c>
      <c r="G2277" t="s">
        <v>54</v>
      </c>
      <c r="H2277" t="s">
        <v>112</v>
      </c>
      <c r="I2277">
        <v>3</v>
      </c>
      <c r="J2277" s="19">
        <f>WEEKNUM(tblRidershipData[[#This Row],[MeasurementDate]])</f>
        <v>50</v>
      </c>
      <c r="K2277" s="19">
        <f>MONTH(tblRidershipData[[#This Row],[MeasurementDate]])</f>
        <v>12</v>
      </c>
    </row>
    <row r="2278" spans="1:11" x14ac:dyDescent="0.25">
      <c r="A2278" s="31">
        <v>43811</v>
      </c>
      <c r="B2278" t="s">
        <v>5</v>
      </c>
      <c r="C2278" s="31">
        <v>1734</v>
      </c>
      <c r="D2278" t="s">
        <v>89</v>
      </c>
      <c r="E2278" t="s">
        <v>111</v>
      </c>
      <c r="F2278">
        <v>2</v>
      </c>
      <c r="G2278" t="s">
        <v>55</v>
      </c>
      <c r="H2278" t="s">
        <v>112</v>
      </c>
      <c r="I2278">
        <v>1</v>
      </c>
      <c r="J2278" s="19">
        <f>WEEKNUM(tblRidershipData[[#This Row],[MeasurementDate]])</f>
        <v>50</v>
      </c>
      <c r="K2278" s="19">
        <f>MONTH(tblRidershipData[[#This Row],[MeasurementDate]])</f>
        <v>12</v>
      </c>
    </row>
    <row r="2279" spans="1:11" x14ac:dyDescent="0.25">
      <c r="A2279" s="31">
        <v>43811</v>
      </c>
      <c r="B2279" t="s">
        <v>5</v>
      </c>
      <c r="C2279" s="31">
        <v>1734</v>
      </c>
      <c r="D2279" t="s">
        <v>89</v>
      </c>
      <c r="E2279" t="s">
        <v>111</v>
      </c>
      <c r="F2279">
        <v>2</v>
      </c>
      <c r="G2279" t="s">
        <v>59</v>
      </c>
      <c r="H2279" t="s">
        <v>112</v>
      </c>
      <c r="I2279">
        <v>11</v>
      </c>
      <c r="J2279" s="19">
        <f>WEEKNUM(tblRidershipData[[#This Row],[MeasurementDate]])</f>
        <v>50</v>
      </c>
      <c r="K2279" s="19">
        <f>MONTH(tblRidershipData[[#This Row],[MeasurementDate]])</f>
        <v>12</v>
      </c>
    </row>
    <row r="2280" spans="1:11" x14ac:dyDescent="0.25">
      <c r="A2280" s="31">
        <v>43811</v>
      </c>
      <c r="B2280" t="s">
        <v>5</v>
      </c>
      <c r="C2280" s="31">
        <v>1734</v>
      </c>
      <c r="D2280" t="s">
        <v>89</v>
      </c>
      <c r="E2280" t="s">
        <v>111</v>
      </c>
      <c r="F2280">
        <v>2</v>
      </c>
      <c r="G2280" t="s">
        <v>65</v>
      </c>
      <c r="H2280" t="s">
        <v>112</v>
      </c>
      <c r="I2280">
        <v>1</v>
      </c>
      <c r="J2280" s="19">
        <f>WEEKNUM(tblRidershipData[[#This Row],[MeasurementDate]])</f>
        <v>50</v>
      </c>
      <c r="K2280" s="19">
        <f>MONTH(tblRidershipData[[#This Row],[MeasurementDate]])</f>
        <v>12</v>
      </c>
    </row>
    <row r="2281" spans="1:11" x14ac:dyDescent="0.25">
      <c r="A2281" s="31">
        <v>43811</v>
      </c>
      <c r="B2281" t="s">
        <v>5</v>
      </c>
      <c r="C2281" s="31">
        <v>1734</v>
      </c>
      <c r="D2281" t="s">
        <v>89</v>
      </c>
      <c r="E2281" t="s">
        <v>111</v>
      </c>
      <c r="F2281">
        <v>2</v>
      </c>
      <c r="G2281" t="s">
        <v>67</v>
      </c>
      <c r="H2281" t="s">
        <v>112</v>
      </c>
      <c r="I2281">
        <v>11</v>
      </c>
      <c r="J2281" s="19">
        <f>WEEKNUM(tblRidershipData[[#This Row],[MeasurementDate]])</f>
        <v>50</v>
      </c>
      <c r="K2281" s="19">
        <f>MONTH(tblRidershipData[[#This Row],[MeasurementDate]])</f>
        <v>12</v>
      </c>
    </row>
    <row r="2282" spans="1:11" x14ac:dyDescent="0.25">
      <c r="A2282" s="31">
        <v>43811</v>
      </c>
      <c r="B2282" t="s">
        <v>5</v>
      </c>
      <c r="C2282" s="31">
        <v>1734</v>
      </c>
      <c r="D2282" t="s">
        <v>89</v>
      </c>
      <c r="E2282" t="s">
        <v>109</v>
      </c>
      <c r="F2282">
        <v>1</v>
      </c>
      <c r="G2282" t="s">
        <v>51</v>
      </c>
      <c r="H2282" t="s">
        <v>112</v>
      </c>
      <c r="I2282">
        <v>5</v>
      </c>
      <c r="J2282" s="19">
        <f>WEEKNUM(tblRidershipData[[#This Row],[MeasurementDate]])</f>
        <v>50</v>
      </c>
      <c r="K2282" s="19">
        <f>MONTH(tblRidershipData[[#This Row],[MeasurementDate]])</f>
        <v>12</v>
      </c>
    </row>
    <row r="2283" spans="1:11" x14ac:dyDescent="0.25">
      <c r="A2283" s="31">
        <v>43811</v>
      </c>
      <c r="B2283" t="s">
        <v>5</v>
      </c>
      <c r="C2283" s="31">
        <v>1734</v>
      </c>
      <c r="D2283" t="s">
        <v>89</v>
      </c>
      <c r="E2283" t="s">
        <v>109</v>
      </c>
      <c r="F2283">
        <v>1</v>
      </c>
      <c r="G2283" t="s">
        <v>52</v>
      </c>
      <c r="H2283" t="s">
        <v>112</v>
      </c>
      <c r="I2283">
        <v>35</v>
      </c>
      <c r="J2283" s="19">
        <f>WEEKNUM(tblRidershipData[[#This Row],[MeasurementDate]])</f>
        <v>50</v>
      </c>
      <c r="K2283" s="19">
        <f>MONTH(tblRidershipData[[#This Row],[MeasurementDate]])</f>
        <v>12</v>
      </c>
    </row>
    <row r="2284" spans="1:11" x14ac:dyDescent="0.25">
      <c r="A2284" s="31">
        <v>43811</v>
      </c>
      <c r="B2284" t="s">
        <v>5</v>
      </c>
      <c r="C2284" s="31">
        <v>1734</v>
      </c>
      <c r="D2284" t="s">
        <v>89</v>
      </c>
      <c r="E2284" t="s">
        <v>109</v>
      </c>
      <c r="F2284">
        <v>1</v>
      </c>
      <c r="G2284" t="s">
        <v>55</v>
      </c>
      <c r="H2284" t="s">
        <v>112</v>
      </c>
      <c r="I2284">
        <v>2</v>
      </c>
      <c r="J2284" s="19">
        <f>WEEKNUM(tblRidershipData[[#This Row],[MeasurementDate]])</f>
        <v>50</v>
      </c>
      <c r="K2284" s="19">
        <f>MONTH(tblRidershipData[[#This Row],[MeasurementDate]])</f>
        <v>12</v>
      </c>
    </row>
    <row r="2285" spans="1:11" x14ac:dyDescent="0.25">
      <c r="A2285" s="31">
        <v>43811</v>
      </c>
      <c r="B2285" t="s">
        <v>5</v>
      </c>
      <c r="C2285" s="31">
        <v>1734</v>
      </c>
      <c r="D2285" t="s">
        <v>89</v>
      </c>
      <c r="E2285" t="s">
        <v>109</v>
      </c>
      <c r="F2285">
        <v>1</v>
      </c>
      <c r="G2285" t="s">
        <v>65</v>
      </c>
      <c r="H2285" t="s">
        <v>112</v>
      </c>
      <c r="I2285">
        <v>1</v>
      </c>
      <c r="J2285" s="19">
        <f>WEEKNUM(tblRidershipData[[#This Row],[MeasurementDate]])</f>
        <v>50</v>
      </c>
      <c r="K2285" s="19">
        <f>MONTH(tblRidershipData[[#This Row],[MeasurementDate]])</f>
        <v>12</v>
      </c>
    </row>
    <row r="2286" spans="1:11" x14ac:dyDescent="0.25">
      <c r="A2286" s="31">
        <v>43811</v>
      </c>
      <c r="B2286" t="s">
        <v>5</v>
      </c>
      <c r="C2286" s="31">
        <v>1734</v>
      </c>
      <c r="D2286" t="s">
        <v>89</v>
      </c>
      <c r="E2286" t="s">
        <v>109</v>
      </c>
      <c r="F2286">
        <v>1</v>
      </c>
      <c r="G2286" t="s">
        <v>72</v>
      </c>
      <c r="H2286" t="s">
        <v>112</v>
      </c>
      <c r="I2286">
        <v>17</v>
      </c>
      <c r="J2286" s="19">
        <f>WEEKNUM(tblRidershipData[[#This Row],[MeasurementDate]])</f>
        <v>50</v>
      </c>
      <c r="K2286" s="19">
        <f>MONTH(tblRidershipData[[#This Row],[MeasurementDate]])</f>
        <v>12</v>
      </c>
    </row>
    <row r="2287" spans="1:11" x14ac:dyDescent="0.25">
      <c r="A2287" s="31">
        <v>43811</v>
      </c>
      <c r="B2287" t="s">
        <v>5</v>
      </c>
      <c r="C2287" s="31">
        <v>1734</v>
      </c>
      <c r="D2287" t="s">
        <v>89</v>
      </c>
      <c r="E2287" t="s">
        <v>109</v>
      </c>
      <c r="F2287">
        <v>2</v>
      </c>
      <c r="G2287" t="s">
        <v>45</v>
      </c>
      <c r="H2287" t="s">
        <v>112</v>
      </c>
      <c r="I2287">
        <v>2</v>
      </c>
      <c r="J2287" s="19">
        <f>WEEKNUM(tblRidershipData[[#This Row],[MeasurementDate]])</f>
        <v>50</v>
      </c>
      <c r="K2287" s="19">
        <f>MONTH(tblRidershipData[[#This Row],[MeasurementDate]])</f>
        <v>12</v>
      </c>
    </row>
    <row r="2288" spans="1:11" x14ac:dyDescent="0.25">
      <c r="A2288" s="31">
        <v>43811</v>
      </c>
      <c r="B2288" t="s">
        <v>5</v>
      </c>
      <c r="C2288" s="31">
        <v>1734</v>
      </c>
      <c r="D2288" t="s">
        <v>89</v>
      </c>
      <c r="E2288" t="s">
        <v>109</v>
      </c>
      <c r="F2288">
        <v>2</v>
      </c>
      <c r="G2288" t="s">
        <v>47</v>
      </c>
      <c r="H2288" t="s">
        <v>112</v>
      </c>
      <c r="I2288">
        <v>1</v>
      </c>
      <c r="J2288" s="19">
        <f>WEEKNUM(tblRidershipData[[#This Row],[MeasurementDate]])</f>
        <v>50</v>
      </c>
      <c r="K2288" s="19">
        <f>MONTH(tblRidershipData[[#This Row],[MeasurementDate]])</f>
        <v>12</v>
      </c>
    </row>
    <row r="2289" spans="1:11" x14ac:dyDescent="0.25">
      <c r="A2289" s="31">
        <v>43811</v>
      </c>
      <c r="B2289" t="s">
        <v>5</v>
      </c>
      <c r="C2289" s="31">
        <v>1734</v>
      </c>
      <c r="D2289" t="s">
        <v>89</v>
      </c>
      <c r="E2289" t="s">
        <v>109</v>
      </c>
      <c r="F2289">
        <v>2</v>
      </c>
      <c r="G2289" t="s">
        <v>54</v>
      </c>
      <c r="H2289" t="s">
        <v>112</v>
      </c>
      <c r="I2289">
        <v>20</v>
      </c>
      <c r="J2289" s="19">
        <f>WEEKNUM(tblRidershipData[[#This Row],[MeasurementDate]])</f>
        <v>50</v>
      </c>
      <c r="K2289" s="19">
        <f>MONTH(tblRidershipData[[#This Row],[MeasurementDate]])</f>
        <v>12</v>
      </c>
    </row>
    <row r="2290" spans="1:11" x14ac:dyDescent="0.25">
      <c r="A2290" s="31">
        <v>43811</v>
      </c>
      <c r="B2290" t="s">
        <v>5</v>
      </c>
      <c r="C2290" s="31">
        <v>1734</v>
      </c>
      <c r="D2290" t="s">
        <v>89</v>
      </c>
      <c r="E2290" t="s">
        <v>109</v>
      </c>
      <c r="F2290">
        <v>2</v>
      </c>
      <c r="G2290" t="s">
        <v>56</v>
      </c>
      <c r="H2290" t="s">
        <v>112</v>
      </c>
      <c r="I2290">
        <v>1</v>
      </c>
      <c r="J2290" s="19">
        <f>WEEKNUM(tblRidershipData[[#This Row],[MeasurementDate]])</f>
        <v>50</v>
      </c>
      <c r="K2290" s="19">
        <f>MONTH(tblRidershipData[[#This Row],[MeasurementDate]])</f>
        <v>12</v>
      </c>
    </row>
    <row r="2291" spans="1:11" x14ac:dyDescent="0.25">
      <c r="A2291" s="31">
        <v>43811</v>
      </c>
      <c r="B2291" t="s">
        <v>5</v>
      </c>
      <c r="C2291" s="31">
        <v>1734</v>
      </c>
      <c r="D2291" t="s">
        <v>89</v>
      </c>
      <c r="E2291" t="s">
        <v>109</v>
      </c>
      <c r="F2291">
        <v>2</v>
      </c>
      <c r="G2291" t="s">
        <v>62</v>
      </c>
      <c r="H2291" t="s">
        <v>112</v>
      </c>
      <c r="I2291">
        <v>3</v>
      </c>
      <c r="J2291" s="19">
        <f>WEEKNUM(tblRidershipData[[#This Row],[MeasurementDate]])</f>
        <v>50</v>
      </c>
      <c r="K2291" s="19">
        <f>MONTH(tblRidershipData[[#This Row],[MeasurementDate]])</f>
        <v>12</v>
      </c>
    </row>
    <row r="2292" spans="1:11" x14ac:dyDescent="0.25">
      <c r="A2292" s="31">
        <v>43811</v>
      </c>
      <c r="B2292" t="s">
        <v>5</v>
      </c>
      <c r="C2292" s="31">
        <v>1734</v>
      </c>
      <c r="D2292" t="s">
        <v>89</v>
      </c>
      <c r="E2292" t="s">
        <v>109</v>
      </c>
      <c r="F2292">
        <v>2</v>
      </c>
      <c r="G2292" t="s">
        <v>63</v>
      </c>
      <c r="H2292" t="s">
        <v>112</v>
      </c>
      <c r="I2292">
        <v>6</v>
      </c>
      <c r="J2292" s="19">
        <f>WEEKNUM(tblRidershipData[[#This Row],[MeasurementDate]])</f>
        <v>50</v>
      </c>
      <c r="K2292" s="19">
        <f>MONTH(tblRidershipData[[#This Row],[MeasurementDate]])</f>
        <v>12</v>
      </c>
    </row>
    <row r="2293" spans="1:11" x14ac:dyDescent="0.25">
      <c r="A2293" s="31">
        <v>43811</v>
      </c>
      <c r="B2293" t="s">
        <v>5</v>
      </c>
      <c r="C2293" s="31">
        <v>1734</v>
      </c>
      <c r="D2293" t="s">
        <v>89</v>
      </c>
      <c r="E2293" t="s">
        <v>109</v>
      </c>
      <c r="F2293">
        <v>2</v>
      </c>
      <c r="G2293" t="s">
        <v>64</v>
      </c>
      <c r="H2293" t="s">
        <v>112</v>
      </c>
      <c r="I2293">
        <v>13</v>
      </c>
      <c r="J2293" s="19">
        <f>WEEKNUM(tblRidershipData[[#This Row],[MeasurementDate]])</f>
        <v>50</v>
      </c>
      <c r="K2293" s="19">
        <f>MONTH(tblRidershipData[[#This Row],[MeasurementDate]])</f>
        <v>12</v>
      </c>
    </row>
    <row r="2294" spans="1:11" x14ac:dyDescent="0.25">
      <c r="A2294" s="31">
        <v>43811</v>
      </c>
      <c r="B2294" t="s">
        <v>5</v>
      </c>
      <c r="C2294" s="31">
        <v>1734</v>
      </c>
      <c r="D2294" t="s">
        <v>89</v>
      </c>
      <c r="E2294" t="s">
        <v>109</v>
      </c>
      <c r="F2294">
        <v>2</v>
      </c>
      <c r="G2294" t="s">
        <v>67</v>
      </c>
      <c r="H2294" t="s">
        <v>112</v>
      </c>
      <c r="I2294">
        <v>10</v>
      </c>
      <c r="J2294" s="19">
        <f>WEEKNUM(tblRidershipData[[#This Row],[MeasurementDate]])</f>
        <v>50</v>
      </c>
      <c r="K2294" s="19">
        <f>MONTH(tblRidershipData[[#This Row],[MeasurementDate]])</f>
        <v>12</v>
      </c>
    </row>
    <row r="2295" spans="1:11" x14ac:dyDescent="0.25">
      <c r="A2295" s="31">
        <v>43811</v>
      </c>
      <c r="B2295" t="s">
        <v>5</v>
      </c>
      <c r="C2295" s="31">
        <v>1734</v>
      </c>
      <c r="D2295" t="s">
        <v>89</v>
      </c>
      <c r="E2295" t="s">
        <v>109</v>
      </c>
      <c r="F2295">
        <v>2</v>
      </c>
      <c r="G2295" t="s">
        <v>73</v>
      </c>
      <c r="H2295" t="s">
        <v>112</v>
      </c>
      <c r="I2295">
        <v>1</v>
      </c>
      <c r="J2295" s="19">
        <f>WEEKNUM(tblRidershipData[[#This Row],[MeasurementDate]])</f>
        <v>50</v>
      </c>
      <c r="K2295" s="19">
        <f>MONTH(tblRidershipData[[#This Row],[MeasurementDate]])</f>
        <v>12</v>
      </c>
    </row>
    <row r="2296" spans="1:11" x14ac:dyDescent="0.25">
      <c r="A2296" s="31">
        <v>43811</v>
      </c>
      <c r="B2296" t="s">
        <v>5</v>
      </c>
      <c r="C2296" s="31">
        <v>1736</v>
      </c>
      <c r="D2296" t="s">
        <v>93</v>
      </c>
      <c r="E2296" t="s">
        <v>111</v>
      </c>
      <c r="F2296">
        <v>1</v>
      </c>
      <c r="G2296" t="s">
        <v>47</v>
      </c>
      <c r="H2296" t="s">
        <v>110</v>
      </c>
      <c r="I2296">
        <v>6</v>
      </c>
      <c r="J2296" s="19">
        <f>WEEKNUM(tblRidershipData[[#This Row],[MeasurementDate]])</f>
        <v>50</v>
      </c>
      <c r="K2296" s="19">
        <f>MONTH(tblRidershipData[[#This Row],[MeasurementDate]])</f>
        <v>12</v>
      </c>
    </row>
    <row r="2297" spans="1:11" x14ac:dyDescent="0.25">
      <c r="A2297" s="31">
        <v>43811</v>
      </c>
      <c r="B2297" t="s">
        <v>5</v>
      </c>
      <c r="C2297" s="31">
        <v>1736</v>
      </c>
      <c r="D2297" t="s">
        <v>93</v>
      </c>
      <c r="E2297" t="s">
        <v>111</v>
      </c>
      <c r="F2297">
        <v>1</v>
      </c>
      <c r="G2297" t="s">
        <v>54</v>
      </c>
      <c r="H2297" t="s">
        <v>110</v>
      </c>
      <c r="I2297">
        <v>13</v>
      </c>
      <c r="J2297" s="19">
        <f>WEEKNUM(tblRidershipData[[#This Row],[MeasurementDate]])</f>
        <v>50</v>
      </c>
      <c r="K2297" s="19">
        <f>MONTH(tblRidershipData[[#This Row],[MeasurementDate]])</f>
        <v>12</v>
      </c>
    </row>
    <row r="2298" spans="1:11" x14ac:dyDescent="0.25">
      <c r="A2298" s="31">
        <v>43811</v>
      </c>
      <c r="B2298" t="s">
        <v>5</v>
      </c>
      <c r="C2298" s="31">
        <v>1736</v>
      </c>
      <c r="D2298" t="s">
        <v>93</v>
      </c>
      <c r="E2298" t="s">
        <v>111</v>
      </c>
      <c r="F2298">
        <v>1</v>
      </c>
      <c r="G2298" t="s">
        <v>63</v>
      </c>
      <c r="H2298" t="s">
        <v>110</v>
      </c>
      <c r="I2298">
        <v>7</v>
      </c>
      <c r="J2298" s="19">
        <f>WEEKNUM(tblRidershipData[[#This Row],[MeasurementDate]])</f>
        <v>50</v>
      </c>
      <c r="K2298" s="19">
        <f>MONTH(tblRidershipData[[#This Row],[MeasurementDate]])</f>
        <v>12</v>
      </c>
    </row>
    <row r="2299" spans="1:11" x14ac:dyDescent="0.25">
      <c r="A2299" s="31">
        <v>43811</v>
      </c>
      <c r="B2299" t="s">
        <v>5</v>
      </c>
      <c r="C2299" s="31">
        <v>1736</v>
      </c>
      <c r="D2299" t="s">
        <v>93</v>
      </c>
      <c r="E2299" t="s">
        <v>111</v>
      </c>
      <c r="F2299">
        <v>1</v>
      </c>
      <c r="G2299" t="s">
        <v>73</v>
      </c>
      <c r="H2299" t="s">
        <v>110</v>
      </c>
      <c r="I2299">
        <v>2</v>
      </c>
      <c r="J2299" s="19">
        <f>WEEKNUM(tblRidershipData[[#This Row],[MeasurementDate]])</f>
        <v>50</v>
      </c>
      <c r="K2299" s="19">
        <f>MONTH(tblRidershipData[[#This Row],[MeasurementDate]])</f>
        <v>12</v>
      </c>
    </row>
    <row r="2300" spans="1:11" x14ac:dyDescent="0.25">
      <c r="A2300" s="31">
        <v>43811</v>
      </c>
      <c r="B2300" t="s">
        <v>5</v>
      </c>
      <c r="C2300" s="31">
        <v>1736</v>
      </c>
      <c r="D2300" t="s">
        <v>93</v>
      </c>
      <c r="E2300" t="s">
        <v>109</v>
      </c>
      <c r="F2300">
        <v>1</v>
      </c>
      <c r="G2300" t="s">
        <v>54</v>
      </c>
      <c r="H2300" t="s">
        <v>110</v>
      </c>
      <c r="I2300">
        <v>21</v>
      </c>
      <c r="J2300" s="19">
        <f>WEEKNUM(tblRidershipData[[#This Row],[MeasurementDate]])</f>
        <v>50</v>
      </c>
      <c r="K2300" s="19">
        <f>MONTH(tblRidershipData[[#This Row],[MeasurementDate]])</f>
        <v>12</v>
      </c>
    </row>
    <row r="2301" spans="1:11" x14ac:dyDescent="0.25">
      <c r="A2301" s="31">
        <v>43811</v>
      </c>
      <c r="B2301" t="s">
        <v>5</v>
      </c>
      <c r="C2301" s="31">
        <v>1736</v>
      </c>
      <c r="D2301" t="s">
        <v>93</v>
      </c>
      <c r="E2301" t="s">
        <v>109</v>
      </c>
      <c r="F2301">
        <v>1</v>
      </c>
      <c r="G2301" t="s">
        <v>67</v>
      </c>
      <c r="H2301" t="s">
        <v>110</v>
      </c>
      <c r="I2301">
        <v>52</v>
      </c>
      <c r="J2301" s="19">
        <f>WEEKNUM(tblRidershipData[[#This Row],[MeasurementDate]])</f>
        <v>50</v>
      </c>
      <c r="K2301" s="19">
        <f>MONTH(tblRidershipData[[#This Row],[MeasurementDate]])</f>
        <v>12</v>
      </c>
    </row>
    <row r="2302" spans="1:11" x14ac:dyDescent="0.25">
      <c r="A2302" s="31">
        <v>43811</v>
      </c>
      <c r="B2302" t="s">
        <v>5</v>
      </c>
      <c r="C2302" s="31">
        <v>1736</v>
      </c>
      <c r="D2302" t="s">
        <v>93</v>
      </c>
      <c r="E2302" t="s">
        <v>109</v>
      </c>
      <c r="F2302">
        <v>1</v>
      </c>
      <c r="G2302" t="s">
        <v>70</v>
      </c>
      <c r="H2302" t="s">
        <v>110</v>
      </c>
      <c r="I2302">
        <v>21</v>
      </c>
      <c r="J2302" s="19">
        <f>WEEKNUM(tblRidershipData[[#This Row],[MeasurementDate]])</f>
        <v>50</v>
      </c>
      <c r="K2302" s="19">
        <f>MONTH(tblRidershipData[[#This Row],[MeasurementDate]])</f>
        <v>12</v>
      </c>
    </row>
    <row r="2303" spans="1:11" x14ac:dyDescent="0.25">
      <c r="A2303" s="31">
        <v>43811</v>
      </c>
      <c r="B2303" t="s">
        <v>5</v>
      </c>
      <c r="C2303" s="31">
        <v>1736</v>
      </c>
      <c r="D2303" t="s">
        <v>93</v>
      </c>
      <c r="E2303" t="s">
        <v>109</v>
      </c>
      <c r="F2303">
        <v>1</v>
      </c>
      <c r="G2303" t="s">
        <v>73</v>
      </c>
      <c r="H2303" t="s">
        <v>110</v>
      </c>
      <c r="I2303">
        <v>54</v>
      </c>
      <c r="J2303" s="19">
        <f>WEEKNUM(tblRidershipData[[#This Row],[MeasurementDate]])</f>
        <v>50</v>
      </c>
      <c r="K2303" s="19">
        <f>MONTH(tblRidershipData[[#This Row],[MeasurementDate]])</f>
        <v>12</v>
      </c>
    </row>
    <row r="2304" spans="1:11" x14ac:dyDescent="0.25">
      <c r="A2304" s="31">
        <v>43811</v>
      </c>
      <c r="B2304" t="s">
        <v>5</v>
      </c>
      <c r="C2304" s="31">
        <v>1736</v>
      </c>
      <c r="D2304" t="s">
        <v>93</v>
      </c>
      <c r="E2304" t="s">
        <v>109</v>
      </c>
      <c r="F2304">
        <v>2</v>
      </c>
      <c r="G2304" t="s">
        <v>52</v>
      </c>
      <c r="H2304" t="s">
        <v>110</v>
      </c>
      <c r="I2304">
        <v>4</v>
      </c>
      <c r="J2304" s="19">
        <f>WEEKNUM(tblRidershipData[[#This Row],[MeasurementDate]])</f>
        <v>50</v>
      </c>
      <c r="K2304" s="19">
        <f>MONTH(tblRidershipData[[#This Row],[MeasurementDate]])</f>
        <v>12</v>
      </c>
    </row>
    <row r="2305" spans="1:11" x14ac:dyDescent="0.25">
      <c r="A2305" s="31">
        <v>43811</v>
      </c>
      <c r="B2305" t="s">
        <v>5</v>
      </c>
      <c r="C2305" s="31">
        <v>1736</v>
      </c>
      <c r="D2305" t="s">
        <v>93</v>
      </c>
      <c r="E2305" t="s">
        <v>111</v>
      </c>
      <c r="F2305">
        <v>1</v>
      </c>
      <c r="G2305" t="s">
        <v>52</v>
      </c>
      <c r="H2305" t="s">
        <v>112</v>
      </c>
      <c r="I2305">
        <v>20</v>
      </c>
      <c r="J2305" s="19">
        <f>WEEKNUM(tblRidershipData[[#This Row],[MeasurementDate]])</f>
        <v>50</v>
      </c>
      <c r="K2305" s="19">
        <f>MONTH(tblRidershipData[[#This Row],[MeasurementDate]])</f>
        <v>12</v>
      </c>
    </row>
    <row r="2306" spans="1:11" x14ac:dyDescent="0.25">
      <c r="A2306" s="31">
        <v>43811</v>
      </c>
      <c r="B2306" t="s">
        <v>5</v>
      </c>
      <c r="C2306" s="31">
        <v>1736</v>
      </c>
      <c r="D2306" t="s">
        <v>93</v>
      </c>
      <c r="E2306" t="s">
        <v>111</v>
      </c>
      <c r="F2306">
        <v>1</v>
      </c>
      <c r="G2306" t="s">
        <v>67</v>
      </c>
      <c r="H2306" t="s">
        <v>112</v>
      </c>
      <c r="I2306">
        <v>2</v>
      </c>
      <c r="J2306" s="19">
        <f>WEEKNUM(tblRidershipData[[#This Row],[MeasurementDate]])</f>
        <v>50</v>
      </c>
      <c r="K2306" s="19">
        <f>MONTH(tblRidershipData[[#This Row],[MeasurementDate]])</f>
        <v>12</v>
      </c>
    </row>
    <row r="2307" spans="1:11" x14ac:dyDescent="0.25">
      <c r="A2307" s="31">
        <v>43811</v>
      </c>
      <c r="B2307" t="s">
        <v>5</v>
      </c>
      <c r="C2307" s="31">
        <v>1736</v>
      </c>
      <c r="D2307" t="s">
        <v>93</v>
      </c>
      <c r="E2307" t="s">
        <v>111</v>
      </c>
      <c r="F2307">
        <v>1</v>
      </c>
      <c r="G2307" t="s">
        <v>72</v>
      </c>
      <c r="H2307" t="s">
        <v>112</v>
      </c>
      <c r="I2307">
        <v>9</v>
      </c>
      <c r="J2307" s="19">
        <f>WEEKNUM(tblRidershipData[[#This Row],[MeasurementDate]])</f>
        <v>50</v>
      </c>
      <c r="K2307" s="19">
        <f>MONTH(tblRidershipData[[#This Row],[MeasurementDate]])</f>
        <v>12</v>
      </c>
    </row>
    <row r="2308" spans="1:11" x14ac:dyDescent="0.25">
      <c r="A2308" s="31">
        <v>43811</v>
      </c>
      <c r="B2308" t="s">
        <v>5</v>
      </c>
      <c r="C2308" s="31">
        <v>1736</v>
      </c>
      <c r="D2308" t="s">
        <v>93</v>
      </c>
      <c r="E2308" t="s">
        <v>111</v>
      </c>
      <c r="F2308">
        <v>2</v>
      </c>
      <c r="G2308" t="s">
        <v>52</v>
      </c>
      <c r="H2308" t="s">
        <v>112</v>
      </c>
      <c r="I2308">
        <v>5</v>
      </c>
      <c r="J2308" s="19">
        <f>WEEKNUM(tblRidershipData[[#This Row],[MeasurementDate]])</f>
        <v>50</v>
      </c>
      <c r="K2308" s="19">
        <f>MONTH(tblRidershipData[[#This Row],[MeasurementDate]])</f>
        <v>12</v>
      </c>
    </row>
    <row r="2309" spans="1:11" x14ac:dyDescent="0.25">
      <c r="A2309" s="31">
        <v>43811</v>
      </c>
      <c r="B2309" t="s">
        <v>5</v>
      </c>
      <c r="C2309" s="31">
        <v>4301</v>
      </c>
      <c r="D2309" t="s">
        <v>91</v>
      </c>
      <c r="E2309" t="s">
        <v>111</v>
      </c>
      <c r="F2309">
        <v>1</v>
      </c>
      <c r="G2309" t="s">
        <v>45</v>
      </c>
      <c r="H2309" t="s">
        <v>110</v>
      </c>
      <c r="I2309">
        <v>5</v>
      </c>
      <c r="J2309" s="19">
        <f>WEEKNUM(tblRidershipData[[#This Row],[MeasurementDate]])</f>
        <v>50</v>
      </c>
      <c r="K2309" s="19">
        <f>MONTH(tblRidershipData[[#This Row],[MeasurementDate]])</f>
        <v>12</v>
      </c>
    </row>
    <row r="2310" spans="1:11" x14ac:dyDescent="0.25">
      <c r="A2310" s="31">
        <v>43811</v>
      </c>
      <c r="B2310" t="s">
        <v>5</v>
      </c>
      <c r="C2310" s="31">
        <v>4301</v>
      </c>
      <c r="D2310" t="s">
        <v>91</v>
      </c>
      <c r="E2310" t="s">
        <v>111</v>
      </c>
      <c r="F2310">
        <v>1</v>
      </c>
      <c r="G2310" t="s">
        <v>48</v>
      </c>
      <c r="H2310" t="s">
        <v>110</v>
      </c>
      <c r="I2310">
        <v>5</v>
      </c>
      <c r="J2310" s="19">
        <f>WEEKNUM(tblRidershipData[[#This Row],[MeasurementDate]])</f>
        <v>50</v>
      </c>
      <c r="K2310" s="19">
        <f>MONTH(tblRidershipData[[#This Row],[MeasurementDate]])</f>
        <v>12</v>
      </c>
    </row>
    <row r="2311" spans="1:11" x14ac:dyDescent="0.25">
      <c r="A2311" s="31">
        <v>43811</v>
      </c>
      <c r="B2311" t="s">
        <v>5</v>
      </c>
      <c r="C2311" s="31">
        <v>4301</v>
      </c>
      <c r="D2311" t="s">
        <v>91</v>
      </c>
      <c r="E2311" t="s">
        <v>111</v>
      </c>
      <c r="F2311">
        <v>1</v>
      </c>
      <c r="G2311" t="s">
        <v>49</v>
      </c>
      <c r="H2311" t="s">
        <v>110</v>
      </c>
      <c r="I2311">
        <v>1</v>
      </c>
      <c r="J2311" s="19">
        <f>WEEKNUM(tblRidershipData[[#This Row],[MeasurementDate]])</f>
        <v>50</v>
      </c>
      <c r="K2311" s="19">
        <f>MONTH(tblRidershipData[[#This Row],[MeasurementDate]])</f>
        <v>12</v>
      </c>
    </row>
    <row r="2312" spans="1:11" x14ac:dyDescent="0.25">
      <c r="A2312" s="31">
        <v>43811</v>
      </c>
      <c r="B2312" t="s">
        <v>5</v>
      </c>
      <c r="C2312" s="31">
        <v>4301</v>
      </c>
      <c r="D2312" t="s">
        <v>91</v>
      </c>
      <c r="E2312" t="s">
        <v>111</v>
      </c>
      <c r="F2312">
        <v>1</v>
      </c>
      <c r="G2312" t="s">
        <v>50</v>
      </c>
      <c r="H2312" t="s">
        <v>110</v>
      </c>
      <c r="I2312">
        <v>5</v>
      </c>
      <c r="J2312" s="19">
        <f>WEEKNUM(tblRidershipData[[#This Row],[MeasurementDate]])</f>
        <v>50</v>
      </c>
      <c r="K2312" s="19">
        <f>MONTH(tblRidershipData[[#This Row],[MeasurementDate]])</f>
        <v>12</v>
      </c>
    </row>
    <row r="2313" spans="1:11" x14ac:dyDescent="0.25">
      <c r="A2313" s="31">
        <v>43811</v>
      </c>
      <c r="B2313" t="s">
        <v>5</v>
      </c>
      <c r="C2313" s="31">
        <v>4301</v>
      </c>
      <c r="D2313" t="s">
        <v>91</v>
      </c>
      <c r="E2313" t="s">
        <v>111</v>
      </c>
      <c r="F2313">
        <v>1</v>
      </c>
      <c r="G2313" t="s">
        <v>54</v>
      </c>
      <c r="H2313" t="s">
        <v>110</v>
      </c>
      <c r="I2313">
        <v>6</v>
      </c>
      <c r="J2313" s="19">
        <f>WEEKNUM(tblRidershipData[[#This Row],[MeasurementDate]])</f>
        <v>50</v>
      </c>
      <c r="K2313" s="19">
        <f>MONTH(tblRidershipData[[#This Row],[MeasurementDate]])</f>
        <v>12</v>
      </c>
    </row>
    <row r="2314" spans="1:11" x14ac:dyDescent="0.25">
      <c r="A2314" s="31">
        <v>43811</v>
      </c>
      <c r="B2314" t="s">
        <v>5</v>
      </c>
      <c r="C2314" s="31">
        <v>4301</v>
      </c>
      <c r="D2314" t="s">
        <v>91</v>
      </c>
      <c r="E2314" t="s">
        <v>111</v>
      </c>
      <c r="F2314">
        <v>1</v>
      </c>
      <c r="G2314" t="s">
        <v>56</v>
      </c>
      <c r="H2314" t="s">
        <v>110</v>
      </c>
      <c r="I2314">
        <v>2</v>
      </c>
      <c r="J2314" s="19">
        <f>WEEKNUM(tblRidershipData[[#This Row],[MeasurementDate]])</f>
        <v>50</v>
      </c>
      <c r="K2314" s="19">
        <f>MONTH(tblRidershipData[[#This Row],[MeasurementDate]])</f>
        <v>12</v>
      </c>
    </row>
    <row r="2315" spans="1:11" x14ac:dyDescent="0.25">
      <c r="A2315" s="31">
        <v>43811</v>
      </c>
      <c r="B2315" t="s">
        <v>5</v>
      </c>
      <c r="C2315" s="31">
        <v>4301</v>
      </c>
      <c r="D2315" t="s">
        <v>91</v>
      </c>
      <c r="E2315" t="s">
        <v>111</v>
      </c>
      <c r="F2315">
        <v>1</v>
      </c>
      <c r="G2315" t="s">
        <v>64</v>
      </c>
      <c r="H2315" t="s">
        <v>110</v>
      </c>
      <c r="I2315">
        <v>1</v>
      </c>
      <c r="J2315" s="19">
        <f>WEEKNUM(tblRidershipData[[#This Row],[MeasurementDate]])</f>
        <v>50</v>
      </c>
      <c r="K2315" s="19">
        <f>MONTH(tblRidershipData[[#This Row],[MeasurementDate]])</f>
        <v>12</v>
      </c>
    </row>
    <row r="2316" spans="1:11" x14ac:dyDescent="0.25">
      <c r="A2316" s="31">
        <v>43811</v>
      </c>
      <c r="B2316" t="s">
        <v>5</v>
      </c>
      <c r="C2316" s="31">
        <v>4301</v>
      </c>
      <c r="D2316" t="s">
        <v>91</v>
      </c>
      <c r="E2316" t="s">
        <v>111</v>
      </c>
      <c r="F2316">
        <v>1</v>
      </c>
      <c r="G2316" t="s">
        <v>67</v>
      </c>
      <c r="H2316" t="s">
        <v>110</v>
      </c>
      <c r="I2316">
        <v>3</v>
      </c>
      <c r="J2316" s="19">
        <f>WEEKNUM(tblRidershipData[[#This Row],[MeasurementDate]])</f>
        <v>50</v>
      </c>
      <c r="K2316" s="19">
        <f>MONTH(tblRidershipData[[#This Row],[MeasurementDate]])</f>
        <v>12</v>
      </c>
    </row>
    <row r="2317" spans="1:11" x14ac:dyDescent="0.25">
      <c r="A2317" s="31">
        <v>43811</v>
      </c>
      <c r="B2317" t="s">
        <v>5</v>
      </c>
      <c r="C2317" s="31">
        <v>4301</v>
      </c>
      <c r="D2317" t="s">
        <v>91</v>
      </c>
      <c r="E2317" t="s">
        <v>111</v>
      </c>
      <c r="F2317">
        <v>1</v>
      </c>
      <c r="G2317" t="s">
        <v>71</v>
      </c>
      <c r="H2317" t="s">
        <v>110</v>
      </c>
      <c r="I2317">
        <v>1</v>
      </c>
      <c r="J2317" s="19">
        <f>WEEKNUM(tblRidershipData[[#This Row],[MeasurementDate]])</f>
        <v>50</v>
      </c>
      <c r="K2317" s="19">
        <f>MONTH(tblRidershipData[[#This Row],[MeasurementDate]])</f>
        <v>12</v>
      </c>
    </row>
    <row r="2318" spans="1:11" x14ac:dyDescent="0.25">
      <c r="A2318" s="31">
        <v>43811</v>
      </c>
      <c r="B2318" t="s">
        <v>5</v>
      </c>
      <c r="C2318" s="31">
        <v>4301</v>
      </c>
      <c r="D2318" t="s">
        <v>91</v>
      </c>
      <c r="E2318" t="s">
        <v>109</v>
      </c>
      <c r="F2318">
        <v>1</v>
      </c>
      <c r="G2318" t="s">
        <v>64</v>
      </c>
      <c r="H2318" t="s">
        <v>110</v>
      </c>
      <c r="I2318">
        <v>23</v>
      </c>
      <c r="J2318" s="19">
        <f>WEEKNUM(tblRidershipData[[#This Row],[MeasurementDate]])</f>
        <v>50</v>
      </c>
      <c r="K2318" s="19">
        <f>MONTH(tblRidershipData[[#This Row],[MeasurementDate]])</f>
        <v>12</v>
      </c>
    </row>
    <row r="2319" spans="1:11" x14ac:dyDescent="0.25">
      <c r="A2319" s="31">
        <v>43811</v>
      </c>
      <c r="B2319" t="s">
        <v>5</v>
      </c>
      <c r="C2319" s="31">
        <v>4301</v>
      </c>
      <c r="D2319" t="s">
        <v>91</v>
      </c>
      <c r="E2319" t="s">
        <v>109</v>
      </c>
      <c r="F2319">
        <v>1</v>
      </c>
      <c r="G2319" t="s">
        <v>67</v>
      </c>
      <c r="H2319" t="s">
        <v>110</v>
      </c>
      <c r="I2319">
        <v>3</v>
      </c>
      <c r="J2319" s="19">
        <f>WEEKNUM(tblRidershipData[[#This Row],[MeasurementDate]])</f>
        <v>50</v>
      </c>
      <c r="K2319" s="19">
        <f>MONTH(tblRidershipData[[#This Row],[MeasurementDate]])</f>
        <v>12</v>
      </c>
    </row>
    <row r="2320" spans="1:11" x14ac:dyDescent="0.25">
      <c r="A2320" s="31">
        <v>43811</v>
      </c>
      <c r="B2320" t="s">
        <v>5</v>
      </c>
      <c r="C2320" s="31">
        <v>4301</v>
      </c>
      <c r="D2320" t="s">
        <v>91</v>
      </c>
      <c r="E2320" t="s">
        <v>109</v>
      </c>
      <c r="F2320">
        <v>1</v>
      </c>
      <c r="G2320" t="s">
        <v>73</v>
      </c>
      <c r="H2320" t="s">
        <v>110</v>
      </c>
      <c r="I2320">
        <v>31</v>
      </c>
      <c r="J2320" s="19">
        <f>WEEKNUM(tblRidershipData[[#This Row],[MeasurementDate]])</f>
        <v>50</v>
      </c>
      <c r="K2320" s="19">
        <f>MONTH(tblRidershipData[[#This Row],[MeasurementDate]])</f>
        <v>12</v>
      </c>
    </row>
    <row r="2321" spans="1:11" x14ac:dyDescent="0.25">
      <c r="A2321" s="31">
        <v>43811</v>
      </c>
      <c r="B2321" t="s">
        <v>5</v>
      </c>
      <c r="C2321" s="31">
        <v>4301</v>
      </c>
      <c r="D2321" t="s">
        <v>91</v>
      </c>
      <c r="E2321" t="s">
        <v>109</v>
      </c>
      <c r="F2321">
        <v>1</v>
      </c>
      <c r="G2321" t="s">
        <v>74</v>
      </c>
      <c r="H2321" t="s">
        <v>110</v>
      </c>
      <c r="I2321">
        <v>15</v>
      </c>
      <c r="J2321" s="19">
        <f>WEEKNUM(tblRidershipData[[#This Row],[MeasurementDate]])</f>
        <v>50</v>
      </c>
      <c r="K2321" s="19">
        <f>MONTH(tblRidershipData[[#This Row],[MeasurementDate]])</f>
        <v>12</v>
      </c>
    </row>
    <row r="2322" spans="1:11" x14ac:dyDescent="0.25">
      <c r="A2322" s="31">
        <v>43811</v>
      </c>
      <c r="B2322" t="s">
        <v>5</v>
      </c>
      <c r="C2322" s="31">
        <v>4301</v>
      </c>
      <c r="D2322" t="s">
        <v>91</v>
      </c>
      <c r="E2322" t="s">
        <v>111</v>
      </c>
      <c r="F2322">
        <v>1</v>
      </c>
      <c r="G2322" t="s">
        <v>52</v>
      </c>
      <c r="H2322" t="s">
        <v>112</v>
      </c>
      <c r="I2322">
        <v>21</v>
      </c>
      <c r="J2322" s="19">
        <f>WEEKNUM(tblRidershipData[[#This Row],[MeasurementDate]])</f>
        <v>50</v>
      </c>
      <c r="K2322" s="19">
        <f>MONTH(tblRidershipData[[#This Row],[MeasurementDate]])</f>
        <v>12</v>
      </c>
    </row>
    <row r="2323" spans="1:11" x14ac:dyDescent="0.25">
      <c r="A2323" s="31">
        <v>43811</v>
      </c>
      <c r="B2323" t="s">
        <v>5</v>
      </c>
      <c r="C2323" s="31">
        <v>4301</v>
      </c>
      <c r="D2323" t="s">
        <v>91</v>
      </c>
      <c r="E2323" t="s">
        <v>111</v>
      </c>
      <c r="F2323">
        <v>1</v>
      </c>
      <c r="G2323" t="s">
        <v>57</v>
      </c>
      <c r="H2323" t="s">
        <v>112</v>
      </c>
      <c r="I2323">
        <v>1</v>
      </c>
      <c r="J2323" s="19">
        <f>WEEKNUM(tblRidershipData[[#This Row],[MeasurementDate]])</f>
        <v>50</v>
      </c>
      <c r="K2323" s="19">
        <f>MONTH(tblRidershipData[[#This Row],[MeasurementDate]])</f>
        <v>12</v>
      </c>
    </row>
    <row r="2324" spans="1:11" x14ac:dyDescent="0.25">
      <c r="A2324" s="31">
        <v>43811</v>
      </c>
      <c r="B2324" t="s">
        <v>5</v>
      </c>
      <c r="C2324" s="31">
        <v>4301</v>
      </c>
      <c r="D2324" t="s">
        <v>91</v>
      </c>
      <c r="E2324" t="s">
        <v>111</v>
      </c>
      <c r="F2324">
        <v>1</v>
      </c>
      <c r="G2324" t="s">
        <v>67</v>
      </c>
      <c r="H2324" t="s">
        <v>112</v>
      </c>
      <c r="I2324">
        <v>2</v>
      </c>
      <c r="J2324" s="19">
        <f>WEEKNUM(tblRidershipData[[#This Row],[MeasurementDate]])</f>
        <v>50</v>
      </c>
      <c r="K2324" s="19">
        <f>MONTH(tblRidershipData[[#This Row],[MeasurementDate]])</f>
        <v>12</v>
      </c>
    </row>
    <row r="2325" spans="1:11" x14ac:dyDescent="0.25">
      <c r="A2325" s="31">
        <v>43811</v>
      </c>
      <c r="B2325" t="s">
        <v>5</v>
      </c>
      <c r="C2325" s="31">
        <v>4301</v>
      </c>
      <c r="D2325" t="s">
        <v>91</v>
      </c>
      <c r="E2325" t="s">
        <v>111</v>
      </c>
      <c r="F2325">
        <v>1</v>
      </c>
      <c r="G2325" t="s">
        <v>69</v>
      </c>
      <c r="H2325" t="s">
        <v>112</v>
      </c>
      <c r="I2325">
        <v>1</v>
      </c>
      <c r="J2325" s="19">
        <f>WEEKNUM(tblRidershipData[[#This Row],[MeasurementDate]])</f>
        <v>50</v>
      </c>
      <c r="K2325" s="19">
        <f>MONTH(tblRidershipData[[#This Row],[MeasurementDate]])</f>
        <v>12</v>
      </c>
    </row>
    <row r="2326" spans="1:11" x14ac:dyDescent="0.25">
      <c r="A2326" s="31">
        <v>43811</v>
      </c>
      <c r="B2326" t="s">
        <v>5</v>
      </c>
      <c r="C2326" s="31">
        <v>4301</v>
      </c>
      <c r="D2326" t="s">
        <v>91</v>
      </c>
      <c r="E2326" t="s">
        <v>111</v>
      </c>
      <c r="F2326">
        <v>1</v>
      </c>
      <c r="G2326" t="s">
        <v>72</v>
      </c>
      <c r="H2326" t="s">
        <v>112</v>
      </c>
      <c r="I2326">
        <v>4</v>
      </c>
      <c r="J2326" s="19">
        <f>WEEKNUM(tblRidershipData[[#This Row],[MeasurementDate]])</f>
        <v>50</v>
      </c>
      <c r="K2326" s="19">
        <f>MONTH(tblRidershipData[[#This Row],[MeasurementDate]])</f>
        <v>12</v>
      </c>
    </row>
    <row r="2327" spans="1:11" x14ac:dyDescent="0.25">
      <c r="A2327" s="31">
        <v>43811</v>
      </c>
      <c r="B2327" t="s">
        <v>5</v>
      </c>
      <c r="C2327" s="31">
        <v>4301</v>
      </c>
      <c r="D2327" t="s">
        <v>91</v>
      </c>
      <c r="E2327" t="s">
        <v>109</v>
      </c>
      <c r="F2327">
        <v>1</v>
      </c>
      <c r="G2327" t="s">
        <v>45</v>
      </c>
      <c r="H2327" t="s">
        <v>112</v>
      </c>
      <c r="I2327">
        <v>18</v>
      </c>
      <c r="J2327" s="19">
        <f>WEEKNUM(tblRidershipData[[#This Row],[MeasurementDate]])</f>
        <v>50</v>
      </c>
      <c r="K2327" s="19">
        <f>MONTH(tblRidershipData[[#This Row],[MeasurementDate]])</f>
        <v>12</v>
      </c>
    </row>
    <row r="2328" spans="1:11" x14ac:dyDescent="0.25">
      <c r="A2328" s="31">
        <v>43811</v>
      </c>
      <c r="B2328" t="s">
        <v>5</v>
      </c>
      <c r="C2328" s="31">
        <v>4301</v>
      </c>
      <c r="D2328" t="s">
        <v>91</v>
      </c>
      <c r="E2328" t="s">
        <v>109</v>
      </c>
      <c r="F2328">
        <v>1</v>
      </c>
      <c r="G2328" t="s">
        <v>47</v>
      </c>
      <c r="H2328" t="s">
        <v>112</v>
      </c>
      <c r="I2328">
        <v>4</v>
      </c>
      <c r="J2328" s="19">
        <f>WEEKNUM(tblRidershipData[[#This Row],[MeasurementDate]])</f>
        <v>50</v>
      </c>
      <c r="K2328" s="19">
        <f>MONTH(tblRidershipData[[#This Row],[MeasurementDate]])</f>
        <v>12</v>
      </c>
    </row>
    <row r="2329" spans="1:11" x14ac:dyDescent="0.25">
      <c r="A2329" s="31">
        <v>43811</v>
      </c>
      <c r="B2329" t="s">
        <v>5</v>
      </c>
      <c r="C2329" s="31">
        <v>4301</v>
      </c>
      <c r="D2329" t="s">
        <v>91</v>
      </c>
      <c r="E2329" t="s">
        <v>109</v>
      </c>
      <c r="F2329">
        <v>1</v>
      </c>
      <c r="G2329" t="s">
        <v>56</v>
      </c>
      <c r="H2329" t="s">
        <v>112</v>
      </c>
      <c r="I2329">
        <v>6</v>
      </c>
      <c r="J2329" s="19">
        <f>WEEKNUM(tblRidershipData[[#This Row],[MeasurementDate]])</f>
        <v>50</v>
      </c>
      <c r="K2329" s="19">
        <f>MONTH(tblRidershipData[[#This Row],[MeasurementDate]])</f>
        <v>12</v>
      </c>
    </row>
    <row r="2330" spans="1:11" x14ac:dyDescent="0.25">
      <c r="A2330" s="31">
        <v>43811</v>
      </c>
      <c r="B2330" t="s">
        <v>5</v>
      </c>
      <c r="C2330" s="31">
        <v>4301</v>
      </c>
      <c r="D2330" t="s">
        <v>91</v>
      </c>
      <c r="E2330" t="s">
        <v>109</v>
      </c>
      <c r="F2330">
        <v>1</v>
      </c>
      <c r="G2330" t="s">
        <v>62</v>
      </c>
      <c r="H2330" t="s">
        <v>112</v>
      </c>
      <c r="I2330">
        <v>4</v>
      </c>
      <c r="J2330" s="19">
        <f>WEEKNUM(tblRidershipData[[#This Row],[MeasurementDate]])</f>
        <v>50</v>
      </c>
      <c r="K2330" s="19">
        <f>MONTH(tblRidershipData[[#This Row],[MeasurementDate]])</f>
        <v>12</v>
      </c>
    </row>
    <row r="2331" spans="1:11" x14ac:dyDescent="0.25">
      <c r="A2331" s="31">
        <v>43811</v>
      </c>
      <c r="B2331" t="s">
        <v>5</v>
      </c>
      <c r="C2331" s="31">
        <v>4301</v>
      </c>
      <c r="D2331" t="s">
        <v>91</v>
      </c>
      <c r="E2331" t="s">
        <v>109</v>
      </c>
      <c r="F2331">
        <v>1</v>
      </c>
      <c r="G2331" t="s">
        <v>67</v>
      </c>
      <c r="H2331" t="s">
        <v>112</v>
      </c>
      <c r="I2331">
        <v>17</v>
      </c>
      <c r="J2331" s="19">
        <f>WEEKNUM(tblRidershipData[[#This Row],[MeasurementDate]])</f>
        <v>50</v>
      </c>
      <c r="K2331" s="19">
        <f>MONTH(tblRidershipData[[#This Row],[MeasurementDate]])</f>
        <v>12</v>
      </c>
    </row>
    <row r="2332" spans="1:11" x14ac:dyDescent="0.25">
      <c r="A2332" s="31">
        <v>43811</v>
      </c>
      <c r="B2332" t="s">
        <v>5</v>
      </c>
      <c r="C2332" s="31">
        <v>4301</v>
      </c>
      <c r="D2332" t="s">
        <v>91</v>
      </c>
      <c r="E2332" t="s">
        <v>109</v>
      </c>
      <c r="F2332">
        <v>1</v>
      </c>
      <c r="G2332" t="s">
        <v>72</v>
      </c>
      <c r="H2332" t="s">
        <v>112</v>
      </c>
      <c r="I2332">
        <v>3</v>
      </c>
      <c r="J2332" s="19">
        <f>WEEKNUM(tblRidershipData[[#This Row],[MeasurementDate]])</f>
        <v>50</v>
      </c>
      <c r="K2332" s="19">
        <f>MONTH(tblRidershipData[[#This Row],[MeasurementDate]])</f>
        <v>12</v>
      </c>
    </row>
    <row r="2333" spans="1:11" x14ac:dyDescent="0.25">
      <c r="A2333" s="31">
        <v>43811</v>
      </c>
      <c r="B2333" t="s">
        <v>5</v>
      </c>
      <c r="C2333" s="31">
        <v>4301</v>
      </c>
      <c r="D2333" t="s">
        <v>91</v>
      </c>
      <c r="E2333" t="s">
        <v>109</v>
      </c>
      <c r="F2333">
        <v>1</v>
      </c>
      <c r="G2333" t="s">
        <v>73</v>
      </c>
      <c r="H2333" t="s">
        <v>112</v>
      </c>
      <c r="I2333">
        <v>4</v>
      </c>
      <c r="J2333" s="19">
        <f>WEEKNUM(tblRidershipData[[#This Row],[MeasurementDate]])</f>
        <v>50</v>
      </c>
      <c r="K2333" s="19">
        <f>MONTH(tblRidershipData[[#This Row],[MeasurementDate]])</f>
        <v>12</v>
      </c>
    </row>
    <row r="2334" spans="1:11" x14ac:dyDescent="0.25">
      <c r="A2334" s="31">
        <v>43811</v>
      </c>
      <c r="B2334" t="s">
        <v>5</v>
      </c>
      <c r="C2334" s="31">
        <v>4301</v>
      </c>
      <c r="D2334" t="s">
        <v>91</v>
      </c>
      <c r="E2334" t="s">
        <v>109</v>
      </c>
      <c r="F2334">
        <v>2</v>
      </c>
      <c r="G2334" t="s">
        <v>45</v>
      </c>
      <c r="H2334" t="s">
        <v>112</v>
      </c>
      <c r="I2334">
        <v>1</v>
      </c>
      <c r="J2334" s="19">
        <f>WEEKNUM(tblRidershipData[[#This Row],[MeasurementDate]])</f>
        <v>50</v>
      </c>
      <c r="K2334" s="19">
        <f>MONTH(tblRidershipData[[#This Row],[MeasurementDate]])</f>
        <v>12</v>
      </c>
    </row>
    <row r="2335" spans="1:11" x14ac:dyDescent="0.25">
      <c r="A2335" s="31">
        <v>43811</v>
      </c>
      <c r="B2335" t="s">
        <v>5</v>
      </c>
      <c r="C2335" s="31">
        <v>4301</v>
      </c>
      <c r="D2335" t="s">
        <v>91</v>
      </c>
      <c r="E2335" t="s">
        <v>109</v>
      </c>
      <c r="F2335">
        <v>2</v>
      </c>
      <c r="G2335" t="s">
        <v>47</v>
      </c>
      <c r="H2335" t="s">
        <v>112</v>
      </c>
      <c r="I2335">
        <v>3</v>
      </c>
      <c r="J2335" s="19">
        <f>WEEKNUM(tblRidershipData[[#This Row],[MeasurementDate]])</f>
        <v>50</v>
      </c>
      <c r="K2335" s="19">
        <f>MONTH(tblRidershipData[[#This Row],[MeasurementDate]])</f>
        <v>12</v>
      </c>
    </row>
    <row r="2336" spans="1:11" x14ac:dyDescent="0.25">
      <c r="A2336" s="31">
        <v>43811</v>
      </c>
      <c r="B2336" t="s">
        <v>5</v>
      </c>
      <c r="C2336" s="31">
        <v>4301</v>
      </c>
      <c r="D2336" t="s">
        <v>91</v>
      </c>
      <c r="E2336" t="s">
        <v>109</v>
      </c>
      <c r="F2336">
        <v>2</v>
      </c>
      <c r="G2336" t="s">
        <v>62</v>
      </c>
      <c r="H2336" t="s">
        <v>112</v>
      </c>
      <c r="I2336">
        <v>12</v>
      </c>
      <c r="J2336" s="19">
        <f>WEEKNUM(tblRidershipData[[#This Row],[MeasurementDate]])</f>
        <v>50</v>
      </c>
      <c r="K2336" s="19">
        <f>MONTH(tblRidershipData[[#This Row],[MeasurementDate]])</f>
        <v>12</v>
      </c>
    </row>
    <row r="2337" spans="1:11" x14ac:dyDescent="0.25">
      <c r="A2337" s="31">
        <v>43811</v>
      </c>
      <c r="B2337" t="s">
        <v>5</v>
      </c>
      <c r="C2337" s="31">
        <v>4504</v>
      </c>
      <c r="D2337" t="s">
        <v>96</v>
      </c>
      <c r="E2337" t="s">
        <v>111</v>
      </c>
      <c r="F2337">
        <v>1</v>
      </c>
      <c r="G2337" t="s">
        <v>45</v>
      </c>
      <c r="H2337" t="s">
        <v>110</v>
      </c>
      <c r="I2337">
        <v>6</v>
      </c>
      <c r="J2337" s="19">
        <f>WEEKNUM(tblRidershipData[[#This Row],[MeasurementDate]])</f>
        <v>50</v>
      </c>
      <c r="K2337" s="19">
        <f>MONTH(tblRidershipData[[#This Row],[MeasurementDate]])</f>
        <v>12</v>
      </c>
    </row>
    <row r="2338" spans="1:11" x14ac:dyDescent="0.25">
      <c r="A2338" s="31">
        <v>43811</v>
      </c>
      <c r="B2338" t="s">
        <v>5</v>
      </c>
      <c r="C2338" s="31">
        <v>4504</v>
      </c>
      <c r="D2338" t="s">
        <v>96</v>
      </c>
      <c r="E2338" t="s">
        <v>111</v>
      </c>
      <c r="F2338">
        <v>1</v>
      </c>
      <c r="G2338" t="s">
        <v>47</v>
      </c>
      <c r="H2338" t="s">
        <v>110</v>
      </c>
      <c r="I2338">
        <v>13</v>
      </c>
      <c r="J2338" s="19">
        <f>WEEKNUM(tblRidershipData[[#This Row],[MeasurementDate]])</f>
        <v>50</v>
      </c>
      <c r="K2338" s="19">
        <f>MONTH(tblRidershipData[[#This Row],[MeasurementDate]])</f>
        <v>12</v>
      </c>
    </row>
    <row r="2339" spans="1:11" x14ac:dyDescent="0.25">
      <c r="A2339" s="31">
        <v>43811</v>
      </c>
      <c r="B2339" t="s">
        <v>5</v>
      </c>
      <c r="C2339" s="31">
        <v>4504</v>
      </c>
      <c r="D2339" t="s">
        <v>96</v>
      </c>
      <c r="E2339" t="s">
        <v>111</v>
      </c>
      <c r="F2339">
        <v>1</v>
      </c>
      <c r="G2339" t="s">
        <v>50</v>
      </c>
      <c r="H2339" t="s">
        <v>110</v>
      </c>
      <c r="I2339">
        <v>1</v>
      </c>
      <c r="J2339" s="19">
        <f>WEEKNUM(tblRidershipData[[#This Row],[MeasurementDate]])</f>
        <v>50</v>
      </c>
      <c r="K2339" s="19">
        <f>MONTH(tblRidershipData[[#This Row],[MeasurementDate]])</f>
        <v>12</v>
      </c>
    </row>
    <row r="2340" spans="1:11" x14ac:dyDescent="0.25">
      <c r="A2340" s="31">
        <v>43811</v>
      </c>
      <c r="B2340" t="s">
        <v>5</v>
      </c>
      <c r="C2340" s="31">
        <v>4504</v>
      </c>
      <c r="D2340" t="s">
        <v>96</v>
      </c>
      <c r="E2340" t="s">
        <v>111</v>
      </c>
      <c r="F2340">
        <v>1</v>
      </c>
      <c r="G2340" t="s">
        <v>58</v>
      </c>
      <c r="H2340" t="s">
        <v>110</v>
      </c>
      <c r="I2340">
        <v>5</v>
      </c>
      <c r="J2340" s="19">
        <f>WEEKNUM(tblRidershipData[[#This Row],[MeasurementDate]])</f>
        <v>50</v>
      </c>
      <c r="K2340" s="19">
        <f>MONTH(tblRidershipData[[#This Row],[MeasurementDate]])</f>
        <v>12</v>
      </c>
    </row>
    <row r="2341" spans="1:11" x14ac:dyDescent="0.25">
      <c r="A2341" s="31">
        <v>43811</v>
      </c>
      <c r="B2341" t="s">
        <v>5</v>
      </c>
      <c r="C2341" s="31">
        <v>4504</v>
      </c>
      <c r="D2341" t="s">
        <v>96</v>
      </c>
      <c r="E2341" t="s">
        <v>111</v>
      </c>
      <c r="F2341">
        <v>1</v>
      </c>
      <c r="G2341" t="s">
        <v>62</v>
      </c>
      <c r="H2341" t="s">
        <v>110</v>
      </c>
      <c r="I2341">
        <v>5</v>
      </c>
      <c r="J2341" s="19">
        <f>WEEKNUM(tblRidershipData[[#This Row],[MeasurementDate]])</f>
        <v>50</v>
      </c>
      <c r="K2341" s="19">
        <f>MONTH(tblRidershipData[[#This Row],[MeasurementDate]])</f>
        <v>12</v>
      </c>
    </row>
    <row r="2342" spans="1:11" x14ac:dyDescent="0.25">
      <c r="A2342" s="31">
        <v>43811</v>
      </c>
      <c r="B2342" t="s">
        <v>5</v>
      </c>
      <c r="C2342" s="31">
        <v>4504</v>
      </c>
      <c r="D2342" t="s">
        <v>96</v>
      </c>
      <c r="E2342" t="s">
        <v>111</v>
      </c>
      <c r="F2342">
        <v>1</v>
      </c>
      <c r="G2342" t="s">
        <v>66</v>
      </c>
      <c r="H2342" t="s">
        <v>110</v>
      </c>
      <c r="I2342">
        <v>1</v>
      </c>
      <c r="J2342" s="19">
        <f>WEEKNUM(tblRidershipData[[#This Row],[MeasurementDate]])</f>
        <v>50</v>
      </c>
      <c r="K2342" s="19">
        <f>MONTH(tblRidershipData[[#This Row],[MeasurementDate]])</f>
        <v>12</v>
      </c>
    </row>
    <row r="2343" spans="1:11" x14ac:dyDescent="0.25">
      <c r="A2343" s="31">
        <v>43811</v>
      </c>
      <c r="B2343" t="s">
        <v>5</v>
      </c>
      <c r="C2343" s="31">
        <v>4504</v>
      </c>
      <c r="D2343" t="s">
        <v>96</v>
      </c>
      <c r="E2343" t="s">
        <v>111</v>
      </c>
      <c r="F2343">
        <v>1</v>
      </c>
      <c r="G2343" t="s">
        <v>73</v>
      </c>
      <c r="H2343" t="s">
        <v>110</v>
      </c>
      <c r="I2343">
        <v>3</v>
      </c>
      <c r="J2343" s="19">
        <f>WEEKNUM(tblRidershipData[[#This Row],[MeasurementDate]])</f>
        <v>50</v>
      </c>
      <c r="K2343" s="19">
        <f>MONTH(tblRidershipData[[#This Row],[MeasurementDate]])</f>
        <v>12</v>
      </c>
    </row>
    <row r="2344" spans="1:11" x14ac:dyDescent="0.25">
      <c r="A2344" s="31">
        <v>43811</v>
      </c>
      <c r="B2344" t="s">
        <v>5</v>
      </c>
      <c r="C2344" s="31">
        <v>4504</v>
      </c>
      <c r="D2344" t="s">
        <v>96</v>
      </c>
      <c r="E2344" t="s">
        <v>109</v>
      </c>
      <c r="F2344">
        <v>1</v>
      </c>
      <c r="G2344" t="s">
        <v>56</v>
      </c>
      <c r="H2344" t="s">
        <v>110</v>
      </c>
      <c r="I2344">
        <v>13</v>
      </c>
      <c r="J2344" s="19">
        <f>WEEKNUM(tblRidershipData[[#This Row],[MeasurementDate]])</f>
        <v>50</v>
      </c>
      <c r="K2344" s="19">
        <f>MONTH(tblRidershipData[[#This Row],[MeasurementDate]])</f>
        <v>12</v>
      </c>
    </row>
    <row r="2345" spans="1:11" x14ac:dyDescent="0.25">
      <c r="A2345" s="31">
        <v>43811</v>
      </c>
      <c r="B2345" t="s">
        <v>5</v>
      </c>
      <c r="C2345" s="31">
        <v>4504</v>
      </c>
      <c r="D2345" t="s">
        <v>96</v>
      </c>
      <c r="E2345" t="s">
        <v>109</v>
      </c>
      <c r="F2345">
        <v>1</v>
      </c>
      <c r="G2345" t="s">
        <v>59</v>
      </c>
      <c r="H2345" t="s">
        <v>110</v>
      </c>
      <c r="I2345">
        <v>14</v>
      </c>
      <c r="J2345" s="19">
        <f>WEEKNUM(tblRidershipData[[#This Row],[MeasurementDate]])</f>
        <v>50</v>
      </c>
      <c r="K2345" s="19">
        <f>MONTH(tblRidershipData[[#This Row],[MeasurementDate]])</f>
        <v>12</v>
      </c>
    </row>
    <row r="2346" spans="1:11" x14ac:dyDescent="0.25">
      <c r="A2346" s="31">
        <v>43811</v>
      </c>
      <c r="B2346" t="s">
        <v>5</v>
      </c>
      <c r="C2346" s="31">
        <v>4504</v>
      </c>
      <c r="D2346" t="s">
        <v>96</v>
      </c>
      <c r="E2346" t="s">
        <v>109</v>
      </c>
      <c r="F2346">
        <v>1</v>
      </c>
      <c r="G2346" t="s">
        <v>64</v>
      </c>
      <c r="H2346" t="s">
        <v>110</v>
      </c>
      <c r="I2346">
        <v>4</v>
      </c>
      <c r="J2346" s="19">
        <f>WEEKNUM(tblRidershipData[[#This Row],[MeasurementDate]])</f>
        <v>50</v>
      </c>
      <c r="K2346" s="19">
        <f>MONTH(tblRidershipData[[#This Row],[MeasurementDate]])</f>
        <v>12</v>
      </c>
    </row>
    <row r="2347" spans="1:11" x14ac:dyDescent="0.25">
      <c r="A2347" s="31">
        <v>43811</v>
      </c>
      <c r="B2347" t="s">
        <v>5</v>
      </c>
      <c r="C2347" s="31">
        <v>8311</v>
      </c>
      <c r="D2347" t="s">
        <v>98</v>
      </c>
      <c r="E2347" t="s">
        <v>111</v>
      </c>
      <c r="F2347">
        <v>1</v>
      </c>
      <c r="G2347" t="s">
        <v>43</v>
      </c>
      <c r="H2347" t="s">
        <v>110</v>
      </c>
      <c r="I2347">
        <v>11</v>
      </c>
      <c r="J2347" s="19">
        <f>WEEKNUM(tblRidershipData[[#This Row],[MeasurementDate]])</f>
        <v>50</v>
      </c>
      <c r="K2347" s="19">
        <f>MONTH(tblRidershipData[[#This Row],[MeasurementDate]])</f>
        <v>12</v>
      </c>
    </row>
    <row r="2348" spans="1:11" x14ac:dyDescent="0.25">
      <c r="A2348" s="31">
        <v>43811</v>
      </c>
      <c r="B2348" t="s">
        <v>5</v>
      </c>
      <c r="C2348" s="31">
        <v>8311</v>
      </c>
      <c r="D2348" t="s">
        <v>98</v>
      </c>
      <c r="E2348" t="s">
        <v>111</v>
      </c>
      <c r="F2348">
        <v>1</v>
      </c>
      <c r="G2348" t="s">
        <v>45</v>
      </c>
      <c r="H2348" t="s">
        <v>110</v>
      </c>
      <c r="I2348">
        <v>6</v>
      </c>
      <c r="J2348" s="19">
        <f>WEEKNUM(tblRidershipData[[#This Row],[MeasurementDate]])</f>
        <v>50</v>
      </c>
      <c r="K2348" s="19">
        <f>MONTH(tblRidershipData[[#This Row],[MeasurementDate]])</f>
        <v>12</v>
      </c>
    </row>
    <row r="2349" spans="1:11" x14ac:dyDescent="0.25">
      <c r="A2349" s="31">
        <v>43811</v>
      </c>
      <c r="B2349" t="s">
        <v>5</v>
      </c>
      <c r="C2349" s="31">
        <v>8311</v>
      </c>
      <c r="D2349" t="s">
        <v>98</v>
      </c>
      <c r="E2349" t="s">
        <v>111</v>
      </c>
      <c r="F2349">
        <v>1</v>
      </c>
      <c r="G2349" t="s">
        <v>47</v>
      </c>
      <c r="H2349" t="s">
        <v>110</v>
      </c>
      <c r="I2349">
        <v>4</v>
      </c>
      <c r="J2349" s="19">
        <f>WEEKNUM(tblRidershipData[[#This Row],[MeasurementDate]])</f>
        <v>50</v>
      </c>
      <c r="K2349" s="19">
        <f>MONTH(tblRidershipData[[#This Row],[MeasurementDate]])</f>
        <v>12</v>
      </c>
    </row>
    <row r="2350" spans="1:11" x14ac:dyDescent="0.25">
      <c r="A2350" s="31">
        <v>43811</v>
      </c>
      <c r="B2350" t="s">
        <v>5</v>
      </c>
      <c r="C2350" s="31">
        <v>8311</v>
      </c>
      <c r="D2350" t="s">
        <v>98</v>
      </c>
      <c r="E2350" t="s">
        <v>111</v>
      </c>
      <c r="F2350">
        <v>1</v>
      </c>
      <c r="G2350" t="s">
        <v>54</v>
      </c>
      <c r="H2350" t="s">
        <v>110</v>
      </c>
      <c r="I2350">
        <v>2</v>
      </c>
      <c r="J2350" s="19">
        <f>WEEKNUM(tblRidershipData[[#This Row],[MeasurementDate]])</f>
        <v>50</v>
      </c>
      <c r="K2350" s="19">
        <f>MONTH(tblRidershipData[[#This Row],[MeasurementDate]])</f>
        <v>12</v>
      </c>
    </row>
    <row r="2351" spans="1:11" x14ac:dyDescent="0.25">
      <c r="A2351" s="31">
        <v>43811</v>
      </c>
      <c r="B2351" t="s">
        <v>5</v>
      </c>
      <c r="C2351" s="31">
        <v>8311</v>
      </c>
      <c r="D2351" t="s">
        <v>98</v>
      </c>
      <c r="E2351" t="s">
        <v>111</v>
      </c>
      <c r="F2351">
        <v>1</v>
      </c>
      <c r="G2351" t="s">
        <v>55</v>
      </c>
      <c r="H2351" t="s">
        <v>110</v>
      </c>
      <c r="I2351">
        <v>7</v>
      </c>
      <c r="J2351" s="19">
        <f>WEEKNUM(tblRidershipData[[#This Row],[MeasurementDate]])</f>
        <v>50</v>
      </c>
      <c r="K2351" s="19">
        <f>MONTH(tblRidershipData[[#This Row],[MeasurementDate]])</f>
        <v>12</v>
      </c>
    </row>
    <row r="2352" spans="1:11" x14ac:dyDescent="0.25">
      <c r="A2352" s="31">
        <v>43811</v>
      </c>
      <c r="B2352" t="s">
        <v>5</v>
      </c>
      <c r="C2352" s="31">
        <v>8311</v>
      </c>
      <c r="D2352" t="s">
        <v>98</v>
      </c>
      <c r="E2352" t="s">
        <v>111</v>
      </c>
      <c r="F2352">
        <v>1</v>
      </c>
      <c r="G2352" t="s">
        <v>59</v>
      </c>
      <c r="H2352" t="s">
        <v>110</v>
      </c>
      <c r="I2352">
        <v>4</v>
      </c>
      <c r="J2352" s="19">
        <f>WEEKNUM(tblRidershipData[[#This Row],[MeasurementDate]])</f>
        <v>50</v>
      </c>
      <c r="K2352" s="19">
        <f>MONTH(tblRidershipData[[#This Row],[MeasurementDate]])</f>
        <v>12</v>
      </c>
    </row>
    <row r="2353" spans="1:11" x14ac:dyDescent="0.25">
      <c r="A2353" s="31">
        <v>43811</v>
      </c>
      <c r="B2353" t="s">
        <v>5</v>
      </c>
      <c r="C2353" s="31">
        <v>8311</v>
      </c>
      <c r="D2353" t="s">
        <v>98</v>
      </c>
      <c r="E2353" t="s">
        <v>111</v>
      </c>
      <c r="F2353">
        <v>1</v>
      </c>
      <c r="G2353" t="s">
        <v>67</v>
      </c>
      <c r="H2353" t="s">
        <v>110</v>
      </c>
      <c r="I2353">
        <v>3</v>
      </c>
      <c r="J2353" s="19">
        <f>WEEKNUM(tblRidershipData[[#This Row],[MeasurementDate]])</f>
        <v>50</v>
      </c>
      <c r="K2353" s="19">
        <f>MONTH(tblRidershipData[[#This Row],[MeasurementDate]])</f>
        <v>12</v>
      </c>
    </row>
    <row r="2354" spans="1:11" x14ac:dyDescent="0.25">
      <c r="A2354" s="31">
        <v>43811</v>
      </c>
      <c r="B2354" t="s">
        <v>5</v>
      </c>
      <c r="C2354" s="31">
        <v>8311</v>
      </c>
      <c r="D2354" t="s">
        <v>98</v>
      </c>
      <c r="E2354" t="s">
        <v>111</v>
      </c>
      <c r="F2354">
        <v>1</v>
      </c>
      <c r="G2354" t="s">
        <v>69</v>
      </c>
      <c r="H2354" t="s">
        <v>110</v>
      </c>
      <c r="I2354">
        <v>1</v>
      </c>
      <c r="J2354" s="19">
        <f>WEEKNUM(tblRidershipData[[#This Row],[MeasurementDate]])</f>
        <v>50</v>
      </c>
      <c r="K2354" s="19">
        <f>MONTH(tblRidershipData[[#This Row],[MeasurementDate]])</f>
        <v>12</v>
      </c>
    </row>
    <row r="2355" spans="1:11" x14ac:dyDescent="0.25">
      <c r="A2355" s="31">
        <v>43811</v>
      </c>
      <c r="B2355" t="s">
        <v>5</v>
      </c>
      <c r="C2355" s="31">
        <v>8311</v>
      </c>
      <c r="D2355" t="s">
        <v>98</v>
      </c>
      <c r="E2355" t="s">
        <v>111</v>
      </c>
      <c r="F2355">
        <v>1</v>
      </c>
      <c r="G2355" t="s">
        <v>72</v>
      </c>
      <c r="H2355" t="s">
        <v>110</v>
      </c>
      <c r="I2355">
        <v>1</v>
      </c>
      <c r="J2355" s="19">
        <f>WEEKNUM(tblRidershipData[[#This Row],[MeasurementDate]])</f>
        <v>50</v>
      </c>
      <c r="K2355" s="19">
        <f>MONTH(tblRidershipData[[#This Row],[MeasurementDate]])</f>
        <v>12</v>
      </c>
    </row>
    <row r="2356" spans="1:11" x14ac:dyDescent="0.25">
      <c r="A2356" s="31">
        <v>43811</v>
      </c>
      <c r="B2356" t="s">
        <v>5</v>
      </c>
      <c r="C2356" s="31">
        <v>8311</v>
      </c>
      <c r="D2356" t="s">
        <v>98</v>
      </c>
      <c r="E2356" t="s">
        <v>111</v>
      </c>
      <c r="F2356">
        <v>2</v>
      </c>
      <c r="G2356" t="s">
        <v>67</v>
      </c>
      <c r="H2356" t="s">
        <v>110</v>
      </c>
      <c r="I2356">
        <v>5</v>
      </c>
      <c r="J2356" s="19">
        <f>WEEKNUM(tblRidershipData[[#This Row],[MeasurementDate]])</f>
        <v>50</v>
      </c>
      <c r="K2356" s="19">
        <f>MONTH(tblRidershipData[[#This Row],[MeasurementDate]])</f>
        <v>12</v>
      </c>
    </row>
    <row r="2357" spans="1:11" x14ac:dyDescent="0.25">
      <c r="A2357" s="31">
        <v>43811</v>
      </c>
      <c r="B2357" t="s">
        <v>5</v>
      </c>
      <c r="C2357" s="31">
        <v>8311</v>
      </c>
      <c r="D2357" t="s">
        <v>98</v>
      </c>
      <c r="E2357" t="s">
        <v>109</v>
      </c>
      <c r="F2357">
        <v>1</v>
      </c>
      <c r="G2357" t="s">
        <v>67</v>
      </c>
      <c r="H2357" t="s">
        <v>110</v>
      </c>
      <c r="I2357">
        <v>24</v>
      </c>
      <c r="J2357" s="19">
        <f>WEEKNUM(tblRidershipData[[#This Row],[MeasurementDate]])</f>
        <v>50</v>
      </c>
      <c r="K2357" s="19">
        <f>MONTH(tblRidershipData[[#This Row],[MeasurementDate]])</f>
        <v>12</v>
      </c>
    </row>
    <row r="2358" spans="1:11" x14ac:dyDescent="0.25">
      <c r="A2358" s="31">
        <v>43811</v>
      </c>
      <c r="B2358" t="s">
        <v>5</v>
      </c>
      <c r="C2358" s="31">
        <v>8311</v>
      </c>
      <c r="D2358" t="s">
        <v>98</v>
      </c>
      <c r="E2358" t="s">
        <v>109</v>
      </c>
      <c r="F2358">
        <v>1</v>
      </c>
      <c r="G2358" t="s">
        <v>73</v>
      </c>
      <c r="H2358" t="s">
        <v>110</v>
      </c>
      <c r="I2358">
        <v>41</v>
      </c>
      <c r="J2358" s="19">
        <f>WEEKNUM(tblRidershipData[[#This Row],[MeasurementDate]])</f>
        <v>50</v>
      </c>
      <c r="K2358" s="19">
        <f>MONTH(tblRidershipData[[#This Row],[MeasurementDate]])</f>
        <v>12</v>
      </c>
    </row>
    <row r="2359" spans="1:11" x14ac:dyDescent="0.25">
      <c r="A2359" s="31">
        <v>43811</v>
      </c>
      <c r="B2359" t="s">
        <v>5</v>
      </c>
      <c r="C2359" s="31">
        <v>8311</v>
      </c>
      <c r="D2359" t="s">
        <v>98</v>
      </c>
      <c r="E2359" t="s">
        <v>109</v>
      </c>
      <c r="F2359">
        <v>1</v>
      </c>
      <c r="G2359" t="s">
        <v>74</v>
      </c>
      <c r="H2359" t="s">
        <v>110</v>
      </c>
      <c r="I2359">
        <v>2</v>
      </c>
      <c r="J2359" s="19">
        <f>WEEKNUM(tblRidershipData[[#This Row],[MeasurementDate]])</f>
        <v>50</v>
      </c>
      <c r="K2359" s="19">
        <f>MONTH(tblRidershipData[[#This Row],[MeasurementDate]])</f>
        <v>12</v>
      </c>
    </row>
    <row r="2360" spans="1:11" x14ac:dyDescent="0.25">
      <c r="A2360" s="31">
        <v>43811</v>
      </c>
      <c r="B2360" t="s">
        <v>5</v>
      </c>
      <c r="C2360" s="31">
        <v>8311</v>
      </c>
      <c r="D2360" t="s">
        <v>121</v>
      </c>
      <c r="E2360" t="s">
        <v>111</v>
      </c>
      <c r="F2360">
        <v>1</v>
      </c>
      <c r="G2360" t="s">
        <v>44</v>
      </c>
      <c r="H2360" t="s">
        <v>112</v>
      </c>
      <c r="I2360">
        <v>5</v>
      </c>
      <c r="J2360" s="19">
        <f>WEEKNUM(tblRidershipData[[#This Row],[MeasurementDate]])</f>
        <v>50</v>
      </c>
      <c r="K2360" s="19">
        <f>MONTH(tblRidershipData[[#This Row],[MeasurementDate]])</f>
        <v>12</v>
      </c>
    </row>
    <row r="2361" spans="1:11" x14ac:dyDescent="0.25">
      <c r="A2361" s="31">
        <v>43811</v>
      </c>
      <c r="B2361" t="s">
        <v>5</v>
      </c>
      <c r="C2361" s="31">
        <v>8311</v>
      </c>
      <c r="D2361" t="s">
        <v>121</v>
      </c>
      <c r="E2361" t="s">
        <v>111</v>
      </c>
      <c r="F2361">
        <v>1</v>
      </c>
      <c r="G2361" t="s">
        <v>52</v>
      </c>
      <c r="H2361" t="s">
        <v>112</v>
      </c>
      <c r="I2361">
        <v>6</v>
      </c>
      <c r="J2361" s="19">
        <f>WEEKNUM(tblRidershipData[[#This Row],[MeasurementDate]])</f>
        <v>50</v>
      </c>
      <c r="K2361" s="19">
        <f>MONTH(tblRidershipData[[#This Row],[MeasurementDate]])</f>
        <v>12</v>
      </c>
    </row>
    <row r="2362" spans="1:11" x14ac:dyDescent="0.25">
      <c r="A2362" s="31">
        <v>43811</v>
      </c>
      <c r="B2362" t="s">
        <v>5</v>
      </c>
      <c r="C2362" s="31">
        <v>8311</v>
      </c>
      <c r="D2362" t="s">
        <v>121</v>
      </c>
      <c r="E2362" t="s">
        <v>111</v>
      </c>
      <c r="F2362">
        <v>1</v>
      </c>
      <c r="G2362" t="s">
        <v>59</v>
      </c>
      <c r="H2362" t="s">
        <v>112</v>
      </c>
      <c r="I2362">
        <v>1</v>
      </c>
      <c r="J2362" s="19">
        <f>WEEKNUM(tblRidershipData[[#This Row],[MeasurementDate]])</f>
        <v>50</v>
      </c>
      <c r="K2362" s="19">
        <f>MONTH(tblRidershipData[[#This Row],[MeasurementDate]])</f>
        <v>12</v>
      </c>
    </row>
    <row r="2363" spans="1:11" x14ac:dyDescent="0.25">
      <c r="A2363" s="31">
        <v>43811</v>
      </c>
      <c r="B2363" t="s">
        <v>5</v>
      </c>
      <c r="C2363" s="31">
        <v>8311</v>
      </c>
      <c r="D2363" t="s">
        <v>121</v>
      </c>
      <c r="E2363" t="s">
        <v>111</v>
      </c>
      <c r="F2363">
        <v>1</v>
      </c>
      <c r="G2363" t="s">
        <v>67</v>
      </c>
      <c r="H2363" t="s">
        <v>112</v>
      </c>
      <c r="I2363">
        <v>20</v>
      </c>
      <c r="J2363" s="19">
        <f>WEEKNUM(tblRidershipData[[#This Row],[MeasurementDate]])</f>
        <v>50</v>
      </c>
      <c r="K2363" s="19">
        <f>MONTH(tblRidershipData[[#This Row],[MeasurementDate]])</f>
        <v>12</v>
      </c>
    </row>
    <row r="2364" spans="1:11" x14ac:dyDescent="0.25">
      <c r="A2364" s="31">
        <v>43811</v>
      </c>
      <c r="B2364" t="s">
        <v>5</v>
      </c>
      <c r="C2364" s="31">
        <v>8311</v>
      </c>
      <c r="D2364" t="s">
        <v>121</v>
      </c>
      <c r="E2364" t="s">
        <v>111</v>
      </c>
      <c r="F2364">
        <v>1</v>
      </c>
      <c r="G2364" t="s">
        <v>73</v>
      </c>
      <c r="H2364" t="s">
        <v>112</v>
      </c>
      <c r="I2364">
        <v>14</v>
      </c>
      <c r="J2364" s="19">
        <f>WEEKNUM(tblRidershipData[[#This Row],[MeasurementDate]])</f>
        <v>50</v>
      </c>
      <c r="K2364" s="19">
        <f>MONTH(tblRidershipData[[#This Row],[MeasurementDate]])</f>
        <v>12</v>
      </c>
    </row>
    <row r="2365" spans="1:11" x14ac:dyDescent="0.25">
      <c r="A2365" s="31">
        <v>43811</v>
      </c>
      <c r="B2365" t="s">
        <v>5</v>
      </c>
      <c r="C2365" s="31">
        <v>8311</v>
      </c>
      <c r="D2365" t="s">
        <v>121</v>
      </c>
      <c r="E2365" t="s">
        <v>109</v>
      </c>
      <c r="F2365">
        <v>1</v>
      </c>
      <c r="G2365" t="s">
        <v>45</v>
      </c>
      <c r="H2365" t="s">
        <v>112</v>
      </c>
      <c r="I2365">
        <v>1</v>
      </c>
      <c r="J2365" s="19">
        <f>WEEKNUM(tblRidershipData[[#This Row],[MeasurementDate]])</f>
        <v>50</v>
      </c>
      <c r="K2365" s="19">
        <f>MONTH(tblRidershipData[[#This Row],[MeasurementDate]])</f>
        <v>12</v>
      </c>
    </row>
    <row r="2366" spans="1:11" x14ac:dyDescent="0.25">
      <c r="A2366" s="31">
        <v>43811</v>
      </c>
      <c r="B2366" t="s">
        <v>5</v>
      </c>
      <c r="C2366" s="31">
        <v>8311</v>
      </c>
      <c r="D2366" t="s">
        <v>121</v>
      </c>
      <c r="E2366" t="s">
        <v>109</v>
      </c>
      <c r="F2366">
        <v>1</v>
      </c>
      <c r="G2366" t="s">
        <v>46</v>
      </c>
      <c r="H2366" t="s">
        <v>112</v>
      </c>
      <c r="I2366">
        <v>21</v>
      </c>
      <c r="J2366" s="19">
        <f>WEEKNUM(tblRidershipData[[#This Row],[MeasurementDate]])</f>
        <v>50</v>
      </c>
      <c r="K2366" s="19">
        <f>MONTH(tblRidershipData[[#This Row],[MeasurementDate]])</f>
        <v>12</v>
      </c>
    </row>
    <row r="2367" spans="1:11" x14ac:dyDescent="0.25">
      <c r="A2367" s="31">
        <v>43811</v>
      </c>
      <c r="B2367" t="s">
        <v>5</v>
      </c>
      <c r="C2367" s="31">
        <v>8311</v>
      </c>
      <c r="D2367" t="s">
        <v>121</v>
      </c>
      <c r="E2367" t="s">
        <v>109</v>
      </c>
      <c r="F2367">
        <v>1</v>
      </c>
      <c r="G2367" t="s">
        <v>50</v>
      </c>
      <c r="H2367" t="s">
        <v>112</v>
      </c>
      <c r="I2367">
        <v>1</v>
      </c>
      <c r="J2367" s="19">
        <f>WEEKNUM(tblRidershipData[[#This Row],[MeasurementDate]])</f>
        <v>50</v>
      </c>
      <c r="K2367" s="19">
        <f>MONTH(tblRidershipData[[#This Row],[MeasurementDate]])</f>
        <v>12</v>
      </c>
    </row>
    <row r="2368" spans="1:11" x14ac:dyDescent="0.25">
      <c r="A2368" s="31">
        <v>43811</v>
      </c>
      <c r="B2368" t="s">
        <v>5</v>
      </c>
      <c r="C2368" s="31">
        <v>8311</v>
      </c>
      <c r="D2368" t="s">
        <v>121</v>
      </c>
      <c r="E2368" t="s">
        <v>109</v>
      </c>
      <c r="F2368">
        <v>1</v>
      </c>
      <c r="G2368" t="s">
        <v>62</v>
      </c>
      <c r="H2368" t="s">
        <v>112</v>
      </c>
      <c r="I2368">
        <v>7</v>
      </c>
      <c r="J2368" s="19">
        <f>WEEKNUM(tblRidershipData[[#This Row],[MeasurementDate]])</f>
        <v>50</v>
      </c>
      <c r="K2368" s="19">
        <f>MONTH(tblRidershipData[[#This Row],[MeasurementDate]])</f>
        <v>12</v>
      </c>
    </row>
    <row r="2369" spans="1:11" x14ac:dyDescent="0.25">
      <c r="A2369" s="31">
        <v>43811</v>
      </c>
      <c r="B2369" t="s">
        <v>5</v>
      </c>
      <c r="C2369" s="31">
        <v>8311</v>
      </c>
      <c r="D2369" t="s">
        <v>121</v>
      </c>
      <c r="E2369" t="s">
        <v>109</v>
      </c>
      <c r="F2369">
        <v>1</v>
      </c>
      <c r="G2369" t="s">
        <v>63</v>
      </c>
      <c r="H2369" t="s">
        <v>112</v>
      </c>
      <c r="I2369">
        <v>1</v>
      </c>
      <c r="J2369" s="19">
        <f>WEEKNUM(tblRidershipData[[#This Row],[MeasurementDate]])</f>
        <v>50</v>
      </c>
      <c r="K2369" s="19">
        <f>MONTH(tblRidershipData[[#This Row],[MeasurementDate]])</f>
        <v>12</v>
      </c>
    </row>
    <row r="2370" spans="1:11" x14ac:dyDescent="0.25">
      <c r="A2370" s="31">
        <v>43811</v>
      </c>
      <c r="B2370" t="s">
        <v>5</v>
      </c>
      <c r="C2370" s="31">
        <v>8311</v>
      </c>
      <c r="D2370" t="s">
        <v>121</v>
      </c>
      <c r="E2370" t="s">
        <v>109</v>
      </c>
      <c r="F2370">
        <v>1</v>
      </c>
      <c r="G2370" t="s">
        <v>64</v>
      </c>
      <c r="H2370" t="s">
        <v>112</v>
      </c>
      <c r="I2370">
        <v>12</v>
      </c>
      <c r="J2370" s="19">
        <f>WEEKNUM(tblRidershipData[[#This Row],[MeasurementDate]])</f>
        <v>50</v>
      </c>
      <c r="K2370" s="19">
        <f>MONTH(tblRidershipData[[#This Row],[MeasurementDate]])</f>
        <v>12</v>
      </c>
    </row>
    <row r="2371" spans="1:11" x14ac:dyDescent="0.25">
      <c r="A2371" s="31">
        <v>43811</v>
      </c>
      <c r="B2371" t="s">
        <v>5</v>
      </c>
      <c r="C2371" s="31">
        <v>8311</v>
      </c>
      <c r="D2371" t="s">
        <v>121</v>
      </c>
      <c r="E2371" t="s">
        <v>109</v>
      </c>
      <c r="F2371">
        <v>1</v>
      </c>
      <c r="G2371" t="s">
        <v>67</v>
      </c>
      <c r="H2371" t="s">
        <v>112</v>
      </c>
      <c r="I2371">
        <v>12</v>
      </c>
      <c r="J2371" s="19">
        <f>WEEKNUM(tblRidershipData[[#This Row],[MeasurementDate]])</f>
        <v>50</v>
      </c>
      <c r="K2371" s="19">
        <f>MONTH(tblRidershipData[[#This Row],[MeasurementDate]])</f>
        <v>12</v>
      </c>
    </row>
    <row r="2372" spans="1:11" x14ac:dyDescent="0.25">
      <c r="A2372" s="31">
        <v>43811</v>
      </c>
      <c r="B2372" t="s">
        <v>5</v>
      </c>
      <c r="C2372" s="31">
        <v>8311</v>
      </c>
      <c r="D2372" t="s">
        <v>121</v>
      </c>
      <c r="E2372" t="s">
        <v>109</v>
      </c>
      <c r="F2372">
        <v>1</v>
      </c>
      <c r="G2372" t="s">
        <v>72</v>
      </c>
      <c r="H2372" t="s">
        <v>112</v>
      </c>
      <c r="I2372">
        <v>9</v>
      </c>
      <c r="J2372" s="19">
        <f>WEEKNUM(tblRidershipData[[#This Row],[MeasurementDate]])</f>
        <v>50</v>
      </c>
      <c r="K2372" s="19">
        <f>MONTH(tblRidershipData[[#This Row],[MeasurementDate]])</f>
        <v>12</v>
      </c>
    </row>
    <row r="2373" spans="1:11" x14ac:dyDescent="0.25">
      <c r="A2373" s="31">
        <v>43811</v>
      </c>
      <c r="B2373" t="s">
        <v>5</v>
      </c>
      <c r="C2373" s="31">
        <v>8311</v>
      </c>
      <c r="D2373" t="s">
        <v>121</v>
      </c>
      <c r="E2373" t="s">
        <v>109</v>
      </c>
      <c r="F2373">
        <v>1</v>
      </c>
      <c r="G2373" t="s">
        <v>73</v>
      </c>
      <c r="H2373" t="s">
        <v>112</v>
      </c>
      <c r="I2373">
        <v>3</v>
      </c>
      <c r="J2373" s="19">
        <f>WEEKNUM(tblRidershipData[[#This Row],[MeasurementDate]])</f>
        <v>50</v>
      </c>
      <c r="K2373" s="19">
        <f>MONTH(tblRidershipData[[#This Row],[MeasurementDate]])</f>
        <v>12</v>
      </c>
    </row>
    <row r="2374" spans="1:11" x14ac:dyDescent="0.25">
      <c r="A2374" s="31">
        <v>43811</v>
      </c>
      <c r="B2374" t="s">
        <v>5</v>
      </c>
      <c r="C2374" s="31">
        <v>6553</v>
      </c>
      <c r="D2374" t="s">
        <v>100</v>
      </c>
      <c r="E2374" t="s">
        <v>111</v>
      </c>
      <c r="F2374">
        <v>1</v>
      </c>
      <c r="G2374" t="s">
        <v>43</v>
      </c>
      <c r="H2374" t="s">
        <v>110</v>
      </c>
      <c r="I2374">
        <v>17</v>
      </c>
      <c r="J2374" s="19">
        <f>WEEKNUM(tblRidershipData[[#This Row],[MeasurementDate]])</f>
        <v>50</v>
      </c>
      <c r="K2374" s="19">
        <f>MONTH(tblRidershipData[[#This Row],[MeasurementDate]])</f>
        <v>12</v>
      </c>
    </row>
    <row r="2375" spans="1:11" x14ac:dyDescent="0.25">
      <c r="A2375" s="31">
        <v>43811</v>
      </c>
      <c r="B2375" t="s">
        <v>5</v>
      </c>
      <c r="C2375" s="31">
        <v>6553</v>
      </c>
      <c r="D2375" t="s">
        <v>100</v>
      </c>
      <c r="E2375" t="s">
        <v>111</v>
      </c>
      <c r="F2375">
        <v>1</v>
      </c>
      <c r="G2375" t="s">
        <v>44</v>
      </c>
      <c r="H2375" t="s">
        <v>110</v>
      </c>
      <c r="I2375">
        <v>6</v>
      </c>
      <c r="J2375" s="19">
        <f>WEEKNUM(tblRidershipData[[#This Row],[MeasurementDate]])</f>
        <v>50</v>
      </c>
      <c r="K2375" s="19">
        <f>MONTH(tblRidershipData[[#This Row],[MeasurementDate]])</f>
        <v>12</v>
      </c>
    </row>
    <row r="2376" spans="1:11" x14ac:dyDescent="0.25">
      <c r="A2376" s="31">
        <v>43811</v>
      </c>
      <c r="B2376" t="s">
        <v>5</v>
      </c>
      <c r="C2376" s="31">
        <v>6553</v>
      </c>
      <c r="D2376" t="s">
        <v>100</v>
      </c>
      <c r="E2376" t="s">
        <v>111</v>
      </c>
      <c r="F2376">
        <v>1</v>
      </c>
      <c r="G2376" t="s">
        <v>45</v>
      </c>
      <c r="H2376" t="s">
        <v>110</v>
      </c>
      <c r="I2376">
        <v>6</v>
      </c>
      <c r="J2376" s="19">
        <f>WEEKNUM(tblRidershipData[[#This Row],[MeasurementDate]])</f>
        <v>50</v>
      </c>
      <c r="K2376" s="19">
        <f>MONTH(tblRidershipData[[#This Row],[MeasurementDate]])</f>
        <v>12</v>
      </c>
    </row>
    <row r="2377" spans="1:11" x14ac:dyDescent="0.25">
      <c r="A2377" s="31">
        <v>43811</v>
      </c>
      <c r="B2377" t="s">
        <v>5</v>
      </c>
      <c r="C2377" s="31">
        <v>6553</v>
      </c>
      <c r="D2377" t="s">
        <v>100</v>
      </c>
      <c r="E2377" t="s">
        <v>111</v>
      </c>
      <c r="F2377">
        <v>1</v>
      </c>
      <c r="G2377" t="s">
        <v>46</v>
      </c>
      <c r="H2377" t="s">
        <v>110</v>
      </c>
      <c r="I2377">
        <v>23</v>
      </c>
      <c r="J2377" s="19">
        <f>WEEKNUM(tblRidershipData[[#This Row],[MeasurementDate]])</f>
        <v>50</v>
      </c>
      <c r="K2377" s="19">
        <f>MONTH(tblRidershipData[[#This Row],[MeasurementDate]])</f>
        <v>12</v>
      </c>
    </row>
    <row r="2378" spans="1:11" x14ac:dyDescent="0.25">
      <c r="A2378" s="31">
        <v>43811</v>
      </c>
      <c r="B2378" t="s">
        <v>5</v>
      </c>
      <c r="C2378" s="31">
        <v>6553</v>
      </c>
      <c r="D2378" t="s">
        <v>100</v>
      </c>
      <c r="E2378" t="s">
        <v>111</v>
      </c>
      <c r="F2378">
        <v>1</v>
      </c>
      <c r="G2378" t="s">
        <v>48</v>
      </c>
      <c r="H2378" t="s">
        <v>110</v>
      </c>
      <c r="I2378">
        <v>8</v>
      </c>
      <c r="J2378" s="19">
        <f>WEEKNUM(tblRidershipData[[#This Row],[MeasurementDate]])</f>
        <v>50</v>
      </c>
      <c r="K2378" s="19">
        <f>MONTH(tblRidershipData[[#This Row],[MeasurementDate]])</f>
        <v>12</v>
      </c>
    </row>
    <row r="2379" spans="1:11" x14ac:dyDescent="0.25">
      <c r="A2379" s="31">
        <v>43811</v>
      </c>
      <c r="B2379" t="s">
        <v>5</v>
      </c>
      <c r="C2379" s="31">
        <v>6553</v>
      </c>
      <c r="D2379" t="s">
        <v>100</v>
      </c>
      <c r="E2379" t="s">
        <v>111</v>
      </c>
      <c r="F2379">
        <v>1</v>
      </c>
      <c r="G2379" t="s">
        <v>56</v>
      </c>
      <c r="H2379" t="s">
        <v>110</v>
      </c>
      <c r="I2379">
        <v>7</v>
      </c>
      <c r="J2379" s="19">
        <f>WEEKNUM(tblRidershipData[[#This Row],[MeasurementDate]])</f>
        <v>50</v>
      </c>
      <c r="K2379" s="19">
        <f>MONTH(tblRidershipData[[#This Row],[MeasurementDate]])</f>
        <v>12</v>
      </c>
    </row>
    <row r="2380" spans="1:11" x14ac:dyDescent="0.25">
      <c r="A2380" s="31">
        <v>43811</v>
      </c>
      <c r="B2380" t="s">
        <v>5</v>
      </c>
      <c r="C2380" s="31">
        <v>6553</v>
      </c>
      <c r="D2380" t="s">
        <v>100</v>
      </c>
      <c r="E2380" t="s">
        <v>111</v>
      </c>
      <c r="F2380">
        <v>1</v>
      </c>
      <c r="G2380" t="s">
        <v>67</v>
      </c>
      <c r="H2380" t="s">
        <v>110</v>
      </c>
      <c r="I2380">
        <v>2</v>
      </c>
      <c r="J2380" s="19">
        <f>WEEKNUM(tblRidershipData[[#This Row],[MeasurementDate]])</f>
        <v>50</v>
      </c>
      <c r="K2380" s="19">
        <f>MONTH(tblRidershipData[[#This Row],[MeasurementDate]])</f>
        <v>12</v>
      </c>
    </row>
    <row r="2381" spans="1:11" x14ac:dyDescent="0.25">
      <c r="A2381" s="31">
        <v>43811</v>
      </c>
      <c r="B2381" t="s">
        <v>5</v>
      </c>
      <c r="C2381" s="31">
        <v>6553</v>
      </c>
      <c r="D2381" t="s">
        <v>100</v>
      </c>
      <c r="E2381" t="s">
        <v>111</v>
      </c>
      <c r="F2381">
        <v>1</v>
      </c>
      <c r="G2381" t="s">
        <v>69</v>
      </c>
      <c r="H2381" t="s">
        <v>110</v>
      </c>
      <c r="I2381">
        <v>7</v>
      </c>
      <c r="J2381" s="19">
        <f>WEEKNUM(tblRidershipData[[#This Row],[MeasurementDate]])</f>
        <v>50</v>
      </c>
      <c r="K2381" s="19">
        <f>MONTH(tblRidershipData[[#This Row],[MeasurementDate]])</f>
        <v>12</v>
      </c>
    </row>
    <row r="2382" spans="1:11" x14ac:dyDescent="0.25">
      <c r="A2382" s="31">
        <v>43811</v>
      </c>
      <c r="B2382" t="s">
        <v>5</v>
      </c>
      <c r="C2382" s="31">
        <v>6553</v>
      </c>
      <c r="D2382" t="s">
        <v>100</v>
      </c>
      <c r="E2382" t="s">
        <v>109</v>
      </c>
      <c r="F2382">
        <v>1</v>
      </c>
      <c r="G2382" t="s">
        <v>52</v>
      </c>
      <c r="H2382" t="s">
        <v>110</v>
      </c>
      <c r="I2382">
        <v>7</v>
      </c>
      <c r="J2382" s="19">
        <f>WEEKNUM(tblRidershipData[[#This Row],[MeasurementDate]])</f>
        <v>50</v>
      </c>
      <c r="K2382" s="19">
        <f>MONTH(tblRidershipData[[#This Row],[MeasurementDate]])</f>
        <v>12</v>
      </c>
    </row>
    <row r="2383" spans="1:11" x14ac:dyDescent="0.25">
      <c r="A2383" s="31">
        <v>43811</v>
      </c>
      <c r="B2383" t="s">
        <v>5</v>
      </c>
      <c r="C2383" s="31">
        <v>6553</v>
      </c>
      <c r="D2383" t="s">
        <v>100</v>
      </c>
      <c r="E2383" t="s">
        <v>109</v>
      </c>
      <c r="F2383">
        <v>1</v>
      </c>
      <c r="G2383" t="s">
        <v>73</v>
      </c>
      <c r="H2383" t="s">
        <v>110</v>
      </c>
      <c r="I2383">
        <v>2</v>
      </c>
      <c r="J2383" s="19">
        <f>WEEKNUM(tblRidershipData[[#This Row],[MeasurementDate]])</f>
        <v>50</v>
      </c>
      <c r="K2383" s="19">
        <f>MONTH(tblRidershipData[[#This Row],[MeasurementDate]])</f>
        <v>12</v>
      </c>
    </row>
    <row r="2384" spans="1:11" x14ac:dyDescent="0.25">
      <c r="A2384" s="31">
        <v>43811</v>
      </c>
      <c r="B2384" t="s">
        <v>5</v>
      </c>
      <c r="C2384" s="31">
        <v>6553</v>
      </c>
      <c r="D2384" t="s">
        <v>100</v>
      </c>
      <c r="E2384" t="s">
        <v>109</v>
      </c>
      <c r="F2384">
        <v>1</v>
      </c>
      <c r="G2384" t="s">
        <v>74</v>
      </c>
      <c r="H2384" t="s">
        <v>110</v>
      </c>
      <c r="I2384">
        <v>24</v>
      </c>
      <c r="J2384" s="19">
        <f>WEEKNUM(tblRidershipData[[#This Row],[MeasurementDate]])</f>
        <v>50</v>
      </c>
      <c r="K2384" s="19">
        <f>MONTH(tblRidershipData[[#This Row],[MeasurementDate]])</f>
        <v>12</v>
      </c>
    </row>
    <row r="2385" spans="1:11" x14ac:dyDescent="0.25">
      <c r="A2385" s="31">
        <v>43811</v>
      </c>
      <c r="B2385" t="s">
        <v>5</v>
      </c>
      <c r="C2385" s="31">
        <v>6553</v>
      </c>
      <c r="D2385" t="s">
        <v>100</v>
      </c>
      <c r="E2385" t="s">
        <v>109</v>
      </c>
      <c r="F2385">
        <v>1</v>
      </c>
      <c r="G2385" t="s">
        <v>75</v>
      </c>
      <c r="H2385" t="s">
        <v>110</v>
      </c>
      <c r="I2385">
        <v>3</v>
      </c>
      <c r="J2385" s="19">
        <f>WEEKNUM(tblRidershipData[[#This Row],[MeasurementDate]])</f>
        <v>50</v>
      </c>
      <c r="K2385" s="19">
        <f>MONTH(tblRidershipData[[#This Row],[MeasurementDate]])</f>
        <v>12</v>
      </c>
    </row>
    <row r="2386" spans="1:11" x14ac:dyDescent="0.25">
      <c r="A2386" s="31">
        <v>43811</v>
      </c>
      <c r="B2386" t="s">
        <v>5</v>
      </c>
      <c r="C2386" s="31">
        <v>6553</v>
      </c>
      <c r="D2386" t="s">
        <v>100</v>
      </c>
      <c r="E2386" t="s">
        <v>109</v>
      </c>
      <c r="F2386">
        <v>1</v>
      </c>
      <c r="G2386" t="s">
        <v>45</v>
      </c>
      <c r="H2386" t="s">
        <v>112</v>
      </c>
      <c r="I2386">
        <v>2</v>
      </c>
      <c r="J2386" s="19">
        <f>WEEKNUM(tblRidershipData[[#This Row],[MeasurementDate]])</f>
        <v>50</v>
      </c>
      <c r="K2386" s="19">
        <f>MONTH(tblRidershipData[[#This Row],[MeasurementDate]])</f>
        <v>12</v>
      </c>
    </row>
    <row r="2387" spans="1:11" x14ac:dyDescent="0.25">
      <c r="A2387" s="31">
        <v>43811</v>
      </c>
      <c r="B2387" t="s">
        <v>5</v>
      </c>
      <c r="C2387" s="31">
        <v>6553</v>
      </c>
      <c r="D2387" t="s">
        <v>100</v>
      </c>
      <c r="E2387" t="s">
        <v>109</v>
      </c>
      <c r="F2387">
        <v>1</v>
      </c>
      <c r="G2387" t="s">
        <v>47</v>
      </c>
      <c r="H2387" t="s">
        <v>112</v>
      </c>
      <c r="I2387">
        <v>1</v>
      </c>
      <c r="J2387" s="19">
        <f>WEEKNUM(tblRidershipData[[#This Row],[MeasurementDate]])</f>
        <v>50</v>
      </c>
      <c r="K2387" s="19">
        <f>MONTH(tblRidershipData[[#This Row],[MeasurementDate]])</f>
        <v>12</v>
      </c>
    </row>
    <row r="2388" spans="1:11" x14ac:dyDescent="0.25">
      <c r="A2388" s="31">
        <v>43811</v>
      </c>
      <c r="B2388" t="s">
        <v>5</v>
      </c>
      <c r="C2388" s="31">
        <v>6553</v>
      </c>
      <c r="D2388" t="s">
        <v>100</v>
      </c>
      <c r="E2388" t="s">
        <v>109</v>
      </c>
      <c r="F2388">
        <v>1</v>
      </c>
      <c r="G2388" t="s">
        <v>49</v>
      </c>
      <c r="H2388" t="s">
        <v>112</v>
      </c>
      <c r="I2388">
        <v>1</v>
      </c>
      <c r="J2388" s="19">
        <f>WEEKNUM(tblRidershipData[[#This Row],[MeasurementDate]])</f>
        <v>50</v>
      </c>
      <c r="K2388" s="19">
        <f>MONTH(tblRidershipData[[#This Row],[MeasurementDate]])</f>
        <v>12</v>
      </c>
    </row>
    <row r="2389" spans="1:11" x14ac:dyDescent="0.25">
      <c r="A2389" s="31">
        <v>43811</v>
      </c>
      <c r="B2389" t="s">
        <v>5</v>
      </c>
      <c r="C2389" s="31">
        <v>6553</v>
      </c>
      <c r="D2389" t="s">
        <v>100</v>
      </c>
      <c r="E2389" t="s">
        <v>109</v>
      </c>
      <c r="F2389">
        <v>1</v>
      </c>
      <c r="G2389" t="s">
        <v>50</v>
      </c>
      <c r="H2389" t="s">
        <v>112</v>
      </c>
      <c r="I2389">
        <v>1</v>
      </c>
      <c r="J2389" s="19">
        <f>WEEKNUM(tblRidershipData[[#This Row],[MeasurementDate]])</f>
        <v>50</v>
      </c>
      <c r="K2389" s="19">
        <f>MONTH(tblRidershipData[[#This Row],[MeasurementDate]])</f>
        <v>12</v>
      </c>
    </row>
    <row r="2390" spans="1:11" x14ac:dyDescent="0.25">
      <c r="A2390" s="31">
        <v>43811</v>
      </c>
      <c r="B2390" t="s">
        <v>5</v>
      </c>
      <c r="C2390" s="31">
        <v>6553</v>
      </c>
      <c r="D2390" t="s">
        <v>100</v>
      </c>
      <c r="E2390" t="s">
        <v>109</v>
      </c>
      <c r="F2390">
        <v>1</v>
      </c>
      <c r="G2390" t="s">
        <v>54</v>
      </c>
      <c r="H2390" t="s">
        <v>112</v>
      </c>
      <c r="I2390">
        <v>24</v>
      </c>
      <c r="J2390" s="19">
        <f>WEEKNUM(tblRidershipData[[#This Row],[MeasurementDate]])</f>
        <v>50</v>
      </c>
      <c r="K2390" s="19">
        <f>MONTH(tblRidershipData[[#This Row],[MeasurementDate]])</f>
        <v>12</v>
      </c>
    </row>
    <row r="2391" spans="1:11" x14ac:dyDescent="0.25">
      <c r="A2391" s="31">
        <v>43811</v>
      </c>
      <c r="B2391" t="s">
        <v>5</v>
      </c>
      <c r="C2391" s="31">
        <v>6553</v>
      </c>
      <c r="D2391" t="s">
        <v>100</v>
      </c>
      <c r="E2391" t="s">
        <v>109</v>
      </c>
      <c r="F2391">
        <v>1</v>
      </c>
      <c r="G2391" t="s">
        <v>73</v>
      </c>
      <c r="H2391" t="s">
        <v>112</v>
      </c>
      <c r="I2391">
        <v>2</v>
      </c>
      <c r="J2391" s="19">
        <f>WEEKNUM(tblRidershipData[[#This Row],[MeasurementDate]])</f>
        <v>50</v>
      </c>
      <c r="K2391" s="19">
        <f>MONTH(tblRidershipData[[#This Row],[MeasurementDate]])</f>
        <v>12</v>
      </c>
    </row>
    <row r="2392" spans="1:11" x14ac:dyDescent="0.25">
      <c r="A2392" s="31">
        <v>43811</v>
      </c>
      <c r="B2392" t="s">
        <v>5</v>
      </c>
      <c r="C2392" s="31">
        <v>6553</v>
      </c>
      <c r="D2392" t="s">
        <v>100</v>
      </c>
      <c r="E2392" t="s">
        <v>109</v>
      </c>
      <c r="F2392">
        <v>1</v>
      </c>
      <c r="G2392" t="s">
        <v>77</v>
      </c>
      <c r="H2392" t="s">
        <v>112</v>
      </c>
      <c r="I2392">
        <v>2</v>
      </c>
      <c r="J2392" s="19">
        <f>WEEKNUM(tblRidershipData[[#This Row],[MeasurementDate]])</f>
        <v>50</v>
      </c>
      <c r="K2392" s="19">
        <f>MONTH(tblRidershipData[[#This Row],[MeasurementDate]])</f>
        <v>12</v>
      </c>
    </row>
    <row r="2393" spans="1:11" x14ac:dyDescent="0.25">
      <c r="A2393" s="31">
        <v>43811</v>
      </c>
      <c r="B2393" t="s">
        <v>5</v>
      </c>
      <c r="C2393" s="31">
        <v>6553</v>
      </c>
      <c r="D2393" t="s">
        <v>100</v>
      </c>
      <c r="E2393" t="s">
        <v>109</v>
      </c>
      <c r="F2393">
        <v>2</v>
      </c>
      <c r="G2393" t="s">
        <v>45</v>
      </c>
      <c r="H2393" t="s">
        <v>112</v>
      </c>
      <c r="I2393">
        <v>2</v>
      </c>
      <c r="J2393" s="19">
        <f>WEEKNUM(tblRidershipData[[#This Row],[MeasurementDate]])</f>
        <v>50</v>
      </c>
      <c r="K2393" s="19">
        <f>MONTH(tblRidershipData[[#This Row],[MeasurementDate]])</f>
        <v>12</v>
      </c>
    </row>
    <row r="2394" spans="1:11" x14ac:dyDescent="0.25">
      <c r="A2394" s="31">
        <v>43811</v>
      </c>
      <c r="B2394" t="s">
        <v>5</v>
      </c>
      <c r="C2394" s="31">
        <v>6553</v>
      </c>
      <c r="D2394" t="s">
        <v>100</v>
      </c>
      <c r="E2394" t="s">
        <v>109</v>
      </c>
      <c r="F2394">
        <v>2</v>
      </c>
      <c r="G2394" t="s">
        <v>77</v>
      </c>
      <c r="H2394" t="s">
        <v>112</v>
      </c>
      <c r="I2394">
        <v>1</v>
      </c>
      <c r="J2394" s="19">
        <f>WEEKNUM(tblRidershipData[[#This Row],[MeasurementDate]])</f>
        <v>50</v>
      </c>
      <c r="K2394" s="19">
        <f>MONTH(tblRidershipData[[#This Row],[MeasurementDate]])</f>
        <v>12</v>
      </c>
    </row>
    <row r="2395" spans="1:11" x14ac:dyDescent="0.25">
      <c r="A2395" s="31">
        <v>43811</v>
      </c>
      <c r="B2395" t="s">
        <v>5</v>
      </c>
      <c r="C2395" s="31">
        <v>6553</v>
      </c>
      <c r="D2395" t="s">
        <v>122</v>
      </c>
      <c r="E2395" t="s">
        <v>111</v>
      </c>
      <c r="F2395">
        <v>1</v>
      </c>
      <c r="G2395" t="s">
        <v>51</v>
      </c>
      <c r="H2395" t="s">
        <v>112</v>
      </c>
      <c r="I2395">
        <v>5</v>
      </c>
      <c r="J2395" s="19">
        <f>WEEKNUM(tblRidershipData[[#This Row],[MeasurementDate]])</f>
        <v>50</v>
      </c>
      <c r="K2395" s="19">
        <f>MONTH(tblRidershipData[[#This Row],[MeasurementDate]])</f>
        <v>12</v>
      </c>
    </row>
    <row r="2396" spans="1:11" x14ac:dyDescent="0.25">
      <c r="A2396" s="31">
        <v>43811</v>
      </c>
      <c r="B2396" t="s">
        <v>5</v>
      </c>
      <c r="C2396" s="31">
        <v>6553</v>
      </c>
      <c r="D2396" t="s">
        <v>122</v>
      </c>
      <c r="E2396" t="s">
        <v>111</v>
      </c>
      <c r="F2396">
        <v>1</v>
      </c>
      <c r="G2396" t="s">
        <v>56</v>
      </c>
      <c r="H2396" t="s">
        <v>112</v>
      </c>
      <c r="I2396">
        <v>5</v>
      </c>
      <c r="J2396" s="19">
        <f>WEEKNUM(tblRidershipData[[#This Row],[MeasurementDate]])</f>
        <v>50</v>
      </c>
      <c r="K2396" s="19">
        <f>MONTH(tblRidershipData[[#This Row],[MeasurementDate]])</f>
        <v>12</v>
      </c>
    </row>
    <row r="2397" spans="1:11" x14ac:dyDescent="0.25">
      <c r="A2397" s="31">
        <v>43811</v>
      </c>
      <c r="B2397" t="s">
        <v>5</v>
      </c>
      <c r="C2397" s="31">
        <v>6553</v>
      </c>
      <c r="D2397" t="s">
        <v>122</v>
      </c>
      <c r="E2397" t="s">
        <v>111</v>
      </c>
      <c r="F2397">
        <v>1</v>
      </c>
      <c r="G2397" t="s">
        <v>67</v>
      </c>
      <c r="H2397" t="s">
        <v>112</v>
      </c>
      <c r="I2397">
        <v>53</v>
      </c>
      <c r="J2397" s="19">
        <f>WEEKNUM(tblRidershipData[[#This Row],[MeasurementDate]])</f>
        <v>50</v>
      </c>
      <c r="K2397" s="19">
        <f>MONTH(tblRidershipData[[#This Row],[MeasurementDate]])</f>
        <v>12</v>
      </c>
    </row>
    <row r="2398" spans="1:11" x14ac:dyDescent="0.25">
      <c r="A2398" s="31">
        <v>43811</v>
      </c>
      <c r="B2398" t="s">
        <v>5</v>
      </c>
      <c r="C2398" s="31">
        <v>6553</v>
      </c>
      <c r="D2398" t="s">
        <v>122</v>
      </c>
      <c r="E2398" t="s">
        <v>111</v>
      </c>
      <c r="F2398">
        <v>1</v>
      </c>
      <c r="G2398" t="s">
        <v>73</v>
      </c>
      <c r="H2398" t="s">
        <v>112</v>
      </c>
      <c r="I2398">
        <v>13</v>
      </c>
      <c r="J2398" s="19">
        <f>WEEKNUM(tblRidershipData[[#This Row],[MeasurementDate]])</f>
        <v>50</v>
      </c>
      <c r="K2398" s="19">
        <f>MONTH(tblRidershipData[[#This Row],[MeasurementDate]])</f>
        <v>12</v>
      </c>
    </row>
    <row r="2399" spans="1:11" x14ac:dyDescent="0.25">
      <c r="A2399" s="31">
        <v>43811</v>
      </c>
      <c r="B2399" t="s">
        <v>5</v>
      </c>
      <c r="C2399" s="31">
        <v>4504</v>
      </c>
      <c r="D2399" t="s">
        <v>96</v>
      </c>
      <c r="E2399" t="s">
        <v>111</v>
      </c>
      <c r="F2399">
        <v>2</v>
      </c>
      <c r="G2399" t="s">
        <v>52</v>
      </c>
      <c r="H2399" t="s">
        <v>112</v>
      </c>
      <c r="I2399">
        <v>22</v>
      </c>
      <c r="J2399" s="19">
        <f>WEEKNUM(tblRidershipData[[#This Row],[MeasurementDate]])</f>
        <v>50</v>
      </c>
      <c r="K2399" s="19">
        <f>MONTH(tblRidershipData[[#This Row],[MeasurementDate]])</f>
        <v>12</v>
      </c>
    </row>
    <row r="2400" spans="1:11" x14ac:dyDescent="0.25">
      <c r="A2400" s="31">
        <v>43811</v>
      </c>
      <c r="B2400" t="s">
        <v>5</v>
      </c>
      <c r="C2400" s="31">
        <v>4504</v>
      </c>
      <c r="D2400" t="s">
        <v>96</v>
      </c>
      <c r="E2400" t="s">
        <v>111</v>
      </c>
      <c r="F2400">
        <v>2</v>
      </c>
      <c r="G2400" t="s">
        <v>54</v>
      </c>
      <c r="H2400" t="s">
        <v>112</v>
      </c>
      <c r="I2400">
        <v>7</v>
      </c>
      <c r="J2400" s="19">
        <f>WEEKNUM(tblRidershipData[[#This Row],[MeasurementDate]])</f>
        <v>50</v>
      </c>
      <c r="K2400" s="19">
        <f>MONTH(tblRidershipData[[#This Row],[MeasurementDate]])</f>
        <v>12</v>
      </c>
    </row>
    <row r="2401" spans="1:11" x14ac:dyDescent="0.25">
      <c r="A2401" s="31">
        <v>43811</v>
      </c>
      <c r="B2401" t="s">
        <v>5</v>
      </c>
      <c r="C2401" s="31">
        <v>4504</v>
      </c>
      <c r="D2401" t="s">
        <v>96</v>
      </c>
      <c r="E2401" t="s">
        <v>111</v>
      </c>
      <c r="F2401">
        <v>2</v>
      </c>
      <c r="G2401" t="s">
        <v>64</v>
      </c>
      <c r="H2401" t="s">
        <v>112</v>
      </c>
      <c r="I2401">
        <v>3</v>
      </c>
      <c r="J2401" s="19">
        <f>WEEKNUM(tblRidershipData[[#This Row],[MeasurementDate]])</f>
        <v>50</v>
      </c>
      <c r="K2401" s="19">
        <f>MONTH(tblRidershipData[[#This Row],[MeasurementDate]])</f>
        <v>12</v>
      </c>
    </row>
    <row r="2402" spans="1:11" x14ac:dyDescent="0.25">
      <c r="A2402" s="31">
        <v>43811</v>
      </c>
      <c r="B2402" t="s">
        <v>5</v>
      </c>
      <c r="C2402" s="31">
        <v>4504</v>
      </c>
      <c r="D2402" t="s">
        <v>96</v>
      </c>
      <c r="E2402" t="s">
        <v>111</v>
      </c>
      <c r="F2402">
        <v>2</v>
      </c>
      <c r="G2402" t="s">
        <v>72</v>
      </c>
      <c r="H2402" t="s">
        <v>112</v>
      </c>
      <c r="I2402">
        <v>2</v>
      </c>
      <c r="J2402" s="19">
        <f>WEEKNUM(tblRidershipData[[#This Row],[MeasurementDate]])</f>
        <v>50</v>
      </c>
      <c r="K2402" s="19">
        <f>MONTH(tblRidershipData[[#This Row],[MeasurementDate]])</f>
        <v>12</v>
      </c>
    </row>
    <row r="2403" spans="1:11" x14ac:dyDescent="0.25">
      <c r="A2403" s="31">
        <v>43811</v>
      </c>
      <c r="B2403" t="s">
        <v>5</v>
      </c>
      <c r="C2403" s="31">
        <v>4504</v>
      </c>
      <c r="D2403" t="s">
        <v>96</v>
      </c>
      <c r="E2403" t="s">
        <v>109</v>
      </c>
      <c r="F2403">
        <v>2</v>
      </c>
      <c r="G2403" t="s">
        <v>45</v>
      </c>
      <c r="H2403" t="s">
        <v>112</v>
      </c>
      <c r="I2403">
        <v>4</v>
      </c>
      <c r="J2403" s="19">
        <f>WEEKNUM(tblRidershipData[[#This Row],[MeasurementDate]])</f>
        <v>50</v>
      </c>
      <c r="K2403" s="19">
        <f>MONTH(tblRidershipData[[#This Row],[MeasurementDate]])</f>
        <v>12</v>
      </c>
    </row>
    <row r="2404" spans="1:11" x14ac:dyDescent="0.25">
      <c r="A2404" s="31">
        <v>43811</v>
      </c>
      <c r="B2404" t="s">
        <v>5</v>
      </c>
      <c r="C2404" s="31">
        <v>4504</v>
      </c>
      <c r="D2404" t="s">
        <v>96</v>
      </c>
      <c r="E2404" t="s">
        <v>109</v>
      </c>
      <c r="F2404">
        <v>2</v>
      </c>
      <c r="G2404" t="s">
        <v>47</v>
      </c>
      <c r="H2404" t="s">
        <v>112</v>
      </c>
      <c r="I2404">
        <v>2</v>
      </c>
      <c r="J2404" s="19">
        <f>WEEKNUM(tblRidershipData[[#This Row],[MeasurementDate]])</f>
        <v>50</v>
      </c>
      <c r="K2404" s="19">
        <f>MONTH(tblRidershipData[[#This Row],[MeasurementDate]])</f>
        <v>12</v>
      </c>
    </row>
    <row r="2405" spans="1:11" x14ac:dyDescent="0.25">
      <c r="A2405" s="31">
        <v>43811</v>
      </c>
      <c r="B2405" t="s">
        <v>5</v>
      </c>
      <c r="C2405" s="31">
        <v>4504</v>
      </c>
      <c r="D2405" t="s">
        <v>96</v>
      </c>
      <c r="E2405" t="s">
        <v>109</v>
      </c>
      <c r="F2405">
        <v>2</v>
      </c>
      <c r="G2405" t="s">
        <v>50</v>
      </c>
      <c r="H2405" t="s">
        <v>112</v>
      </c>
      <c r="I2405">
        <v>8</v>
      </c>
      <c r="J2405" s="19">
        <f>WEEKNUM(tblRidershipData[[#This Row],[MeasurementDate]])</f>
        <v>50</v>
      </c>
      <c r="K2405" s="19">
        <f>MONTH(tblRidershipData[[#This Row],[MeasurementDate]])</f>
        <v>12</v>
      </c>
    </row>
    <row r="2406" spans="1:11" x14ac:dyDescent="0.25">
      <c r="A2406" s="31">
        <v>43811</v>
      </c>
      <c r="B2406" t="s">
        <v>5</v>
      </c>
      <c r="C2406" s="31">
        <v>4504</v>
      </c>
      <c r="D2406" t="s">
        <v>96</v>
      </c>
      <c r="E2406" t="s">
        <v>109</v>
      </c>
      <c r="F2406">
        <v>2</v>
      </c>
      <c r="G2406" t="s">
        <v>54</v>
      </c>
      <c r="H2406" t="s">
        <v>112</v>
      </c>
      <c r="I2406">
        <v>2</v>
      </c>
      <c r="J2406" s="19">
        <f>WEEKNUM(tblRidershipData[[#This Row],[MeasurementDate]])</f>
        <v>50</v>
      </c>
      <c r="K2406" s="19">
        <f>MONTH(tblRidershipData[[#This Row],[MeasurementDate]])</f>
        <v>12</v>
      </c>
    </row>
    <row r="2407" spans="1:11" x14ac:dyDescent="0.25">
      <c r="A2407" s="31">
        <v>43811</v>
      </c>
      <c r="B2407" t="s">
        <v>5</v>
      </c>
      <c r="C2407" s="31">
        <v>4504</v>
      </c>
      <c r="D2407" t="s">
        <v>96</v>
      </c>
      <c r="E2407" t="s">
        <v>109</v>
      </c>
      <c r="F2407">
        <v>2</v>
      </c>
      <c r="G2407" t="s">
        <v>56</v>
      </c>
      <c r="H2407" t="s">
        <v>112</v>
      </c>
      <c r="I2407">
        <v>5</v>
      </c>
      <c r="J2407" s="19">
        <f>WEEKNUM(tblRidershipData[[#This Row],[MeasurementDate]])</f>
        <v>50</v>
      </c>
      <c r="K2407" s="19">
        <f>MONTH(tblRidershipData[[#This Row],[MeasurementDate]])</f>
        <v>12</v>
      </c>
    </row>
    <row r="2408" spans="1:11" x14ac:dyDescent="0.25">
      <c r="A2408" s="31">
        <v>43811</v>
      </c>
      <c r="B2408" t="s">
        <v>5</v>
      </c>
      <c r="C2408" s="31">
        <v>4504</v>
      </c>
      <c r="D2408" t="s">
        <v>96</v>
      </c>
      <c r="E2408" t="s">
        <v>109</v>
      </c>
      <c r="F2408">
        <v>2</v>
      </c>
      <c r="G2408" t="s">
        <v>59</v>
      </c>
      <c r="H2408" t="s">
        <v>112</v>
      </c>
      <c r="I2408">
        <v>1</v>
      </c>
      <c r="J2408" s="19">
        <f>WEEKNUM(tblRidershipData[[#This Row],[MeasurementDate]])</f>
        <v>50</v>
      </c>
      <c r="K2408" s="19">
        <f>MONTH(tblRidershipData[[#This Row],[MeasurementDate]])</f>
        <v>12</v>
      </c>
    </row>
    <row r="2409" spans="1:11" x14ac:dyDescent="0.25">
      <c r="A2409" s="31">
        <v>43811</v>
      </c>
      <c r="B2409" t="s">
        <v>5</v>
      </c>
      <c r="C2409" s="31">
        <v>4504</v>
      </c>
      <c r="D2409" t="s">
        <v>96</v>
      </c>
      <c r="E2409" t="s">
        <v>109</v>
      </c>
      <c r="F2409">
        <v>2</v>
      </c>
      <c r="G2409" t="s">
        <v>63</v>
      </c>
      <c r="H2409" t="s">
        <v>112</v>
      </c>
      <c r="I2409">
        <v>1</v>
      </c>
      <c r="J2409" s="19">
        <f>WEEKNUM(tblRidershipData[[#This Row],[MeasurementDate]])</f>
        <v>50</v>
      </c>
      <c r="K2409" s="19">
        <f>MONTH(tblRidershipData[[#This Row],[MeasurementDate]])</f>
        <v>12</v>
      </c>
    </row>
    <row r="2410" spans="1:11" x14ac:dyDescent="0.25">
      <c r="A2410" s="31">
        <v>43811</v>
      </c>
      <c r="B2410" t="s">
        <v>5</v>
      </c>
      <c r="C2410" s="31">
        <v>4504</v>
      </c>
      <c r="D2410" t="s">
        <v>96</v>
      </c>
      <c r="E2410" t="s">
        <v>109</v>
      </c>
      <c r="F2410">
        <v>2</v>
      </c>
      <c r="G2410" t="s">
        <v>72</v>
      </c>
      <c r="H2410" t="s">
        <v>112</v>
      </c>
      <c r="I2410">
        <v>5</v>
      </c>
      <c r="J2410" s="19">
        <f>WEEKNUM(tblRidershipData[[#This Row],[MeasurementDate]])</f>
        <v>50</v>
      </c>
      <c r="K2410" s="19">
        <f>MONTH(tblRidershipData[[#This Row],[MeasurementDate]])</f>
        <v>12</v>
      </c>
    </row>
    <row r="2411" spans="1:11" x14ac:dyDescent="0.25">
      <c r="A2411" s="31">
        <v>43811</v>
      </c>
      <c r="B2411" t="s">
        <v>5</v>
      </c>
      <c r="C2411" s="31">
        <v>4504</v>
      </c>
      <c r="D2411" t="s">
        <v>96</v>
      </c>
      <c r="E2411" t="s">
        <v>109</v>
      </c>
      <c r="F2411">
        <v>2</v>
      </c>
      <c r="G2411" t="s">
        <v>73</v>
      </c>
      <c r="H2411" t="s">
        <v>112</v>
      </c>
      <c r="I2411">
        <v>1</v>
      </c>
      <c r="J2411" s="19">
        <f>WEEKNUM(tblRidershipData[[#This Row],[MeasurementDate]])</f>
        <v>50</v>
      </c>
      <c r="K2411" s="19">
        <f>MONTH(tblRidershipData[[#This Row],[MeasurementDate]])</f>
        <v>12</v>
      </c>
    </row>
    <row r="2412" spans="1:11" x14ac:dyDescent="0.25">
      <c r="A2412" s="31">
        <v>43811</v>
      </c>
      <c r="B2412" t="s">
        <v>5</v>
      </c>
      <c r="C2412" s="31">
        <v>4504</v>
      </c>
      <c r="D2412" t="s">
        <v>96</v>
      </c>
      <c r="E2412" t="s">
        <v>109</v>
      </c>
      <c r="F2412">
        <v>2</v>
      </c>
      <c r="G2412" t="s">
        <v>77</v>
      </c>
      <c r="H2412" t="s">
        <v>112</v>
      </c>
      <c r="I2412">
        <v>2</v>
      </c>
      <c r="J2412" s="19">
        <f>WEEKNUM(tblRidershipData[[#This Row],[MeasurementDate]])</f>
        <v>50</v>
      </c>
      <c r="K2412" s="19">
        <f>MONTH(tblRidershipData[[#This Row],[MeasurementDate]])</f>
        <v>12</v>
      </c>
    </row>
    <row r="2413" spans="1:11" x14ac:dyDescent="0.25">
      <c r="A2413" s="31">
        <v>43811</v>
      </c>
      <c r="B2413" t="s">
        <v>5</v>
      </c>
      <c r="C2413" s="31">
        <v>6550</v>
      </c>
      <c r="D2413" t="s">
        <v>92</v>
      </c>
      <c r="E2413" t="s">
        <v>111</v>
      </c>
      <c r="F2413">
        <v>1</v>
      </c>
      <c r="G2413" t="s">
        <v>45</v>
      </c>
      <c r="H2413" t="s">
        <v>110</v>
      </c>
      <c r="I2413">
        <v>1</v>
      </c>
      <c r="J2413" s="19">
        <f>WEEKNUM(tblRidershipData[[#This Row],[MeasurementDate]])</f>
        <v>50</v>
      </c>
      <c r="K2413" s="19">
        <f>MONTH(tblRidershipData[[#This Row],[MeasurementDate]])</f>
        <v>12</v>
      </c>
    </row>
    <row r="2414" spans="1:11" x14ac:dyDescent="0.25">
      <c r="A2414" s="31">
        <v>43811</v>
      </c>
      <c r="B2414" t="s">
        <v>5</v>
      </c>
      <c r="C2414" s="31">
        <v>6550</v>
      </c>
      <c r="D2414" t="s">
        <v>92</v>
      </c>
      <c r="E2414" t="s">
        <v>111</v>
      </c>
      <c r="F2414">
        <v>1</v>
      </c>
      <c r="G2414" t="s">
        <v>47</v>
      </c>
      <c r="H2414" t="s">
        <v>110</v>
      </c>
      <c r="I2414">
        <v>12</v>
      </c>
      <c r="J2414" s="19">
        <f>WEEKNUM(tblRidershipData[[#This Row],[MeasurementDate]])</f>
        <v>50</v>
      </c>
      <c r="K2414" s="19">
        <f>MONTH(tblRidershipData[[#This Row],[MeasurementDate]])</f>
        <v>12</v>
      </c>
    </row>
    <row r="2415" spans="1:11" x14ac:dyDescent="0.25">
      <c r="A2415" s="31">
        <v>43811</v>
      </c>
      <c r="B2415" t="s">
        <v>5</v>
      </c>
      <c r="C2415" s="31">
        <v>6550</v>
      </c>
      <c r="D2415" t="s">
        <v>92</v>
      </c>
      <c r="E2415" t="s">
        <v>111</v>
      </c>
      <c r="F2415">
        <v>1</v>
      </c>
      <c r="G2415" t="s">
        <v>54</v>
      </c>
      <c r="H2415" t="s">
        <v>110</v>
      </c>
      <c r="I2415">
        <v>14</v>
      </c>
      <c r="J2415" s="19">
        <f>WEEKNUM(tblRidershipData[[#This Row],[MeasurementDate]])</f>
        <v>50</v>
      </c>
      <c r="K2415" s="19">
        <f>MONTH(tblRidershipData[[#This Row],[MeasurementDate]])</f>
        <v>12</v>
      </c>
    </row>
    <row r="2416" spans="1:11" x14ac:dyDescent="0.25">
      <c r="A2416" s="31">
        <v>43811</v>
      </c>
      <c r="B2416" t="s">
        <v>5</v>
      </c>
      <c r="C2416" s="31">
        <v>6550</v>
      </c>
      <c r="D2416" t="s">
        <v>92</v>
      </c>
      <c r="E2416" t="s">
        <v>111</v>
      </c>
      <c r="F2416">
        <v>1</v>
      </c>
      <c r="G2416" t="s">
        <v>58</v>
      </c>
      <c r="H2416" t="s">
        <v>110</v>
      </c>
      <c r="I2416">
        <v>4</v>
      </c>
      <c r="J2416" s="19">
        <f>WEEKNUM(tblRidershipData[[#This Row],[MeasurementDate]])</f>
        <v>50</v>
      </c>
      <c r="K2416" s="19">
        <f>MONTH(tblRidershipData[[#This Row],[MeasurementDate]])</f>
        <v>12</v>
      </c>
    </row>
    <row r="2417" spans="1:11" x14ac:dyDescent="0.25">
      <c r="A2417" s="31">
        <v>43811</v>
      </c>
      <c r="B2417" t="s">
        <v>5</v>
      </c>
      <c r="C2417" s="31">
        <v>6550</v>
      </c>
      <c r="D2417" t="s">
        <v>92</v>
      </c>
      <c r="E2417" t="s">
        <v>111</v>
      </c>
      <c r="F2417">
        <v>1</v>
      </c>
      <c r="G2417" t="s">
        <v>62</v>
      </c>
      <c r="H2417" t="s">
        <v>110</v>
      </c>
      <c r="I2417">
        <v>14</v>
      </c>
      <c r="J2417" s="19">
        <f>WEEKNUM(tblRidershipData[[#This Row],[MeasurementDate]])</f>
        <v>50</v>
      </c>
      <c r="K2417" s="19">
        <f>MONTH(tblRidershipData[[#This Row],[MeasurementDate]])</f>
        <v>12</v>
      </c>
    </row>
    <row r="2418" spans="1:11" x14ac:dyDescent="0.25">
      <c r="A2418" s="31">
        <v>43811</v>
      </c>
      <c r="B2418" t="s">
        <v>5</v>
      </c>
      <c r="C2418" s="31">
        <v>6550</v>
      </c>
      <c r="D2418" t="s">
        <v>92</v>
      </c>
      <c r="E2418" t="s">
        <v>111</v>
      </c>
      <c r="F2418">
        <v>1</v>
      </c>
      <c r="G2418" t="s">
        <v>64</v>
      </c>
      <c r="H2418" t="s">
        <v>110</v>
      </c>
      <c r="I2418">
        <v>7</v>
      </c>
      <c r="J2418" s="19">
        <f>WEEKNUM(tblRidershipData[[#This Row],[MeasurementDate]])</f>
        <v>50</v>
      </c>
      <c r="K2418" s="19">
        <f>MONTH(tblRidershipData[[#This Row],[MeasurementDate]])</f>
        <v>12</v>
      </c>
    </row>
    <row r="2419" spans="1:11" x14ac:dyDescent="0.25">
      <c r="A2419" s="31">
        <v>43811</v>
      </c>
      <c r="B2419" t="s">
        <v>5</v>
      </c>
      <c r="C2419" s="31">
        <v>6550</v>
      </c>
      <c r="D2419" t="s">
        <v>92</v>
      </c>
      <c r="E2419" t="s">
        <v>111</v>
      </c>
      <c r="F2419">
        <v>1</v>
      </c>
      <c r="G2419" t="s">
        <v>72</v>
      </c>
      <c r="H2419" t="s">
        <v>110</v>
      </c>
      <c r="I2419">
        <v>4</v>
      </c>
      <c r="J2419" s="19">
        <f>WEEKNUM(tblRidershipData[[#This Row],[MeasurementDate]])</f>
        <v>50</v>
      </c>
      <c r="K2419" s="19">
        <f>MONTH(tblRidershipData[[#This Row],[MeasurementDate]])</f>
        <v>12</v>
      </c>
    </row>
    <row r="2420" spans="1:11" x14ac:dyDescent="0.25">
      <c r="A2420" s="31">
        <v>43811</v>
      </c>
      <c r="B2420" t="s">
        <v>5</v>
      </c>
      <c r="C2420" s="31">
        <v>6550</v>
      </c>
      <c r="D2420" t="s">
        <v>92</v>
      </c>
      <c r="E2420" t="s">
        <v>111</v>
      </c>
      <c r="F2420">
        <v>1</v>
      </c>
      <c r="G2420" t="s">
        <v>73</v>
      </c>
      <c r="H2420" t="s">
        <v>110</v>
      </c>
      <c r="I2420">
        <v>6</v>
      </c>
      <c r="J2420" s="19">
        <f>WEEKNUM(tblRidershipData[[#This Row],[MeasurementDate]])</f>
        <v>50</v>
      </c>
      <c r="K2420" s="19">
        <f>MONTH(tblRidershipData[[#This Row],[MeasurementDate]])</f>
        <v>12</v>
      </c>
    </row>
    <row r="2421" spans="1:11" x14ac:dyDescent="0.25">
      <c r="A2421" s="31">
        <v>43811</v>
      </c>
      <c r="B2421" t="s">
        <v>5</v>
      </c>
      <c r="C2421" s="31">
        <v>6550</v>
      </c>
      <c r="D2421" t="s">
        <v>92</v>
      </c>
      <c r="E2421" t="s">
        <v>111</v>
      </c>
      <c r="F2421">
        <v>2</v>
      </c>
      <c r="G2421" t="s">
        <v>49</v>
      </c>
      <c r="H2421" t="s">
        <v>110</v>
      </c>
      <c r="I2421">
        <v>2</v>
      </c>
      <c r="J2421" s="19">
        <f>WEEKNUM(tblRidershipData[[#This Row],[MeasurementDate]])</f>
        <v>50</v>
      </c>
      <c r="K2421" s="19">
        <f>MONTH(tblRidershipData[[#This Row],[MeasurementDate]])</f>
        <v>12</v>
      </c>
    </row>
    <row r="2422" spans="1:11" x14ac:dyDescent="0.25">
      <c r="A2422" s="31">
        <v>43811</v>
      </c>
      <c r="B2422" t="s">
        <v>5</v>
      </c>
      <c r="C2422" s="31">
        <v>6550</v>
      </c>
      <c r="D2422" t="s">
        <v>92</v>
      </c>
      <c r="E2422" t="s">
        <v>111</v>
      </c>
      <c r="F2422">
        <v>2</v>
      </c>
      <c r="G2422" t="s">
        <v>50</v>
      </c>
      <c r="H2422" t="s">
        <v>110</v>
      </c>
      <c r="I2422">
        <v>4</v>
      </c>
      <c r="J2422" s="19">
        <f>WEEKNUM(tblRidershipData[[#This Row],[MeasurementDate]])</f>
        <v>50</v>
      </c>
      <c r="K2422" s="19">
        <f>MONTH(tblRidershipData[[#This Row],[MeasurementDate]])</f>
        <v>12</v>
      </c>
    </row>
    <row r="2423" spans="1:11" x14ac:dyDescent="0.25">
      <c r="A2423" s="31">
        <v>43811</v>
      </c>
      <c r="B2423" t="s">
        <v>5</v>
      </c>
      <c r="C2423" s="31">
        <v>6550</v>
      </c>
      <c r="D2423" t="s">
        <v>92</v>
      </c>
      <c r="E2423" t="s">
        <v>111</v>
      </c>
      <c r="F2423">
        <v>2</v>
      </c>
      <c r="G2423" t="s">
        <v>77</v>
      </c>
      <c r="H2423" t="s">
        <v>110</v>
      </c>
      <c r="I2423">
        <v>1</v>
      </c>
      <c r="J2423" s="19">
        <f>WEEKNUM(tblRidershipData[[#This Row],[MeasurementDate]])</f>
        <v>50</v>
      </c>
      <c r="K2423" s="19">
        <f>MONTH(tblRidershipData[[#This Row],[MeasurementDate]])</f>
        <v>12</v>
      </c>
    </row>
    <row r="2424" spans="1:11" x14ac:dyDescent="0.25">
      <c r="A2424" s="31">
        <v>43811</v>
      </c>
      <c r="B2424" t="s">
        <v>5</v>
      </c>
      <c r="C2424" s="31">
        <v>6550</v>
      </c>
      <c r="D2424" t="s">
        <v>92</v>
      </c>
      <c r="E2424" t="s">
        <v>109</v>
      </c>
      <c r="F2424">
        <v>1</v>
      </c>
      <c r="G2424" t="s">
        <v>70</v>
      </c>
      <c r="H2424" t="s">
        <v>110</v>
      </c>
      <c r="I2424">
        <v>24</v>
      </c>
      <c r="J2424" s="19">
        <f>WEEKNUM(tblRidershipData[[#This Row],[MeasurementDate]])</f>
        <v>50</v>
      </c>
      <c r="K2424" s="19">
        <f>MONTH(tblRidershipData[[#This Row],[MeasurementDate]])</f>
        <v>12</v>
      </c>
    </row>
    <row r="2425" spans="1:11" x14ac:dyDescent="0.25">
      <c r="A2425" s="31">
        <v>43811</v>
      </c>
      <c r="B2425" t="s">
        <v>5</v>
      </c>
      <c r="C2425" s="31">
        <v>6550</v>
      </c>
      <c r="D2425" t="s">
        <v>92</v>
      </c>
      <c r="E2425" t="s">
        <v>109</v>
      </c>
      <c r="F2425">
        <v>2</v>
      </c>
      <c r="G2425" t="s">
        <v>52</v>
      </c>
      <c r="H2425" t="s">
        <v>110</v>
      </c>
      <c r="I2425">
        <v>31</v>
      </c>
      <c r="J2425" s="19">
        <f>WEEKNUM(tblRidershipData[[#This Row],[MeasurementDate]])</f>
        <v>50</v>
      </c>
      <c r="K2425" s="19">
        <f>MONTH(tblRidershipData[[#This Row],[MeasurementDate]])</f>
        <v>12</v>
      </c>
    </row>
    <row r="2426" spans="1:11" x14ac:dyDescent="0.25">
      <c r="A2426" s="31">
        <v>43811</v>
      </c>
      <c r="B2426" t="s">
        <v>5</v>
      </c>
      <c r="C2426" s="31">
        <v>6550</v>
      </c>
      <c r="D2426" t="s">
        <v>92</v>
      </c>
      <c r="E2426" t="s">
        <v>111</v>
      </c>
      <c r="F2426">
        <v>1</v>
      </c>
      <c r="G2426" t="s">
        <v>52</v>
      </c>
      <c r="H2426" t="s">
        <v>112</v>
      </c>
      <c r="I2426">
        <v>2</v>
      </c>
      <c r="J2426" s="19">
        <f>WEEKNUM(tblRidershipData[[#This Row],[MeasurementDate]])</f>
        <v>50</v>
      </c>
      <c r="K2426" s="19">
        <f>MONTH(tblRidershipData[[#This Row],[MeasurementDate]])</f>
        <v>12</v>
      </c>
    </row>
    <row r="2427" spans="1:11" x14ac:dyDescent="0.25">
      <c r="A2427" s="31">
        <v>43811</v>
      </c>
      <c r="B2427" t="s">
        <v>5</v>
      </c>
      <c r="C2427" s="31">
        <v>6550</v>
      </c>
      <c r="D2427" t="s">
        <v>92</v>
      </c>
      <c r="E2427" t="s">
        <v>111</v>
      </c>
      <c r="F2427">
        <v>1</v>
      </c>
      <c r="G2427" t="s">
        <v>59</v>
      </c>
      <c r="H2427" t="s">
        <v>112</v>
      </c>
      <c r="I2427">
        <v>17</v>
      </c>
      <c r="J2427" s="19">
        <f>WEEKNUM(tblRidershipData[[#This Row],[MeasurementDate]])</f>
        <v>50</v>
      </c>
      <c r="K2427" s="19">
        <f>MONTH(tblRidershipData[[#This Row],[MeasurementDate]])</f>
        <v>12</v>
      </c>
    </row>
    <row r="2428" spans="1:11" x14ac:dyDescent="0.25">
      <c r="A2428" s="31">
        <v>43811</v>
      </c>
      <c r="B2428" t="s">
        <v>5</v>
      </c>
      <c r="C2428" s="31">
        <v>6550</v>
      </c>
      <c r="D2428" t="s">
        <v>92</v>
      </c>
      <c r="E2428" t="s">
        <v>111</v>
      </c>
      <c r="F2428">
        <v>1</v>
      </c>
      <c r="G2428" t="s">
        <v>67</v>
      </c>
      <c r="H2428" t="s">
        <v>112</v>
      </c>
      <c r="I2428">
        <v>8</v>
      </c>
      <c r="J2428" s="19">
        <f>WEEKNUM(tblRidershipData[[#This Row],[MeasurementDate]])</f>
        <v>50</v>
      </c>
      <c r="K2428" s="19">
        <f>MONTH(tblRidershipData[[#This Row],[MeasurementDate]])</f>
        <v>12</v>
      </c>
    </row>
    <row r="2429" spans="1:11" x14ac:dyDescent="0.25">
      <c r="A2429" s="31">
        <v>43811</v>
      </c>
      <c r="B2429" t="s">
        <v>5</v>
      </c>
      <c r="C2429" s="31">
        <v>6550</v>
      </c>
      <c r="D2429" t="s">
        <v>92</v>
      </c>
      <c r="E2429" t="s">
        <v>111</v>
      </c>
      <c r="F2429">
        <v>1</v>
      </c>
      <c r="G2429" t="s">
        <v>72</v>
      </c>
      <c r="H2429" t="s">
        <v>112</v>
      </c>
      <c r="I2429">
        <v>11</v>
      </c>
      <c r="J2429" s="19">
        <f>WEEKNUM(tblRidershipData[[#This Row],[MeasurementDate]])</f>
        <v>50</v>
      </c>
      <c r="K2429" s="19">
        <f>MONTH(tblRidershipData[[#This Row],[MeasurementDate]])</f>
        <v>12</v>
      </c>
    </row>
    <row r="2430" spans="1:11" x14ac:dyDescent="0.25">
      <c r="A2430" s="31">
        <v>43811</v>
      </c>
      <c r="B2430" t="s">
        <v>5</v>
      </c>
      <c r="C2430" s="31">
        <v>6550</v>
      </c>
      <c r="D2430" t="s">
        <v>92</v>
      </c>
      <c r="E2430" t="s">
        <v>111</v>
      </c>
      <c r="F2430">
        <v>1</v>
      </c>
      <c r="G2430" t="s">
        <v>74</v>
      </c>
      <c r="H2430" t="s">
        <v>112</v>
      </c>
      <c r="I2430">
        <v>24</v>
      </c>
      <c r="J2430" s="19">
        <f>WEEKNUM(tblRidershipData[[#This Row],[MeasurementDate]])</f>
        <v>50</v>
      </c>
      <c r="K2430" s="19">
        <f>MONTH(tblRidershipData[[#This Row],[MeasurementDate]])</f>
        <v>12</v>
      </c>
    </row>
    <row r="2431" spans="1:11" x14ac:dyDescent="0.25">
      <c r="A2431" s="31">
        <v>43811</v>
      </c>
      <c r="B2431" t="s">
        <v>5</v>
      </c>
      <c r="C2431" s="31">
        <v>6550</v>
      </c>
      <c r="D2431" t="s">
        <v>92</v>
      </c>
      <c r="E2431" t="s">
        <v>111</v>
      </c>
      <c r="F2431">
        <v>2</v>
      </c>
      <c r="G2431" t="s">
        <v>44</v>
      </c>
      <c r="H2431" t="s">
        <v>112</v>
      </c>
      <c r="I2431">
        <v>7</v>
      </c>
      <c r="J2431" s="19">
        <f>WEEKNUM(tblRidershipData[[#This Row],[MeasurementDate]])</f>
        <v>50</v>
      </c>
      <c r="K2431" s="19">
        <f>MONTH(tblRidershipData[[#This Row],[MeasurementDate]])</f>
        <v>12</v>
      </c>
    </row>
    <row r="2432" spans="1:11" x14ac:dyDescent="0.25">
      <c r="A2432" s="31">
        <v>43811</v>
      </c>
      <c r="B2432" t="s">
        <v>5</v>
      </c>
      <c r="C2432" s="31">
        <v>6550</v>
      </c>
      <c r="D2432" t="s">
        <v>92</v>
      </c>
      <c r="E2432" t="s">
        <v>109</v>
      </c>
      <c r="F2432">
        <v>1</v>
      </c>
      <c r="G2432" t="s">
        <v>45</v>
      </c>
      <c r="H2432" t="s">
        <v>112</v>
      </c>
      <c r="I2432">
        <v>2</v>
      </c>
      <c r="J2432" s="19">
        <f>WEEKNUM(tblRidershipData[[#This Row],[MeasurementDate]])</f>
        <v>50</v>
      </c>
      <c r="K2432" s="19">
        <f>MONTH(tblRidershipData[[#This Row],[MeasurementDate]])</f>
        <v>12</v>
      </c>
    </row>
    <row r="2433" spans="1:11" x14ac:dyDescent="0.25">
      <c r="A2433" s="31">
        <v>43811</v>
      </c>
      <c r="B2433" t="s">
        <v>5</v>
      </c>
      <c r="C2433" s="31">
        <v>6550</v>
      </c>
      <c r="D2433" t="s">
        <v>92</v>
      </c>
      <c r="E2433" t="s">
        <v>109</v>
      </c>
      <c r="F2433">
        <v>1</v>
      </c>
      <c r="G2433" t="s">
        <v>48</v>
      </c>
      <c r="H2433" t="s">
        <v>112</v>
      </c>
      <c r="I2433">
        <v>2</v>
      </c>
      <c r="J2433" s="19">
        <f>WEEKNUM(tblRidershipData[[#This Row],[MeasurementDate]])</f>
        <v>50</v>
      </c>
      <c r="K2433" s="19">
        <f>MONTH(tblRidershipData[[#This Row],[MeasurementDate]])</f>
        <v>12</v>
      </c>
    </row>
    <row r="2434" spans="1:11" x14ac:dyDescent="0.25">
      <c r="A2434" s="31">
        <v>43811</v>
      </c>
      <c r="B2434" t="s">
        <v>5</v>
      </c>
      <c r="C2434" s="31">
        <v>6550</v>
      </c>
      <c r="D2434" t="s">
        <v>92</v>
      </c>
      <c r="E2434" t="s">
        <v>109</v>
      </c>
      <c r="F2434">
        <v>1</v>
      </c>
      <c r="G2434" t="s">
        <v>49</v>
      </c>
      <c r="H2434" t="s">
        <v>112</v>
      </c>
      <c r="I2434">
        <v>1</v>
      </c>
      <c r="J2434" s="19">
        <f>WEEKNUM(tblRidershipData[[#This Row],[MeasurementDate]])</f>
        <v>50</v>
      </c>
      <c r="K2434" s="19">
        <f>MONTH(tblRidershipData[[#This Row],[MeasurementDate]])</f>
        <v>12</v>
      </c>
    </row>
    <row r="2435" spans="1:11" x14ac:dyDescent="0.25">
      <c r="A2435" s="31">
        <v>43811</v>
      </c>
      <c r="B2435" t="s">
        <v>5</v>
      </c>
      <c r="C2435" s="31">
        <v>6550</v>
      </c>
      <c r="D2435" t="s">
        <v>92</v>
      </c>
      <c r="E2435" t="s">
        <v>109</v>
      </c>
      <c r="F2435">
        <v>1</v>
      </c>
      <c r="G2435" t="s">
        <v>50</v>
      </c>
      <c r="H2435" t="s">
        <v>112</v>
      </c>
      <c r="I2435">
        <v>5</v>
      </c>
      <c r="J2435" s="19">
        <f>WEEKNUM(tblRidershipData[[#This Row],[MeasurementDate]])</f>
        <v>50</v>
      </c>
      <c r="K2435" s="19">
        <f>MONTH(tblRidershipData[[#This Row],[MeasurementDate]])</f>
        <v>12</v>
      </c>
    </row>
    <row r="2436" spans="1:11" x14ac:dyDescent="0.25">
      <c r="A2436" s="31">
        <v>43811</v>
      </c>
      <c r="B2436" t="s">
        <v>5</v>
      </c>
      <c r="C2436" s="31">
        <v>6550</v>
      </c>
      <c r="D2436" t="s">
        <v>92</v>
      </c>
      <c r="E2436" t="s">
        <v>109</v>
      </c>
      <c r="F2436">
        <v>1</v>
      </c>
      <c r="G2436" t="s">
        <v>56</v>
      </c>
      <c r="H2436" t="s">
        <v>112</v>
      </c>
      <c r="I2436">
        <v>3</v>
      </c>
      <c r="J2436" s="19">
        <f>WEEKNUM(tblRidershipData[[#This Row],[MeasurementDate]])</f>
        <v>50</v>
      </c>
      <c r="K2436" s="19">
        <f>MONTH(tblRidershipData[[#This Row],[MeasurementDate]])</f>
        <v>12</v>
      </c>
    </row>
    <row r="2437" spans="1:11" x14ac:dyDescent="0.25">
      <c r="A2437" s="31">
        <v>43811</v>
      </c>
      <c r="B2437" t="s">
        <v>5</v>
      </c>
      <c r="C2437" s="31">
        <v>6550</v>
      </c>
      <c r="D2437" t="s">
        <v>92</v>
      </c>
      <c r="E2437" t="s">
        <v>109</v>
      </c>
      <c r="F2437">
        <v>1</v>
      </c>
      <c r="G2437" t="s">
        <v>72</v>
      </c>
      <c r="H2437" t="s">
        <v>112</v>
      </c>
      <c r="I2437">
        <v>10</v>
      </c>
      <c r="J2437" s="19">
        <f>WEEKNUM(tblRidershipData[[#This Row],[MeasurementDate]])</f>
        <v>50</v>
      </c>
      <c r="K2437" s="19">
        <f>MONTH(tblRidershipData[[#This Row],[MeasurementDate]])</f>
        <v>12</v>
      </c>
    </row>
    <row r="2438" spans="1:11" x14ac:dyDescent="0.25">
      <c r="A2438" s="31">
        <v>43811</v>
      </c>
      <c r="B2438" t="s">
        <v>5</v>
      </c>
      <c r="C2438" s="31">
        <v>6550</v>
      </c>
      <c r="D2438" t="s">
        <v>92</v>
      </c>
      <c r="E2438" t="s">
        <v>109</v>
      </c>
      <c r="F2438">
        <v>1</v>
      </c>
      <c r="G2438" t="s">
        <v>76</v>
      </c>
      <c r="H2438" t="s">
        <v>112</v>
      </c>
      <c r="I2438">
        <v>1</v>
      </c>
      <c r="J2438" s="19">
        <f>WEEKNUM(tblRidershipData[[#This Row],[MeasurementDate]])</f>
        <v>50</v>
      </c>
      <c r="K2438" s="19">
        <f>MONTH(tblRidershipData[[#This Row],[MeasurementDate]])</f>
        <v>12</v>
      </c>
    </row>
    <row r="2439" spans="1:11" x14ac:dyDescent="0.25">
      <c r="A2439" s="31">
        <v>43811</v>
      </c>
      <c r="B2439" t="s">
        <v>5</v>
      </c>
      <c r="C2439" s="31">
        <v>6550</v>
      </c>
      <c r="D2439" t="s">
        <v>92</v>
      </c>
      <c r="E2439" t="s">
        <v>109</v>
      </c>
      <c r="F2439">
        <v>2</v>
      </c>
      <c r="G2439" t="s">
        <v>45</v>
      </c>
      <c r="H2439" t="s">
        <v>112</v>
      </c>
      <c r="I2439">
        <v>14</v>
      </c>
      <c r="J2439" s="19">
        <f>WEEKNUM(tblRidershipData[[#This Row],[MeasurementDate]])</f>
        <v>50</v>
      </c>
      <c r="K2439" s="19">
        <f>MONTH(tblRidershipData[[#This Row],[MeasurementDate]])</f>
        <v>12</v>
      </c>
    </row>
    <row r="2440" spans="1:11" x14ac:dyDescent="0.25">
      <c r="A2440" s="31">
        <v>43811</v>
      </c>
      <c r="B2440" t="s">
        <v>5</v>
      </c>
      <c r="C2440" s="31">
        <v>6550</v>
      </c>
      <c r="D2440" t="s">
        <v>92</v>
      </c>
      <c r="E2440" t="s">
        <v>109</v>
      </c>
      <c r="F2440">
        <v>2</v>
      </c>
      <c r="G2440" t="s">
        <v>47</v>
      </c>
      <c r="H2440" t="s">
        <v>112</v>
      </c>
      <c r="I2440">
        <v>15</v>
      </c>
      <c r="J2440" s="19">
        <f>WEEKNUM(tblRidershipData[[#This Row],[MeasurementDate]])</f>
        <v>50</v>
      </c>
      <c r="K2440" s="19">
        <f>MONTH(tblRidershipData[[#This Row],[MeasurementDate]])</f>
        <v>12</v>
      </c>
    </row>
    <row r="2441" spans="1:11" x14ac:dyDescent="0.25">
      <c r="A2441" s="31">
        <v>43811</v>
      </c>
      <c r="B2441" t="s">
        <v>5</v>
      </c>
      <c r="C2441" s="31">
        <v>6550</v>
      </c>
      <c r="D2441" t="s">
        <v>92</v>
      </c>
      <c r="E2441" t="s">
        <v>109</v>
      </c>
      <c r="F2441">
        <v>2</v>
      </c>
      <c r="G2441" t="s">
        <v>49</v>
      </c>
      <c r="H2441" t="s">
        <v>112</v>
      </c>
      <c r="I2441">
        <v>1</v>
      </c>
      <c r="J2441" s="19">
        <f>WEEKNUM(tblRidershipData[[#This Row],[MeasurementDate]])</f>
        <v>50</v>
      </c>
      <c r="K2441" s="19">
        <f>MONTH(tblRidershipData[[#This Row],[MeasurementDate]])</f>
        <v>12</v>
      </c>
    </row>
    <row r="2442" spans="1:11" x14ac:dyDescent="0.25">
      <c r="A2442" s="31">
        <v>43811</v>
      </c>
      <c r="B2442" t="s">
        <v>5</v>
      </c>
      <c r="C2442" s="31">
        <v>6550</v>
      </c>
      <c r="D2442" t="s">
        <v>92</v>
      </c>
      <c r="E2442" t="s">
        <v>109</v>
      </c>
      <c r="F2442">
        <v>2</v>
      </c>
      <c r="G2442" t="s">
        <v>50</v>
      </c>
      <c r="H2442" t="s">
        <v>112</v>
      </c>
      <c r="I2442">
        <v>4</v>
      </c>
      <c r="J2442" s="19">
        <f>WEEKNUM(tblRidershipData[[#This Row],[MeasurementDate]])</f>
        <v>50</v>
      </c>
      <c r="K2442" s="19">
        <f>MONTH(tblRidershipData[[#This Row],[MeasurementDate]])</f>
        <v>12</v>
      </c>
    </row>
    <row r="2443" spans="1:11" x14ac:dyDescent="0.25">
      <c r="A2443" s="31">
        <v>43811</v>
      </c>
      <c r="B2443" t="s">
        <v>5</v>
      </c>
      <c r="C2443" s="31">
        <v>6550</v>
      </c>
      <c r="D2443" t="s">
        <v>92</v>
      </c>
      <c r="E2443" t="s">
        <v>109</v>
      </c>
      <c r="F2443">
        <v>2</v>
      </c>
      <c r="G2443" t="s">
        <v>52</v>
      </c>
      <c r="H2443" t="s">
        <v>112</v>
      </c>
      <c r="I2443">
        <v>3</v>
      </c>
      <c r="J2443" s="19">
        <f>WEEKNUM(tblRidershipData[[#This Row],[MeasurementDate]])</f>
        <v>50</v>
      </c>
      <c r="K2443" s="19">
        <f>MONTH(tblRidershipData[[#This Row],[MeasurementDate]])</f>
        <v>12</v>
      </c>
    </row>
    <row r="2444" spans="1:11" x14ac:dyDescent="0.25">
      <c r="A2444" s="31">
        <v>43811</v>
      </c>
      <c r="B2444" t="s">
        <v>5</v>
      </c>
      <c r="C2444" s="31">
        <v>6550</v>
      </c>
      <c r="D2444" t="s">
        <v>92</v>
      </c>
      <c r="E2444" t="s">
        <v>109</v>
      </c>
      <c r="F2444">
        <v>2</v>
      </c>
      <c r="G2444" t="s">
        <v>56</v>
      </c>
      <c r="H2444" t="s">
        <v>112</v>
      </c>
      <c r="I2444">
        <v>7</v>
      </c>
      <c r="J2444" s="19">
        <f>WEEKNUM(tblRidershipData[[#This Row],[MeasurementDate]])</f>
        <v>50</v>
      </c>
      <c r="K2444" s="19">
        <f>MONTH(tblRidershipData[[#This Row],[MeasurementDate]])</f>
        <v>12</v>
      </c>
    </row>
    <row r="2445" spans="1:11" x14ac:dyDescent="0.25">
      <c r="A2445" s="31">
        <v>43811</v>
      </c>
      <c r="B2445" t="s">
        <v>5</v>
      </c>
      <c r="C2445" s="31">
        <v>6550</v>
      </c>
      <c r="D2445" t="s">
        <v>92</v>
      </c>
      <c r="E2445" t="s">
        <v>109</v>
      </c>
      <c r="F2445">
        <v>2</v>
      </c>
      <c r="G2445" t="s">
        <v>58</v>
      </c>
      <c r="H2445" t="s">
        <v>112</v>
      </c>
      <c r="I2445">
        <v>7</v>
      </c>
      <c r="J2445" s="19">
        <f>WEEKNUM(tblRidershipData[[#This Row],[MeasurementDate]])</f>
        <v>50</v>
      </c>
      <c r="K2445" s="19">
        <f>MONTH(tblRidershipData[[#This Row],[MeasurementDate]])</f>
        <v>12</v>
      </c>
    </row>
    <row r="2446" spans="1:11" x14ac:dyDescent="0.25">
      <c r="A2446" s="31">
        <v>43811</v>
      </c>
      <c r="B2446" t="s">
        <v>5</v>
      </c>
      <c r="C2446" s="31">
        <v>6550</v>
      </c>
      <c r="D2446" t="s">
        <v>92</v>
      </c>
      <c r="E2446" t="s">
        <v>109</v>
      </c>
      <c r="F2446">
        <v>2</v>
      </c>
      <c r="G2446" t="s">
        <v>73</v>
      </c>
      <c r="H2446" t="s">
        <v>112</v>
      </c>
      <c r="I2446">
        <v>4</v>
      </c>
      <c r="J2446" s="19">
        <f>WEEKNUM(tblRidershipData[[#This Row],[MeasurementDate]])</f>
        <v>50</v>
      </c>
      <c r="K2446" s="19">
        <f>MONTH(tblRidershipData[[#This Row],[MeasurementDate]])</f>
        <v>12</v>
      </c>
    </row>
    <row r="2447" spans="1:11" x14ac:dyDescent="0.25">
      <c r="A2447" s="31">
        <v>43811</v>
      </c>
      <c r="B2447" t="s">
        <v>5</v>
      </c>
      <c r="C2447" s="31">
        <v>9305</v>
      </c>
      <c r="D2447" t="s">
        <v>97</v>
      </c>
      <c r="E2447" t="s">
        <v>111</v>
      </c>
      <c r="F2447">
        <v>1</v>
      </c>
      <c r="G2447" t="s">
        <v>45</v>
      </c>
      <c r="H2447" t="s">
        <v>110</v>
      </c>
      <c r="I2447">
        <v>4</v>
      </c>
      <c r="J2447" s="19">
        <f>WEEKNUM(tblRidershipData[[#This Row],[MeasurementDate]])</f>
        <v>50</v>
      </c>
      <c r="K2447" s="19">
        <f>MONTH(tblRidershipData[[#This Row],[MeasurementDate]])</f>
        <v>12</v>
      </c>
    </row>
    <row r="2448" spans="1:11" x14ac:dyDescent="0.25">
      <c r="A2448" s="31">
        <v>43811</v>
      </c>
      <c r="B2448" t="s">
        <v>5</v>
      </c>
      <c r="C2448" s="31">
        <v>9305</v>
      </c>
      <c r="D2448" t="s">
        <v>97</v>
      </c>
      <c r="E2448" t="s">
        <v>111</v>
      </c>
      <c r="F2448">
        <v>1</v>
      </c>
      <c r="G2448" t="s">
        <v>48</v>
      </c>
      <c r="H2448" t="s">
        <v>110</v>
      </c>
      <c r="I2448">
        <v>6</v>
      </c>
      <c r="J2448" s="19">
        <f>WEEKNUM(tblRidershipData[[#This Row],[MeasurementDate]])</f>
        <v>50</v>
      </c>
      <c r="K2448" s="19">
        <f>MONTH(tblRidershipData[[#This Row],[MeasurementDate]])</f>
        <v>12</v>
      </c>
    </row>
    <row r="2449" spans="1:11" x14ac:dyDescent="0.25">
      <c r="A2449" s="31">
        <v>43811</v>
      </c>
      <c r="B2449" t="s">
        <v>5</v>
      </c>
      <c r="C2449" s="31">
        <v>9305</v>
      </c>
      <c r="D2449" t="s">
        <v>97</v>
      </c>
      <c r="E2449" t="s">
        <v>111</v>
      </c>
      <c r="F2449">
        <v>1</v>
      </c>
      <c r="G2449" t="s">
        <v>50</v>
      </c>
      <c r="H2449" t="s">
        <v>110</v>
      </c>
      <c r="I2449">
        <v>2</v>
      </c>
      <c r="J2449" s="19">
        <f>WEEKNUM(tblRidershipData[[#This Row],[MeasurementDate]])</f>
        <v>50</v>
      </c>
      <c r="K2449" s="19">
        <f>MONTH(tblRidershipData[[#This Row],[MeasurementDate]])</f>
        <v>12</v>
      </c>
    </row>
    <row r="2450" spans="1:11" x14ac:dyDescent="0.25">
      <c r="A2450" s="31">
        <v>43811</v>
      </c>
      <c r="B2450" t="s">
        <v>5</v>
      </c>
      <c r="C2450" s="31">
        <v>9305</v>
      </c>
      <c r="D2450" t="s">
        <v>97</v>
      </c>
      <c r="E2450" t="s">
        <v>111</v>
      </c>
      <c r="F2450">
        <v>1</v>
      </c>
      <c r="G2450" t="s">
        <v>54</v>
      </c>
      <c r="H2450" t="s">
        <v>110</v>
      </c>
      <c r="I2450">
        <v>21</v>
      </c>
      <c r="J2450" s="19">
        <f>WEEKNUM(tblRidershipData[[#This Row],[MeasurementDate]])</f>
        <v>50</v>
      </c>
      <c r="K2450" s="19">
        <f>MONTH(tblRidershipData[[#This Row],[MeasurementDate]])</f>
        <v>12</v>
      </c>
    </row>
    <row r="2451" spans="1:11" x14ac:dyDescent="0.25">
      <c r="A2451" s="31">
        <v>43811</v>
      </c>
      <c r="B2451" t="s">
        <v>5</v>
      </c>
      <c r="C2451" s="31">
        <v>9305</v>
      </c>
      <c r="D2451" t="s">
        <v>97</v>
      </c>
      <c r="E2451" t="s">
        <v>111</v>
      </c>
      <c r="F2451">
        <v>1</v>
      </c>
      <c r="G2451" t="s">
        <v>56</v>
      </c>
      <c r="H2451" t="s">
        <v>110</v>
      </c>
      <c r="I2451">
        <v>14</v>
      </c>
      <c r="J2451" s="19">
        <f>WEEKNUM(tblRidershipData[[#This Row],[MeasurementDate]])</f>
        <v>50</v>
      </c>
      <c r="K2451" s="19">
        <f>MONTH(tblRidershipData[[#This Row],[MeasurementDate]])</f>
        <v>12</v>
      </c>
    </row>
    <row r="2452" spans="1:11" x14ac:dyDescent="0.25">
      <c r="A2452" s="31">
        <v>43811</v>
      </c>
      <c r="B2452" t="s">
        <v>5</v>
      </c>
      <c r="C2452" s="31">
        <v>9305</v>
      </c>
      <c r="D2452" t="s">
        <v>97</v>
      </c>
      <c r="E2452" t="s">
        <v>111</v>
      </c>
      <c r="F2452">
        <v>1</v>
      </c>
      <c r="G2452" t="s">
        <v>62</v>
      </c>
      <c r="H2452" t="s">
        <v>110</v>
      </c>
      <c r="I2452">
        <v>2</v>
      </c>
      <c r="J2452" s="19">
        <f>WEEKNUM(tblRidershipData[[#This Row],[MeasurementDate]])</f>
        <v>50</v>
      </c>
      <c r="K2452" s="19">
        <f>MONTH(tblRidershipData[[#This Row],[MeasurementDate]])</f>
        <v>12</v>
      </c>
    </row>
    <row r="2453" spans="1:11" x14ac:dyDescent="0.25">
      <c r="A2453" s="31">
        <v>43811</v>
      </c>
      <c r="B2453" t="s">
        <v>5</v>
      </c>
      <c r="C2453" s="31">
        <v>9305</v>
      </c>
      <c r="D2453" t="s">
        <v>97</v>
      </c>
      <c r="E2453" t="s">
        <v>111</v>
      </c>
      <c r="F2453">
        <v>1</v>
      </c>
      <c r="G2453" t="s">
        <v>64</v>
      </c>
      <c r="H2453" t="s">
        <v>110</v>
      </c>
      <c r="I2453">
        <v>3</v>
      </c>
      <c r="J2453" s="19">
        <f>WEEKNUM(tblRidershipData[[#This Row],[MeasurementDate]])</f>
        <v>50</v>
      </c>
      <c r="K2453" s="19">
        <f>MONTH(tblRidershipData[[#This Row],[MeasurementDate]])</f>
        <v>12</v>
      </c>
    </row>
    <row r="2454" spans="1:11" x14ac:dyDescent="0.25">
      <c r="A2454" s="31">
        <v>43811</v>
      </c>
      <c r="B2454" t="s">
        <v>5</v>
      </c>
      <c r="C2454" s="31">
        <v>9305</v>
      </c>
      <c r="D2454" t="s">
        <v>97</v>
      </c>
      <c r="E2454" t="s">
        <v>111</v>
      </c>
      <c r="F2454">
        <v>1</v>
      </c>
      <c r="G2454" t="s">
        <v>67</v>
      </c>
      <c r="H2454" t="s">
        <v>110</v>
      </c>
      <c r="I2454">
        <v>1</v>
      </c>
      <c r="J2454" s="19">
        <f>WEEKNUM(tblRidershipData[[#This Row],[MeasurementDate]])</f>
        <v>50</v>
      </c>
      <c r="K2454" s="19">
        <f>MONTH(tblRidershipData[[#This Row],[MeasurementDate]])</f>
        <v>12</v>
      </c>
    </row>
    <row r="2455" spans="1:11" x14ac:dyDescent="0.25">
      <c r="A2455" s="31">
        <v>43811</v>
      </c>
      <c r="B2455" t="s">
        <v>5</v>
      </c>
      <c r="C2455" s="31">
        <v>9305</v>
      </c>
      <c r="D2455" t="s">
        <v>97</v>
      </c>
      <c r="E2455" t="s">
        <v>111</v>
      </c>
      <c r="F2455">
        <v>1</v>
      </c>
      <c r="G2455" t="s">
        <v>70</v>
      </c>
      <c r="H2455" t="s">
        <v>110</v>
      </c>
      <c r="I2455">
        <v>1</v>
      </c>
      <c r="J2455" s="19">
        <f>WEEKNUM(tblRidershipData[[#This Row],[MeasurementDate]])</f>
        <v>50</v>
      </c>
      <c r="K2455" s="19">
        <f>MONTH(tblRidershipData[[#This Row],[MeasurementDate]])</f>
        <v>12</v>
      </c>
    </row>
    <row r="2456" spans="1:11" x14ac:dyDescent="0.25">
      <c r="A2456" s="31">
        <v>43811</v>
      </c>
      <c r="B2456" t="s">
        <v>5</v>
      </c>
      <c r="C2456" s="31">
        <v>9305</v>
      </c>
      <c r="D2456" t="s">
        <v>97</v>
      </c>
      <c r="E2456" t="s">
        <v>111</v>
      </c>
      <c r="F2456">
        <v>1</v>
      </c>
      <c r="G2456" t="s">
        <v>72</v>
      </c>
      <c r="H2456" t="s">
        <v>110</v>
      </c>
      <c r="I2456">
        <v>15</v>
      </c>
      <c r="J2456" s="19">
        <f>WEEKNUM(tblRidershipData[[#This Row],[MeasurementDate]])</f>
        <v>50</v>
      </c>
      <c r="K2456" s="19">
        <f>MONTH(tblRidershipData[[#This Row],[MeasurementDate]])</f>
        <v>12</v>
      </c>
    </row>
    <row r="2457" spans="1:11" x14ac:dyDescent="0.25">
      <c r="A2457" s="31">
        <v>43811</v>
      </c>
      <c r="B2457" t="s">
        <v>5</v>
      </c>
      <c r="C2457" s="31">
        <v>9305</v>
      </c>
      <c r="D2457" t="s">
        <v>97</v>
      </c>
      <c r="E2457" t="s">
        <v>111</v>
      </c>
      <c r="F2457">
        <v>1</v>
      </c>
      <c r="G2457" t="s">
        <v>77</v>
      </c>
      <c r="H2457" t="s">
        <v>110</v>
      </c>
      <c r="I2457">
        <v>4</v>
      </c>
      <c r="J2457" s="19">
        <f>WEEKNUM(tblRidershipData[[#This Row],[MeasurementDate]])</f>
        <v>50</v>
      </c>
      <c r="K2457" s="19">
        <f>MONTH(tblRidershipData[[#This Row],[MeasurementDate]])</f>
        <v>12</v>
      </c>
    </row>
    <row r="2458" spans="1:11" x14ac:dyDescent="0.25">
      <c r="A2458" s="31">
        <v>43811</v>
      </c>
      <c r="B2458" t="s">
        <v>5</v>
      </c>
      <c r="C2458" s="31">
        <v>9305</v>
      </c>
      <c r="D2458" t="s">
        <v>97</v>
      </c>
      <c r="E2458" t="s">
        <v>109</v>
      </c>
      <c r="F2458">
        <v>1</v>
      </c>
      <c r="G2458" t="s">
        <v>52</v>
      </c>
      <c r="H2458" t="s">
        <v>110</v>
      </c>
      <c r="I2458">
        <v>60</v>
      </c>
      <c r="J2458" s="19">
        <f>WEEKNUM(tblRidershipData[[#This Row],[MeasurementDate]])</f>
        <v>50</v>
      </c>
      <c r="K2458" s="19">
        <f>MONTH(tblRidershipData[[#This Row],[MeasurementDate]])</f>
        <v>12</v>
      </c>
    </row>
    <row r="2459" spans="1:11" x14ac:dyDescent="0.25">
      <c r="A2459" s="31">
        <v>43811</v>
      </c>
      <c r="B2459" t="s">
        <v>5</v>
      </c>
      <c r="C2459" s="31">
        <v>9305</v>
      </c>
      <c r="D2459" t="s">
        <v>97</v>
      </c>
      <c r="E2459" t="s">
        <v>109</v>
      </c>
      <c r="F2459">
        <v>1</v>
      </c>
      <c r="G2459" t="s">
        <v>55</v>
      </c>
      <c r="H2459" t="s">
        <v>110</v>
      </c>
      <c r="I2459">
        <v>6</v>
      </c>
      <c r="J2459" s="19">
        <f>WEEKNUM(tblRidershipData[[#This Row],[MeasurementDate]])</f>
        <v>50</v>
      </c>
      <c r="K2459" s="19">
        <f>MONTH(tblRidershipData[[#This Row],[MeasurementDate]])</f>
        <v>12</v>
      </c>
    </row>
    <row r="2460" spans="1:11" x14ac:dyDescent="0.25">
      <c r="A2460" s="31">
        <v>43811</v>
      </c>
      <c r="B2460" t="s">
        <v>5</v>
      </c>
      <c r="C2460" s="31">
        <v>9305</v>
      </c>
      <c r="D2460" t="s">
        <v>97</v>
      </c>
      <c r="E2460" t="s">
        <v>109</v>
      </c>
      <c r="F2460">
        <v>1</v>
      </c>
      <c r="G2460" t="s">
        <v>56</v>
      </c>
      <c r="H2460" t="s">
        <v>110</v>
      </c>
      <c r="I2460">
        <v>6</v>
      </c>
      <c r="J2460" s="19">
        <f>WEEKNUM(tblRidershipData[[#This Row],[MeasurementDate]])</f>
        <v>50</v>
      </c>
      <c r="K2460" s="19">
        <f>MONTH(tblRidershipData[[#This Row],[MeasurementDate]])</f>
        <v>12</v>
      </c>
    </row>
    <row r="2461" spans="1:11" x14ac:dyDescent="0.25">
      <c r="A2461" s="31">
        <v>43811</v>
      </c>
      <c r="B2461" t="s">
        <v>5</v>
      </c>
      <c r="C2461" s="31">
        <v>9305</v>
      </c>
      <c r="D2461" t="s">
        <v>97</v>
      </c>
      <c r="E2461" t="s">
        <v>109</v>
      </c>
      <c r="F2461">
        <v>2</v>
      </c>
      <c r="G2461" t="s">
        <v>74</v>
      </c>
      <c r="H2461" t="s">
        <v>110</v>
      </c>
      <c r="I2461">
        <v>7</v>
      </c>
      <c r="J2461" s="19">
        <f>WEEKNUM(tblRidershipData[[#This Row],[MeasurementDate]])</f>
        <v>50</v>
      </c>
      <c r="K2461" s="19">
        <f>MONTH(tblRidershipData[[#This Row],[MeasurementDate]])</f>
        <v>12</v>
      </c>
    </row>
    <row r="2462" spans="1:11" x14ac:dyDescent="0.25">
      <c r="A2462" s="31">
        <v>43811</v>
      </c>
      <c r="B2462" t="s">
        <v>5</v>
      </c>
      <c r="C2462" s="31">
        <v>9305</v>
      </c>
      <c r="D2462" t="s">
        <v>97</v>
      </c>
      <c r="E2462" t="s">
        <v>109</v>
      </c>
      <c r="F2462">
        <v>1</v>
      </c>
      <c r="G2462" t="s">
        <v>43</v>
      </c>
      <c r="H2462" t="s">
        <v>112</v>
      </c>
      <c r="I2462">
        <v>6</v>
      </c>
      <c r="J2462" s="19">
        <f>WEEKNUM(tblRidershipData[[#This Row],[MeasurementDate]])</f>
        <v>50</v>
      </c>
      <c r="K2462" s="19">
        <f>MONTH(tblRidershipData[[#This Row],[MeasurementDate]])</f>
        <v>12</v>
      </c>
    </row>
    <row r="2463" spans="1:11" x14ac:dyDescent="0.25">
      <c r="A2463" s="31">
        <v>43811</v>
      </c>
      <c r="B2463" t="s">
        <v>5</v>
      </c>
      <c r="C2463" s="31">
        <v>9305</v>
      </c>
      <c r="D2463" t="s">
        <v>97</v>
      </c>
      <c r="E2463" t="s">
        <v>109</v>
      </c>
      <c r="F2463">
        <v>1</v>
      </c>
      <c r="G2463" t="s">
        <v>45</v>
      </c>
      <c r="H2463" t="s">
        <v>112</v>
      </c>
      <c r="I2463">
        <v>9</v>
      </c>
      <c r="J2463" s="19">
        <f>WEEKNUM(tblRidershipData[[#This Row],[MeasurementDate]])</f>
        <v>50</v>
      </c>
      <c r="K2463" s="19">
        <f>MONTH(tblRidershipData[[#This Row],[MeasurementDate]])</f>
        <v>12</v>
      </c>
    </row>
    <row r="2464" spans="1:11" x14ac:dyDescent="0.25">
      <c r="A2464" s="31">
        <v>43811</v>
      </c>
      <c r="B2464" t="s">
        <v>5</v>
      </c>
      <c r="C2464" s="31">
        <v>9305</v>
      </c>
      <c r="D2464" t="s">
        <v>97</v>
      </c>
      <c r="E2464" t="s">
        <v>109</v>
      </c>
      <c r="F2464">
        <v>1</v>
      </c>
      <c r="G2464" t="s">
        <v>47</v>
      </c>
      <c r="H2464" t="s">
        <v>112</v>
      </c>
      <c r="I2464">
        <v>1</v>
      </c>
      <c r="J2464" s="19">
        <f>WEEKNUM(tblRidershipData[[#This Row],[MeasurementDate]])</f>
        <v>50</v>
      </c>
      <c r="K2464" s="19">
        <f>MONTH(tblRidershipData[[#This Row],[MeasurementDate]])</f>
        <v>12</v>
      </c>
    </row>
    <row r="2465" spans="1:11" x14ac:dyDescent="0.25">
      <c r="A2465" s="31">
        <v>43811</v>
      </c>
      <c r="B2465" t="s">
        <v>5</v>
      </c>
      <c r="C2465" s="31">
        <v>9305</v>
      </c>
      <c r="D2465" t="s">
        <v>97</v>
      </c>
      <c r="E2465" t="s">
        <v>109</v>
      </c>
      <c r="F2465">
        <v>1</v>
      </c>
      <c r="G2465" t="s">
        <v>50</v>
      </c>
      <c r="H2465" t="s">
        <v>112</v>
      </c>
      <c r="I2465">
        <v>7</v>
      </c>
      <c r="J2465" s="19">
        <f>WEEKNUM(tblRidershipData[[#This Row],[MeasurementDate]])</f>
        <v>50</v>
      </c>
      <c r="K2465" s="19">
        <f>MONTH(tblRidershipData[[#This Row],[MeasurementDate]])</f>
        <v>12</v>
      </c>
    </row>
    <row r="2466" spans="1:11" x14ac:dyDescent="0.25">
      <c r="A2466" s="31">
        <v>43811</v>
      </c>
      <c r="B2466" t="s">
        <v>5</v>
      </c>
      <c r="C2466" s="31">
        <v>9305</v>
      </c>
      <c r="D2466" t="s">
        <v>97</v>
      </c>
      <c r="E2466" t="s">
        <v>109</v>
      </c>
      <c r="F2466">
        <v>1</v>
      </c>
      <c r="G2466" t="s">
        <v>54</v>
      </c>
      <c r="H2466" t="s">
        <v>112</v>
      </c>
      <c r="I2466">
        <v>6</v>
      </c>
      <c r="J2466" s="19">
        <f>WEEKNUM(tblRidershipData[[#This Row],[MeasurementDate]])</f>
        <v>50</v>
      </c>
      <c r="K2466" s="19">
        <f>MONTH(tblRidershipData[[#This Row],[MeasurementDate]])</f>
        <v>12</v>
      </c>
    </row>
    <row r="2467" spans="1:11" x14ac:dyDescent="0.25">
      <c r="A2467" s="31">
        <v>43811</v>
      </c>
      <c r="B2467" t="s">
        <v>5</v>
      </c>
      <c r="C2467" s="31">
        <v>9305</v>
      </c>
      <c r="D2467" t="s">
        <v>97</v>
      </c>
      <c r="E2467" t="s">
        <v>109</v>
      </c>
      <c r="F2467">
        <v>1</v>
      </c>
      <c r="G2467" t="s">
        <v>56</v>
      </c>
      <c r="H2467" t="s">
        <v>112</v>
      </c>
      <c r="I2467">
        <v>7</v>
      </c>
      <c r="J2467" s="19">
        <f>WEEKNUM(tblRidershipData[[#This Row],[MeasurementDate]])</f>
        <v>50</v>
      </c>
      <c r="K2467" s="19">
        <f>MONTH(tblRidershipData[[#This Row],[MeasurementDate]])</f>
        <v>12</v>
      </c>
    </row>
    <row r="2468" spans="1:11" x14ac:dyDescent="0.25">
      <c r="A2468" s="31">
        <v>43811</v>
      </c>
      <c r="B2468" t="s">
        <v>5</v>
      </c>
      <c r="C2468" s="31">
        <v>9305</v>
      </c>
      <c r="D2468" t="s">
        <v>97</v>
      </c>
      <c r="E2468" t="s">
        <v>109</v>
      </c>
      <c r="F2468">
        <v>1</v>
      </c>
      <c r="G2468" t="s">
        <v>58</v>
      </c>
      <c r="H2468" t="s">
        <v>112</v>
      </c>
      <c r="I2468">
        <v>1</v>
      </c>
      <c r="J2468" s="19">
        <f>WEEKNUM(tblRidershipData[[#This Row],[MeasurementDate]])</f>
        <v>50</v>
      </c>
      <c r="K2468" s="19">
        <f>MONTH(tblRidershipData[[#This Row],[MeasurementDate]])</f>
        <v>12</v>
      </c>
    </row>
    <row r="2469" spans="1:11" x14ac:dyDescent="0.25">
      <c r="A2469" s="31">
        <v>43811</v>
      </c>
      <c r="B2469" t="s">
        <v>5</v>
      </c>
      <c r="C2469" s="31">
        <v>9305</v>
      </c>
      <c r="D2469" t="s">
        <v>97</v>
      </c>
      <c r="E2469" t="s">
        <v>109</v>
      </c>
      <c r="F2469">
        <v>1</v>
      </c>
      <c r="G2469" t="s">
        <v>59</v>
      </c>
      <c r="H2469" t="s">
        <v>112</v>
      </c>
      <c r="I2469">
        <v>4</v>
      </c>
      <c r="J2469" s="19">
        <f>WEEKNUM(tblRidershipData[[#This Row],[MeasurementDate]])</f>
        <v>50</v>
      </c>
      <c r="K2469" s="19">
        <f>MONTH(tblRidershipData[[#This Row],[MeasurementDate]])</f>
        <v>12</v>
      </c>
    </row>
    <row r="2470" spans="1:11" x14ac:dyDescent="0.25">
      <c r="A2470" s="31">
        <v>43811</v>
      </c>
      <c r="B2470" t="s">
        <v>5</v>
      </c>
      <c r="C2470" s="31">
        <v>9305</v>
      </c>
      <c r="D2470" t="s">
        <v>97</v>
      </c>
      <c r="E2470" t="s">
        <v>109</v>
      </c>
      <c r="F2470">
        <v>1</v>
      </c>
      <c r="G2470" t="s">
        <v>62</v>
      </c>
      <c r="H2470" t="s">
        <v>112</v>
      </c>
      <c r="I2470">
        <v>2</v>
      </c>
      <c r="J2470" s="19">
        <f>WEEKNUM(tblRidershipData[[#This Row],[MeasurementDate]])</f>
        <v>50</v>
      </c>
      <c r="K2470" s="19">
        <f>MONTH(tblRidershipData[[#This Row],[MeasurementDate]])</f>
        <v>12</v>
      </c>
    </row>
    <row r="2471" spans="1:11" x14ac:dyDescent="0.25">
      <c r="A2471" s="31">
        <v>43811</v>
      </c>
      <c r="B2471" t="s">
        <v>5</v>
      </c>
      <c r="C2471" s="31">
        <v>9305</v>
      </c>
      <c r="D2471" t="s">
        <v>97</v>
      </c>
      <c r="E2471" t="s">
        <v>109</v>
      </c>
      <c r="F2471">
        <v>1</v>
      </c>
      <c r="G2471" t="s">
        <v>64</v>
      </c>
      <c r="H2471" t="s">
        <v>112</v>
      </c>
      <c r="I2471">
        <v>2</v>
      </c>
      <c r="J2471" s="19">
        <f>WEEKNUM(tblRidershipData[[#This Row],[MeasurementDate]])</f>
        <v>50</v>
      </c>
      <c r="K2471" s="19">
        <f>MONTH(tblRidershipData[[#This Row],[MeasurementDate]])</f>
        <v>12</v>
      </c>
    </row>
    <row r="2472" spans="1:11" x14ac:dyDescent="0.25">
      <c r="A2472" s="31">
        <v>43811</v>
      </c>
      <c r="B2472" t="s">
        <v>5</v>
      </c>
      <c r="C2472" s="31">
        <v>9305</v>
      </c>
      <c r="D2472" t="s">
        <v>97</v>
      </c>
      <c r="E2472" t="s">
        <v>109</v>
      </c>
      <c r="F2472">
        <v>1</v>
      </c>
      <c r="G2472" t="s">
        <v>67</v>
      </c>
      <c r="H2472" t="s">
        <v>112</v>
      </c>
      <c r="I2472">
        <v>13</v>
      </c>
      <c r="J2472" s="19">
        <f>WEEKNUM(tblRidershipData[[#This Row],[MeasurementDate]])</f>
        <v>50</v>
      </c>
      <c r="K2472" s="19">
        <f>MONTH(tblRidershipData[[#This Row],[MeasurementDate]])</f>
        <v>12</v>
      </c>
    </row>
    <row r="2473" spans="1:11" x14ac:dyDescent="0.25">
      <c r="A2473" s="31">
        <v>43811</v>
      </c>
      <c r="B2473" t="s">
        <v>5</v>
      </c>
      <c r="C2473" s="31">
        <v>9305</v>
      </c>
      <c r="D2473" t="s">
        <v>97</v>
      </c>
      <c r="E2473" t="s">
        <v>109</v>
      </c>
      <c r="F2473">
        <v>1</v>
      </c>
      <c r="G2473" t="s">
        <v>72</v>
      </c>
      <c r="H2473" t="s">
        <v>112</v>
      </c>
      <c r="I2473">
        <v>14</v>
      </c>
      <c r="J2473" s="19">
        <f>WEEKNUM(tblRidershipData[[#This Row],[MeasurementDate]])</f>
        <v>50</v>
      </c>
      <c r="K2473" s="19">
        <f>MONTH(tblRidershipData[[#This Row],[MeasurementDate]])</f>
        <v>12</v>
      </c>
    </row>
    <row r="2474" spans="1:11" x14ac:dyDescent="0.25">
      <c r="A2474" s="31">
        <v>43811</v>
      </c>
      <c r="B2474" t="s">
        <v>5</v>
      </c>
      <c r="C2474" s="31">
        <v>9305</v>
      </c>
      <c r="D2474" t="s">
        <v>97</v>
      </c>
      <c r="E2474" t="s">
        <v>109</v>
      </c>
      <c r="F2474">
        <v>2</v>
      </c>
      <c r="G2474" t="s">
        <v>54</v>
      </c>
      <c r="H2474" t="s">
        <v>112</v>
      </c>
      <c r="I2474">
        <v>4</v>
      </c>
      <c r="J2474" s="19">
        <f>WEEKNUM(tblRidershipData[[#This Row],[MeasurementDate]])</f>
        <v>50</v>
      </c>
      <c r="K2474" s="19">
        <f>MONTH(tblRidershipData[[#This Row],[MeasurementDate]])</f>
        <v>12</v>
      </c>
    </row>
    <row r="2475" spans="1:11" x14ac:dyDescent="0.25">
      <c r="A2475" s="31">
        <v>43811</v>
      </c>
      <c r="B2475" t="s">
        <v>5</v>
      </c>
      <c r="C2475" s="31">
        <v>9305</v>
      </c>
      <c r="D2475" t="s">
        <v>97</v>
      </c>
      <c r="E2475" t="s">
        <v>109</v>
      </c>
      <c r="F2475">
        <v>2</v>
      </c>
      <c r="G2475" t="s">
        <v>63</v>
      </c>
      <c r="H2475" t="s">
        <v>112</v>
      </c>
      <c r="I2475">
        <v>1</v>
      </c>
      <c r="J2475" s="19">
        <f>WEEKNUM(tblRidershipData[[#This Row],[MeasurementDate]])</f>
        <v>50</v>
      </c>
      <c r="K2475" s="19">
        <f>MONTH(tblRidershipData[[#This Row],[MeasurementDate]])</f>
        <v>12</v>
      </c>
    </row>
    <row r="2476" spans="1:11" x14ac:dyDescent="0.25">
      <c r="A2476" s="31">
        <v>43811</v>
      </c>
      <c r="B2476" t="s">
        <v>5</v>
      </c>
      <c r="C2476" s="31">
        <v>9305</v>
      </c>
      <c r="D2476" t="s">
        <v>97</v>
      </c>
      <c r="E2476" t="s">
        <v>109</v>
      </c>
      <c r="F2476">
        <v>2</v>
      </c>
      <c r="G2476" t="s">
        <v>67</v>
      </c>
      <c r="H2476" t="s">
        <v>112</v>
      </c>
      <c r="I2476">
        <v>1</v>
      </c>
      <c r="J2476" s="19">
        <f>WEEKNUM(tblRidershipData[[#This Row],[MeasurementDate]])</f>
        <v>50</v>
      </c>
      <c r="K2476" s="19">
        <f>MONTH(tblRidershipData[[#This Row],[MeasurementDate]])</f>
        <v>12</v>
      </c>
    </row>
    <row r="2477" spans="1:11" x14ac:dyDescent="0.25">
      <c r="A2477" s="31">
        <v>43811</v>
      </c>
      <c r="B2477" t="s">
        <v>5</v>
      </c>
      <c r="C2477" s="31">
        <v>9305</v>
      </c>
      <c r="D2477" t="s">
        <v>97</v>
      </c>
      <c r="E2477" t="s">
        <v>109</v>
      </c>
      <c r="F2477">
        <v>2</v>
      </c>
      <c r="G2477" t="s">
        <v>73</v>
      </c>
      <c r="H2477" t="s">
        <v>112</v>
      </c>
      <c r="I2477">
        <v>1</v>
      </c>
      <c r="J2477" s="19">
        <f>WEEKNUM(tblRidershipData[[#This Row],[MeasurementDate]])</f>
        <v>50</v>
      </c>
      <c r="K2477" s="19">
        <f>MONTH(tblRidershipData[[#This Row],[MeasurementDate]])</f>
        <v>12</v>
      </c>
    </row>
    <row r="2478" spans="1:11" x14ac:dyDescent="0.25">
      <c r="A2478" s="31">
        <v>43811</v>
      </c>
      <c r="B2478" t="s">
        <v>5</v>
      </c>
      <c r="C2478" s="31">
        <v>9305</v>
      </c>
      <c r="D2478" t="s">
        <v>97</v>
      </c>
      <c r="E2478" t="s">
        <v>111</v>
      </c>
      <c r="F2478">
        <v>1</v>
      </c>
      <c r="G2478" t="s">
        <v>52</v>
      </c>
      <c r="H2478" t="s">
        <v>110</v>
      </c>
      <c r="I2478">
        <v>12</v>
      </c>
      <c r="J2478" s="19">
        <f>WEEKNUM(tblRidershipData[[#This Row],[MeasurementDate]])</f>
        <v>50</v>
      </c>
      <c r="K2478" s="19">
        <f>MONTH(tblRidershipData[[#This Row],[MeasurementDate]])</f>
        <v>12</v>
      </c>
    </row>
    <row r="2479" spans="1:11" x14ac:dyDescent="0.25">
      <c r="A2479" s="31">
        <v>43811</v>
      </c>
      <c r="B2479" t="s">
        <v>5</v>
      </c>
      <c r="C2479" s="31">
        <v>9305</v>
      </c>
      <c r="D2479" t="s">
        <v>97</v>
      </c>
      <c r="E2479" t="s">
        <v>111</v>
      </c>
      <c r="F2479">
        <v>1</v>
      </c>
      <c r="G2479" t="s">
        <v>71</v>
      </c>
      <c r="H2479" t="s">
        <v>110</v>
      </c>
      <c r="I2479">
        <v>3</v>
      </c>
      <c r="J2479" s="19">
        <f>WEEKNUM(tblRidershipData[[#This Row],[MeasurementDate]])</f>
        <v>50</v>
      </c>
      <c r="K2479" s="19">
        <f>MONTH(tblRidershipData[[#This Row],[MeasurementDate]])</f>
        <v>12</v>
      </c>
    </row>
    <row r="2480" spans="1:11" x14ac:dyDescent="0.25">
      <c r="A2480" s="31">
        <v>43811</v>
      </c>
      <c r="B2480" t="s">
        <v>5</v>
      </c>
      <c r="C2480" s="31">
        <v>9305</v>
      </c>
      <c r="D2480" t="s">
        <v>97</v>
      </c>
      <c r="E2480" t="s">
        <v>111</v>
      </c>
      <c r="F2480">
        <v>1</v>
      </c>
      <c r="G2480" t="s">
        <v>74</v>
      </c>
      <c r="H2480" t="s">
        <v>110</v>
      </c>
      <c r="I2480">
        <v>7</v>
      </c>
      <c r="J2480" s="19">
        <f>WEEKNUM(tblRidershipData[[#This Row],[MeasurementDate]])</f>
        <v>50</v>
      </c>
      <c r="K2480" s="19">
        <f>MONTH(tblRidershipData[[#This Row],[MeasurementDate]])</f>
        <v>12</v>
      </c>
    </row>
    <row r="2481" spans="1:11" x14ac:dyDescent="0.25">
      <c r="A2481" s="31">
        <v>43811</v>
      </c>
      <c r="B2481" t="s">
        <v>5</v>
      </c>
      <c r="C2481" s="31">
        <v>9305</v>
      </c>
      <c r="D2481" t="s">
        <v>97</v>
      </c>
      <c r="E2481" t="s">
        <v>111</v>
      </c>
      <c r="F2481">
        <v>2</v>
      </c>
      <c r="G2481" t="s">
        <v>55</v>
      </c>
      <c r="H2481" t="s">
        <v>110</v>
      </c>
      <c r="I2481">
        <v>2</v>
      </c>
      <c r="J2481" s="19">
        <f>WEEKNUM(tblRidershipData[[#This Row],[MeasurementDate]])</f>
        <v>50</v>
      </c>
      <c r="K2481" s="19">
        <f>MONTH(tblRidershipData[[#This Row],[MeasurementDate]])</f>
        <v>12</v>
      </c>
    </row>
    <row r="2482" spans="1:11" x14ac:dyDescent="0.25">
      <c r="A2482" s="31">
        <v>43811</v>
      </c>
      <c r="B2482" t="s">
        <v>5</v>
      </c>
      <c r="C2482" s="31">
        <v>9305</v>
      </c>
      <c r="D2482" t="s">
        <v>97</v>
      </c>
      <c r="E2482" t="s">
        <v>111</v>
      </c>
      <c r="F2482">
        <v>2</v>
      </c>
      <c r="G2482" t="s">
        <v>65</v>
      </c>
      <c r="H2482" t="s">
        <v>110</v>
      </c>
      <c r="I2482">
        <v>4</v>
      </c>
      <c r="J2482" s="19">
        <f>WEEKNUM(tblRidershipData[[#This Row],[MeasurementDate]])</f>
        <v>50</v>
      </c>
      <c r="K2482" s="19">
        <f>MONTH(tblRidershipData[[#This Row],[MeasurementDate]])</f>
        <v>12</v>
      </c>
    </row>
    <row r="2483" spans="1:11" x14ac:dyDescent="0.25">
      <c r="A2483" s="31">
        <v>43811</v>
      </c>
      <c r="B2483" t="s">
        <v>5</v>
      </c>
      <c r="C2483" s="31">
        <v>9305</v>
      </c>
      <c r="D2483" t="s">
        <v>97</v>
      </c>
      <c r="E2483" t="s">
        <v>111</v>
      </c>
      <c r="F2483">
        <v>2</v>
      </c>
      <c r="G2483" t="s">
        <v>67</v>
      </c>
      <c r="H2483" t="s">
        <v>110</v>
      </c>
      <c r="I2483">
        <v>3</v>
      </c>
      <c r="J2483" s="19">
        <f>WEEKNUM(tblRidershipData[[#This Row],[MeasurementDate]])</f>
        <v>50</v>
      </c>
      <c r="K2483" s="19">
        <f>MONTH(tblRidershipData[[#This Row],[MeasurementDate]])</f>
        <v>12</v>
      </c>
    </row>
    <row r="2484" spans="1:11" x14ac:dyDescent="0.25">
      <c r="A2484" s="31">
        <v>43811</v>
      </c>
      <c r="B2484" t="s">
        <v>5</v>
      </c>
      <c r="C2484" s="31">
        <v>9305</v>
      </c>
      <c r="D2484" t="s">
        <v>97</v>
      </c>
      <c r="E2484" t="s">
        <v>111</v>
      </c>
      <c r="F2484">
        <v>2</v>
      </c>
      <c r="G2484" t="s">
        <v>70</v>
      </c>
      <c r="H2484" t="s">
        <v>110</v>
      </c>
      <c r="I2484">
        <v>15</v>
      </c>
      <c r="J2484" s="19">
        <f>WEEKNUM(tblRidershipData[[#This Row],[MeasurementDate]])</f>
        <v>50</v>
      </c>
      <c r="K2484" s="19">
        <f>MONTH(tblRidershipData[[#This Row],[MeasurementDate]])</f>
        <v>12</v>
      </c>
    </row>
    <row r="2485" spans="1:11" x14ac:dyDescent="0.25">
      <c r="A2485" s="31">
        <v>43811</v>
      </c>
      <c r="B2485" t="s">
        <v>5</v>
      </c>
      <c r="C2485" s="31">
        <v>9305</v>
      </c>
      <c r="D2485" t="s">
        <v>97</v>
      </c>
      <c r="E2485" t="s">
        <v>111</v>
      </c>
      <c r="F2485">
        <v>2</v>
      </c>
      <c r="G2485" t="s">
        <v>73</v>
      </c>
      <c r="H2485" t="s">
        <v>110</v>
      </c>
      <c r="I2485">
        <v>27</v>
      </c>
      <c r="J2485" s="19">
        <f>WEEKNUM(tblRidershipData[[#This Row],[MeasurementDate]])</f>
        <v>50</v>
      </c>
      <c r="K2485" s="19">
        <f>MONTH(tblRidershipData[[#This Row],[MeasurementDate]])</f>
        <v>12</v>
      </c>
    </row>
    <row r="2486" spans="1:11" x14ac:dyDescent="0.25">
      <c r="A2486" s="31">
        <v>43811</v>
      </c>
      <c r="B2486" t="s">
        <v>5</v>
      </c>
      <c r="C2486" s="31">
        <v>9320</v>
      </c>
      <c r="D2486" t="s">
        <v>99</v>
      </c>
      <c r="E2486" t="s">
        <v>111</v>
      </c>
      <c r="F2486">
        <v>1</v>
      </c>
      <c r="G2486" t="s">
        <v>45</v>
      </c>
      <c r="H2486" t="s">
        <v>110</v>
      </c>
      <c r="I2486">
        <v>1</v>
      </c>
      <c r="J2486" s="19">
        <f>WEEKNUM(tblRidershipData[[#This Row],[MeasurementDate]])</f>
        <v>50</v>
      </c>
      <c r="K2486" s="19">
        <f>MONTH(tblRidershipData[[#This Row],[MeasurementDate]])</f>
        <v>12</v>
      </c>
    </row>
    <row r="2487" spans="1:11" x14ac:dyDescent="0.25">
      <c r="A2487" s="31">
        <v>43811</v>
      </c>
      <c r="B2487" t="s">
        <v>5</v>
      </c>
      <c r="C2487" s="31">
        <v>9320</v>
      </c>
      <c r="D2487" t="s">
        <v>99</v>
      </c>
      <c r="E2487" t="s">
        <v>111</v>
      </c>
      <c r="F2487">
        <v>1</v>
      </c>
      <c r="G2487" t="s">
        <v>47</v>
      </c>
      <c r="H2487" t="s">
        <v>110</v>
      </c>
      <c r="I2487">
        <v>1</v>
      </c>
      <c r="J2487" s="19">
        <f>WEEKNUM(tblRidershipData[[#This Row],[MeasurementDate]])</f>
        <v>50</v>
      </c>
      <c r="K2487" s="19">
        <f>MONTH(tblRidershipData[[#This Row],[MeasurementDate]])</f>
        <v>12</v>
      </c>
    </row>
    <row r="2488" spans="1:11" x14ac:dyDescent="0.25">
      <c r="A2488" s="31">
        <v>43811</v>
      </c>
      <c r="B2488" t="s">
        <v>5</v>
      </c>
      <c r="C2488" s="31">
        <v>9320</v>
      </c>
      <c r="D2488" t="s">
        <v>99</v>
      </c>
      <c r="E2488" t="s">
        <v>111</v>
      </c>
      <c r="F2488">
        <v>1</v>
      </c>
      <c r="G2488" t="s">
        <v>54</v>
      </c>
      <c r="H2488" t="s">
        <v>110</v>
      </c>
      <c r="I2488">
        <v>12</v>
      </c>
      <c r="J2488" s="19">
        <f>WEEKNUM(tblRidershipData[[#This Row],[MeasurementDate]])</f>
        <v>50</v>
      </c>
      <c r="K2488" s="19">
        <f>MONTH(tblRidershipData[[#This Row],[MeasurementDate]])</f>
        <v>12</v>
      </c>
    </row>
    <row r="2489" spans="1:11" x14ac:dyDescent="0.25">
      <c r="A2489" s="31">
        <v>43811</v>
      </c>
      <c r="B2489" t="s">
        <v>5</v>
      </c>
      <c r="C2489" s="31">
        <v>9320</v>
      </c>
      <c r="D2489" t="s">
        <v>99</v>
      </c>
      <c r="E2489" t="s">
        <v>111</v>
      </c>
      <c r="F2489">
        <v>1</v>
      </c>
      <c r="G2489" t="s">
        <v>56</v>
      </c>
      <c r="H2489" t="s">
        <v>110</v>
      </c>
      <c r="I2489">
        <v>2</v>
      </c>
      <c r="J2489" s="19">
        <f>WEEKNUM(tblRidershipData[[#This Row],[MeasurementDate]])</f>
        <v>50</v>
      </c>
      <c r="K2489" s="19">
        <f>MONTH(tblRidershipData[[#This Row],[MeasurementDate]])</f>
        <v>12</v>
      </c>
    </row>
    <row r="2490" spans="1:11" x14ac:dyDescent="0.25">
      <c r="A2490" s="31">
        <v>43811</v>
      </c>
      <c r="B2490" t="s">
        <v>5</v>
      </c>
      <c r="C2490" s="31">
        <v>9320</v>
      </c>
      <c r="D2490" t="s">
        <v>99</v>
      </c>
      <c r="E2490" t="s">
        <v>111</v>
      </c>
      <c r="F2490">
        <v>1</v>
      </c>
      <c r="G2490" t="s">
        <v>62</v>
      </c>
      <c r="H2490" t="s">
        <v>110</v>
      </c>
      <c r="I2490">
        <v>1</v>
      </c>
      <c r="J2490" s="19">
        <f>WEEKNUM(tblRidershipData[[#This Row],[MeasurementDate]])</f>
        <v>50</v>
      </c>
      <c r="K2490" s="19">
        <f>MONTH(tblRidershipData[[#This Row],[MeasurementDate]])</f>
        <v>12</v>
      </c>
    </row>
    <row r="2491" spans="1:11" x14ac:dyDescent="0.25">
      <c r="A2491" s="31">
        <v>43811</v>
      </c>
      <c r="B2491" t="s">
        <v>5</v>
      </c>
      <c r="C2491" s="31">
        <v>9320</v>
      </c>
      <c r="D2491" t="s">
        <v>99</v>
      </c>
      <c r="E2491" t="s">
        <v>111</v>
      </c>
      <c r="F2491">
        <v>1</v>
      </c>
      <c r="G2491" t="s">
        <v>67</v>
      </c>
      <c r="H2491" t="s">
        <v>110</v>
      </c>
      <c r="I2491">
        <v>6</v>
      </c>
      <c r="J2491" s="19">
        <f>WEEKNUM(tblRidershipData[[#This Row],[MeasurementDate]])</f>
        <v>50</v>
      </c>
      <c r="K2491" s="19">
        <f>MONTH(tblRidershipData[[#This Row],[MeasurementDate]])</f>
        <v>12</v>
      </c>
    </row>
    <row r="2492" spans="1:11" x14ac:dyDescent="0.25">
      <c r="A2492" s="31">
        <v>43811</v>
      </c>
      <c r="B2492" t="s">
        <v>5</v>
      </c>
      <c r="C2492" s="31">
        <v>9320</v>
      </c>
      <c r="D2492" t="s">
        <v>99</v>
      </c>
      <c r="E2492" t="s">
        <v>111</v>
      </c>
      <c r="F2492">
        <v>1</v>
      </c>
      <c r="G2492" t="s">
        <v>73</v>
      </c>
      <c r="H2492" t="s">
        <v>110</v>
      </c>
      <c r="I2492">
        <v>4</v>
      </c>
      <c r="J2492" s="19">
        <f>WEEKNUM(tblRidershipData[[#This Row],[MeasurementDate]])</f>
        <v>50</v>
      </c>
      <c r="K2492" s="19">
        <f>MONTH(tblRidershipData[[#This Row],[MeasurementDate]])</f>
        <v>12</v>
      </c>
    </row>
    <row r="2493" spans="1:11" x14ac:dyDescent="0.25">
      <c r="A2493" s="31">
        <v>43811</v>
      </c>
      <c r="B2493" t="s">
        <v>5</v>
      </c>
      <c r="C2493" s="31">
        <v>9320</v>
      </c>
      <c r="D2493" t="s">
        <v>99</v>
      </c>
      <c r="E2493" t="s">
        <v>109</v>
      </c>
      <c r="F2493">
        <v>1</v>
      </c>
      <c r="G2493" t="s">
        <v>52</v>
      </c>
      <c r="H2493" t="s">
        <v>110</v>
      </c>
      <c r="I2493">
        <v>44</v>
      </c>
      <c r="J2493" s="19">
        <f>WEEKNUM(tblRidershipData[[#This Row],[MeasurementDate]])</f>
        <v>50</v>
      </c>
      <c r="K2493" s="19">
        <f>MONTH(tblRidershipData[[#This Row],[MeasurementDate]])</f>
        <v>12</v>
      </c>
    </row>
    <row r="2494" spans="1:11" x14ac:dyDescent="0.25">
      <c r="A2494" s="31">
        <v>43811</v>
      </c>
      <c r="B2494" t="s">
        <v>5</v>
      </c>
      <c r="C2494" s="31">
        <v>9320</v>
      </c>
      <c r="D2494" t="s">
        <v>99</v>
      </c>
      <c r="E2494" t="s">
        <v>109</v>
      </c>
      <c r="F2494">
        <v>2</v>
      </c>
      <c r="G2494" t="s">
        <v>44</v>
      </c>
      <c r="H2494" t="s">
        <v>110</v>
      </c>
      <c r="I2494">
        <v>8</v>
      </c>
      <c r="J2494" s="19">
        <f>WEEKNUM(tblRidershipData[[#This Row],[MeasurementDate]])</f>
        <v>50</v>
      </c>
      <c r="K2494" s="19">
        <f>MONTH(tblRidershipData[[#This Row],[MeasurementDate]])</f>
        <v>12</v>
      </c>
    </row>
    <row r="2495" spans="1:11" x14ac:dyDescent="0.25">
      <c r="A2495" s="31">
        <v>43811</v>
      </c>
      <c r="B2495" t="s">
        <v>5</v>
      </c>
      <c r="C2495" s="31">
        <v>9320</v>
      </c>
      <c r="D2495" t="s">
        <v>99</v>
      </c>
      <c r="E2495" t="s">
        <v>109</v>
      </c>
      <c r="F2495">
        <v>2</v>
      </c>
      <c r="G2495" t="s">
        <v>52</v>
      </c>
      <c r="H2495" t="s">
        <v>110</v>
      </c>
      <c r="I2495">
        <v>2</v>
      </c>
      <c r="J2495" s="19">
        <f>WEEKNUM(tblRidershipData[[#This Row],[MeasurementDate]])</f>
        <v>50</v>
      </c>
      <c r="K2495" s="19">
        <f>MONTH(tblRidershipData[[#This Row],[MeasurementDate]])</f>
        <v>12</v>
      </c>
    </row>
    <row r="2496" spans="1:11" x14ac:dyDescent="0.25">
      <c r="A2496" s="31">
        <v>43811</v>
      </c>
      <c r="B2496" t="s">
        <v>5</v>
      </c>
      <c r="C2496" s="31">
        <v>9320</v>
      </c>
      <c r="D2496" t="s">
        <v>99</v>
      </c>
      <c r="E2496" t="s">
        <v>111</v>
      </c>
      <c r="F2496">
        <v>1</v>
      </c>
      <c r="G2496" t="s">
        <v>67</v>
      </c>
      <c r="H2496" t="s">
        <v>112</v>
      </c>
      <c r="I2496">
        <v>7</v>
      </c>
      <c r="J2496" s="19">
        <f>WEEKNUM(tblRidershipData[[#This Row],[MeasurementDate]])</f>
        <v>50</v>
      </c>
      <c r="K2496" s="19">
        <f>MONTH(tblRidershipData[[#This Row],[MeasurementDate]])</f>
        <v>12</v>
      </c>
    </row>
    <row r="2497" spans="1:11" x14ac:dyDescent="0.25">
      <c r="A2497" s="31">
        <v>43811</v>
      </c>
      <c r="B2497" t="s">
        <v>5</v>
      </c>
      <c r="C2497" s="31">
        <v>9320</v>
      </c>
      <c r="D2497" t="s">
        <v>99</v>
      </c>
      <c r="E2497" t="s">
        <v>111</v>
      </c>
      <c r="F2497">
        <v>1</v>
      </c>
      <c r="G2497" t="s">
        <v>69</v>
      </c>
      <c r="H2497" t="s">
        <v>112</v>
      </c>
      <c r="I2497">
        <v>2</v>
      </c>
      <c r="J2497" s="19">
        <f>WEEKNUM(tblRidershipData[[#This Row],[MeasurementDate]])</f>
        <v>50</v>
      </c>
      <c r="K2497" s="19">
        <f>MONTH(tblRidershipData[[#This Row],[MeasurementDate]])</f>
        <v>12</v>
      </c>
    </row>
    <row r="2498" spans="1:11" x14ac:dyDescent="0.25">
      <c r="A2498" s="31">
        <v>43811</v>
      </c>
      <c r="B2498" t="s">
        <v>5</v>
      </c>
      <c r="C2498" s="31">
        <v>9320</v>
      </c>
      <c r="D2498" t="s">
        <v>99</v>
      </c>
      <c r="E2498" t="s">
        <v>111</v>
      </c>
      <c r="F2498">
        <v>1</v>
      </c>
      <c r="G2498" t="s">
        <v>75</v>
      </c>
      <c r="H2498" t="s">
        <v>112</v>
      </c>
      <c r="I2498">
        <v>18</v>
      </c>
      <c r="J2498" s="19">
        <f>WEEKNUM(tblRidershipData[[#This Row],[MeasurementDate]])</f>
        <v>50</v>
      </c>
      <c r="K2498" s="19">
        <f>MONTH(tblRidershipData[[#This Row],[MeasurementDate]])</f>
        <v>12</v>
      </c>
    </row>
    <row r="2499" spans="1:11" x14ac:dyDescent="0.25">
      <c r="A2499" s="31">
        <v>43811</v>
      </c>
      <c r="B2499" t="s">
        <v>5</v>
      </c>
      <c r="C2499" s="31">
        <v>9320</v>
      </c>
      <c r="D2499" t="s">
        <v>99</v>
      </c>
      <c r="E2499" t="s">
        <v>109</v>
      </c>
      <c r="F2499">
        <v>1</v>
      </c>
      <c r="G2499" t="s">
        <v>43</v>
      </c>
      <c r="H2499" t="s">
        <v>112</v>
      </c>
      <c r="I2499">
        <v>1</v>
      </c>
      <c r="J2499" s="19">
        <f>WEEKNUM(tblRidershipData[[#This Row],[MeasurementDate]])</f>
        <v>50</v>
      </c>
      <c r="K2499" s="19">
        <f>MONTH(tblRidershipData[[#This Row],[MeasurementDate]])</f>
        <v>12</v>
      </c>
    </row>
    <row r="2500" spans="1:11" x14ac:dyDescent="0.25">
      <c r="A2500" s="31">
        <v>43811</v>
      </c>
      <c r="B2500" t="s">
        <v>5</v>
      </c>
      <c r="C2500" s="31">
        <v>9320</v>
      </c>
      <c r="D2500" t="s">
        <v>99</v>
      </c>
      <c r="E2500" t="s">
        <v>109</v>
      </c>
      <c r="F2500">
        <v>1</v>
      </c>
      <c r="G2500" t="s">
        <v>47</v>
      </c>
      <c r="H2500" t="s">
        <v>112</v>
      </c>
      <c r="I2500">
        <v>3</v>
      </c>
      <c r="J2500" s="19">
        <f>WEEKNUM(tblRidershipData[[#This Row],[MeasurementDate]])</f>
        <v>50</v>
      </c>
      <c r="K2500" s="19">
        <f>MONTH(tblRidershipData[[#This Row],[MeasurementDate]])</f>
        <v>12</v>
      </c>
    </row>
    <row r="2501" spans="1:11" x14ac:dyDescent="0.25">
      <c r="A2501" s="31">
        <v>43811</v>
      </c>
      <c r="B2501" t="s">
        <v>5</v>
      </c>
      <c r="C2501" s="31">
        <v>9320</v>
      </c>
      <c r="D2501" t="s">
        <v>99</v>
      </c>
      <c r="E2501" t="s">
        <v>109</v>
      </c>
      <c r="F2501">
        <v>1</v>
      </c>
      <c r="G2501" t="s">
        <v>54</v>
      </c>
      <c r="H2501" t="s">
        <v>112</v>
      </c>
      <c r="I2501">
        <v>20</v>
      </c>
      <c r="J2501" s="19">
        <f>WEEKNUM(tblRidershipData[[#This Row],[MeasurementDate]])</f>
        <v>50</v>
      </c>
      <c r="K2501" s="19">
        <f>MONTH(tblRidershipData[[#This Row],[MeasurementDate]])</f>
        <v>12</v>
      </c>
    </row>
    <row r="2502" spans="1:11" x14ac:dyDescent="0.25">
      <c r="A2502" s="31">
        <v>43811</v>
      </c>
      <c r="B2502" t="s">
        <v>5</v>
      </c>
      <c r="C2502" s="31">
        <v>9320</v>
      </c>
      <c r="D2502" t="s">
        <v>99</v>
      </c>
      <c r="E2502" t="s">
        <v>109</v>
      </c>
      <c r="F2502">
        <v>1</v>
      </c>
      <c r="G2502" t="s">
        <v>64</v>
      </c>
      <c r="H2502" t="s">
        <v>112</v>
      </c>
      <c r="I2502">
        <v>13</v>
      </c>
      <c r="J2502" s="19">
        <f>WEEKNUM(tblRidershipData[[#This Row],[MeasurementDate]])</f>
        <v>50</v>
      </c>
      <c r="K2502" s="19">
        <f>MONTH(tblRidershipData[[#This Row],[MeasurementDate]])</f>
        <v>12</v>
      </c>
    </row>
    <row r="2503" spans="1:11" x14ac:dyDescent="0.25">
      <c r="A2503" s="31">
        <v>43811</v>
      </c>
      <c r="B2503" t="s">
        <v>5</v>
      </c>
      <c r="C2503" s="31">
        <v>9320</v>
      </c>
      <c r="D2503" t="s">
        <v>99</v>
      </c>
      <c r="E2503" t="s">
        <v>109</v>
      </c>
      <c r="F2503">
        <v>1</v>
      </c>
      <c r="G2503" t="s">
        <v>67</v>
      </c>
      <c r="H2503" t="s">
        <v>112</v>
      </c>
      <c r="I2503">
        <v>7</v>
      </c>
      <c r="J2503" s="19">
        <f>WEEKNUM(tblRidershipData[[#This Row],[MeasurementDate]])</f>
        <v>50</v>
      </c>
      <c r="K2503" s="19">
        <f>MONTH(tblRidershipData[[#This Row],[MeasurementDate]])</f>
        <v>12</v>
      </c>
    </row>
    <row r="2504" spans="1:11" x14ac:dyDescent="0.25">
      <c r="A2504" s="31">
        <v>43811</v>
      </c>
      <c r="B2504" t="s">
        <v>5</v>
      </c>
      <c r="C2504" s="31">
        <v>9320</v>
      </c>
      <c r="D2504" t="s">
        <v>99</v>
      </c>
      <c r="E2504" t="s">
        <v>109</v>
      </c>
      <c r="F2504">
        <v>2</v>
      </c>
      <c r="G2504" t="s">
        <v>47</v>
      </c>
      <c r="H2504" t="s">
        <v>112</v>
      </c>
      <c r="I2504">
        <v>1</v>
      </c>
      <c r="J2504" s="19">
        <f>WEEKNUM(tblRidershipData[[#This Row],[MeasurementDate]])</f>
        <v>50</v>
      </c>
      <c r="K2504" s="19">
        <f>MONTH(tblRidershipData[[#This Row],[MeasurementDate]])</f>
        <v>12</v>
      </c>
    </row>
    <row r="2505" spans="1:11" x14ac:dyDescent="0.25">
      <c r="A2505" s="31">
        <v>43811</v>
      </c>
      <c r="B2505" t="s">
        <v>5</v>
      </c>
      <c r="C2505" s="31">
        <v>9320</v>
      </c>
      <c r="D2505" t="s">
        <v>99</v>
      </c>
      <c r="E2505" t="s">
        <v>109</v>
      </c>
      <c r="F2505">
        <v>2</v>
      </c>
      <c r="G2505" t="s">
        <v>49</v>
      </c>
      <c r="H2505" t="s">
        <v>112</v>
      </c>
      <c r="I2505">
        <v>1</v>
      </c>
      <c r="J2505" s="19">
        <f>WEEKNUM(tblRidershipData[[#This Row],[MeasurementDate]])</f>
        <v>50</v>
      </c>
      <c r="K2505" s="19">
        <f>MONTH(tblRidershipData[[#This Row],[MeasurementDate]])</f>
        <v>12</v>
      </c>
    </row>
    <row r="2506" spans="1:11" x14ac:dyDescent="0.25">
      <c r="A2506" s="31">
        <v>43811</v>
      </c>
      <c r="B2506" t="s">
        <v>5</v>
      </c>
      <c r="C2506" s="31">
        <v>9320</v>
      </c>
      <c r="D2506" t="s">
        <v>99</v>
      </c>
      <c r="E2506" t="s">
        <v>109</v>
      </c>
      <c r="F2506">
        <v>2</v>
      </c>
      <c r="G2506" t="s">
        <v>50</v>
      </c>
      <c r="H2506" t="s">
        <v>112</v>
      </c>
      <c r="I2506">
        <v>3</v>
      </c>
      <c r="J2506" s="19">
        <f>WEEKNUM(tblRidershipData[[#This Row],[MeasurementDate]])</f>
        <v>50</v>
      </c>
      <c r="K2506" s="19">
        <f>MONTH(tblRidershipData[[#This Row],[MeasurementDate]])</f>
        <v>12</v>
      </c>
    </row>
    <row r="2507" spans="1:11" x14ac:dyDescent="0.25">
      <c r="A2507" s="31">
        <v>43811</v>
      </c>
      <c r="B2507" t="s">
        <v>5</v>
      </c>
      <c r="C2507" s="31">
        <v>9320</v>
      </c>
      <c r="D2507" t="s">
        <v>99</v>
      </c>
      <c r="E2507" t="s">
        <v>109</v>
      </c>
      <c r="F2507">
        <v>2</v>
      </c>
      <c r="G2507" t="s">
        <v>54</v>
      </c>
      <c r="H2507" t="s">
        <v>112</v>
      </c>
      <c r="I2507">
        <v>2</v>
      </c>
      <c r="J2507" s="19">
        <f>WEEKNUM(tblRidershipData[[#This Row],[MeasurementDate]])</f>
        <v>50</v>
      </c>
      <c r="K2507" s="19">
        <f>MONTH(tblRidershipData[[#This Row],[MeasurementDate]])</f>
        <v>12</v>
      </c>
    </row>
    <row r="2508" spans="1:11" x14ac:dyDescent="0.25">
      <c r="A2508" s="31">
        <v>43811</v>
      </c>
      <c r="B2508" t="s">
        <v>5</v>
      </c>
      <c r="C2508" s="31">
        <v>9320</v>
      </c>
      <c r="D2508" t="s">
        <v>99</v>
      </c>
      <c r="E2508" t="s">
        <v>109</v>
      </c>
      <c r="F2508">
        <v>2</v>
      </c>
      <c r="G2508" t="s">
        <v>64</v>
      </c>
      <c r="H2508" t="s">
        <v>112</v>
      </c>
      <c r="I2508">
        <v>2</v>
      </c>
      <c r="J2508" s="19">
        <f>WEEKNUM(tblRidershipData[[#This Row],[MeasurementDate]])</f>
        <v>50</v>
      </c>
      <c r="K2508" s="19">
        <f>MONTH(tblRidershipData[[#This Row],[MeasurementDate]])</f>
        <v>12</v>
      </c>
    </row>
    <row r="2509" spans="1:11" x14ac:dyDescent="0.25">
      <c r="A2509" s="31">
        <v>43811</v>
      </c>
      <c r="B2509" t="s">
        <v>5</v>
      </c>
      <c r="C2509" s="31">
        <v>9320</v>
      </c>
      <c r="D2509" t="s">
        <v>99</v>
      </c>
      <c r="E2509" t="s">
        <v>109</v>
      </c>
      <c r="F2509">
        <v>2</v>
      </c>
      <c r="G2509" t="s">
        <v>67</v>
      </c>
      <c r="H2509" t="s">
        <v>112</v>
      </c>
      <c r="I2509">
        <v>1</v>
      </c>
      <c r="J2509" s="19">
        <f>WEEKNUM(tblRidershipData[[#This Row],[MeasurementDate]])</f>
        <v>50</v>
      </c>
      <c r="K2509" s="19">
        <f>MONTH(tblRidershipData[[#This Row],[MeasurementDate]])</f>
        <v>12</v>
      </c>
    </row>
    <row r="2510" spans="1:11" x14ac:dyDescent="0.25">
      <c r="A2510" s="31">
        <v>43847</v>
      </c>
      <c r="B2510" t="s">
        <v>6</v>
      </c>
      <c r="C2510" s="31">
        <v>1030</v>
      </c>
      <c r="D2510" t="s">
        <v>80</v>
      </c>
      <c r="E2510" t="s">
        <v>111</v>
      </c>
      <c r="F2510">
        <v>1</v>
      </c>
      <c r="G2510" t="s">
        <v>43</v>
      </c>
      <c r="H2510" t="s">
        <v>110</v>
      </c>
      <c r="I2510">
        <v>17</v>
      </c>
      <c r="J2510" s="19">
        <f>WEEKNUM(tblRidershipData[[#This Row],[MeasurementDate]])</f>
        <v>3</v>
      </c>
      <c r="K2510" s="19">
        <f>MONTH(tblRidershipData[[#This Row],[MeasurementDate]])</f>
        <v>1</v>
      </c>
    </row>
    <row r="2511" spans="1:11" x14ac:dyDescent="0.25">
      <c r="A2511" s="31">
        <v>43847</v>
      </c>
      <c r="B2511" t="s">
        <v>6</v>
      </c>
      <c r="C2511" s="31">
        <v>1030</v>
      </c>
      <c r="D2511" t="s">
        <v>80</v>
      </c>
      <c r="E2511" t="s">
        <v>111</v>
      </c>
      <c r="F2511">
        <v>1</v>
      </c>
      <c r="G2511" t="s">
        <v>46</v>
      </c>
      <c r="H2511" t="s">
        <v>110</v>
      </c>
      <c r="I2511">
        <v>1</v>
      </c>
      <c r="J2511" s="19">
        <f>WEEKNUM(tblRidershipData[[#This Row],[MeasurementDate]])</f>
        <v>3</v>
      </c>
      <c r="K2511" s="19">
        <f>MONTH(tblRidershipData[[#This Row],[MeasurementDate]])</f>
        <v>1</v>
      </c>
    </row>
    <row r="2512" spans="1:11" x14ac:dyDescent="0.25">
      <c r="A2512" s="31">
        <v>43847</v>
      </c>
      <c r="B2512" t="s">
        <v>6</v>
      </c>
      <c r="C2512" s="31">
        <v>1030</v>
      </c>
      <c r="D2512" t="s">
        <v>80</v>
      </c>
      <c r="E2512" t="s">
        <v>111</v>
      </c>
      <c r="F2512">
        <v>1</v>
      </c>
      <c r="G2512" t="s">
        <v>51</v>
      </c>
      <c r="H2512" t="s">
        <v>110</v>
      </c>
      <c r="I2512">
        <v>5</v>
      </c>
      <c r="J2512" s="19">
        <f>WEEKNUM(tblRidershipData[[#This Row],[MeasurementDate]])</f>
        <v>3</v>
      </c>
      <c r="K2512" s="19">
        <f>MONTH(tblRidershipData[[#This Row],[MeasurementDate]])</f>
        <v>1</v>
      </c>
    </row>
    <row r="2513" spans="1:11" x14ac:dyDescent="0.25">
      <c r="A2513" s="31">
        <v>43847</v>
      </c>
      <c r="B2513" t="s">
        <v>6</v>
      </c>
      <c r="C2513" s="31">
        <v>1030</v>
      </c>
      <c r="D2513" t="s">
        <v>80</v>
      </c>
      <c r="E2513" t="s">
        <v>111</v>
      </c>
      <c r="F2513">
        <v>1</v>
      </c>
      <c r="G2513" t="s">
        <v>55</v>
      </c>
      <c r="H2513" t="s">
        <v>110</v>
      </c>
      <c r="I2513">
        <v>2</v>
      </c>
      <c r="J2513" s="19">
        <f>WEEKNUM(tblRidershipData[[#This Row],[MeasurementDate]])</f>
        <v>3</v>
      </c>
      <c r="K2513" s="19">
        <f>MONTH(tblRidershipData[[#This Row],[MeasurementDate]])</f>
        <v>1</v>
      </c>
    </row>
    <row r="2514" spans="1:11" x14ac:dyDescent="0.25">
      <c r="A2514" s="31">
        <v>43847</v>
      </c>
      <c r="B2514" t="s">
        <v>6</v>
      </c>
      <c r="C2514" s="31">
        <v>1030</v>
      </c>
      <c r="D2514" t="s">
        <v>80</v>
      </c>
      <c r="E2514" t="s">
        <v>111</v>
      </c>
      <c r="F2514">
        <v>1</v>
      </c>
      <c r="G2514" t="s">
        <v>59</v>
      </c>
      <c r="H2514" t="s">
        <v>110</v>
      </c>
      <c r="I2514">
        <v>2</v>
      </c>
      <c r="J2514" s="19">
        <f>WEEKNUM(tblRidershipData[[#This Row],[MeasurementDate]])</f>
        <v>3</v>
      </c>
      <c r="K2514" s="19">
        <f>MONTH(tblRidershipData[[#This Row],[MeasurementDate]])</f>
        <v>1</v>
      </c>
    </row>
    <row r="2515" spans="1:11" x14ac:dyDescent="0.25">
      <c r="A2515" s="31">
        <v>43847</v>
      </c>
      <c r="B2515" t="s">
        <v>6</v>
      </c>
      <c r="C2515" s="31">
        <v>1030</v>
      </c>
      <c r="D2515" t="s">
        <v>80</v>
      </c>
      <c r="E2515" t="s">
        <v>111</v>
      </c>
      <c r="F2515">
        <v>1</v>
      </c>
      <c r="G2515" t="s">
        <v>60</v>
      </c>
      <c r="H2515" t="s">
        <v>110</v>
      </c>
      <c r="I2515">
        <v>2</v>
      </c>
      <c r="J2515" s="19">
        <f>WEEKNUM(tblRidershipData[[#This Row],[MeasurementDate]])</f>
        <v>3</v>
      </c>
      <c r="K2515" s="19">
        <f>MONTH(tblRidershipData[[#This Row],[MeasurementDate]])</f>
        <v>1</v>
      </c>
    </row>
    <row r="2516" spans="1:11" x14ac:dyDescent="0.25">
      <c r="A2516" s="31">
        <v>43847</v>
      </c>
      <c r="B2516" t="s">
        <v>6</v>
      </c>
      <c r="C2516" s="31">
        <v>1030</v>
      </c>
      <c r="D2516" t="s">
        <v>80</v>
      </c>
      <c r="E2516" t="s">
        <v>111</v>
      </c>
      <c r="F2516">
        <v>1</v>
      </c>
      <c r="G2516" t="s">
        <v>66</v>
      </c>
      <c r="H2516" t="s">
        <v>110</v>
      </c>
      <c r="I2516">
        <v>16</v>
      </c>
      <c r="J2516" s="19">
        <f>WEEKNUM(tblRidershipData[[#This Row],[MeasurementDate]])</f>
        <v>3</v>
      </c>
      <c r="K2516" s="19">
        <f>MONTH(tblRidershipData[[#This Row],[MeasurementDate]])</f>
        <v>1</v>
      </c>
    </row>
    <row r="2517" spans="1:11" x14ac:dyDescent="0.25">
      <c r="A2517" s="31">
        <v>43847</v>
      </c>
      <c r="B2517" t="s">
        <v>6</v>
      </c>
      <c r="C2517" s="31">
        <v>1030</v>
      </c>
      <c r="D2517" t="s">
        <v>80</v>
      </c>
      <c r="E2517" t="s">
        <v>111</v>
      </c>
      <c r="F2517">
        <v>1</v>
      </c>
      <c r="G2517" t="s">
        <v>69</v>
      </c>
      <c r="H2517" t="s">
        <v>110</v>
      </c>
      <c r="I2517">
        <v>3</v>
      </c>
      <c r="J2517" s="19">
        <f>WEEKNUM(tblRidershipData[[#This Row],[MeasurementDate]])</f>
        <v>3</v>
      </c>
      <c r="K2517" s="19">
        <f>MONTH(tblRidershipData[[#This Row],[MeasurementDate]])</f>
        <v>1</v>
      </c>
    </row>
    <row r="2518" spans="1:11" x14ac:dyDescent="0.25">
      <c r="A2518" s="31">
        <v>43847</v>
      </c>
      <c r="B2518" t="s">
        <v>6</v>
      </c>
      <c r="C2518" s="31">
        <v>1030</v>
      </c>
      <c r="D2518" t="s">
        <v>80</v>
      </c>
      <c r="E2518" t="s">
        <v>111</v>
      </c>
      <c r="F2518">
        <v>1</v>
      </c>
      <c r="G2518" t="s">
        <v>70</v>
      </c>
      <c r="H2518" t="s">
        <v>110</v>
      </c>
      <c r="I2518">
        <v>3</v>
      </c>
      <c r="J2518" s="19">
        <f>WEEKNUM(tblRidershipData[[#This Row],[MeasurementDate]])</f>
        <v>3</v>
      </c>
      <c r="K2518" s="19">
        <f>MONTH(tblRidershipData[[#This Row],[MeasurementDate]])</f>
        <v>1</v>
      </c>
    </row>
    <row r="2519" spans="1:11" x14ac:dyDescent="0.25">
      <c r="A2519" s="31">
        <v>43847</v>
      </c>
      <c r="B2519" t="s">
        <v>6</v>
      </c>
      <c r="C2519" s="31">
        <v>1030</v>
      </c>
      <c r="D2519" t="s">
        <v>80</v>
      </c>
      <c r="E2519" t="s">
        <v>111</v>
      </c>
      <c r="F2519">
        <v>1</v>
      </c>
      <c r="G2519" t="s">
        <v>71</v>
      </c>
      <c r="H2519" t="s">
        <v>110</v>
      </c>
      <c r="I2519">
        <v>8</v>
      </c>
      <c r="J2519" s="19">
        <f>WEEKNUM(tblRidershipData[[#This Row],[MeasurementDate]])</f>
        <v>3</v>
      </c>
      <c r="K2519" s="19">
        <f>MONTH(tblRidershipData[[#This Row],[MeasurementDate]])</f>
        <v>1</v>
      </c>
    </row>
    <row r="2520" spans="1:11" x14ac:dyDescent="0.25">
      <c r="A2520" s="31">
        <v>43847</v>
      </c>
      <c r="B2520" t="s">
        <v>6</v>
      </c>
      <c r="C2520" s="31">
        <v>1030</v>
      </c>
      <c r="D2520" t="s">
        <v>80</v>
      </c>
      <c r="E2520" t="s">
        <v>111</v>
      </c>
      <c r="F2520">
        <v>1</v>
      </c>
      <c r="G2520" t="s">
        <v>76</v>
      </c>
      <c r="H2520" t="s">
        <v>110</v>
      </c>
      <c r="I2520">
        <v>4</v>
      </c>
      <c r="J2520" s="19">
        <f>WEEKNUM(tblRidershipData[[#This Row],[MeasurementDate]])</f>
        <v>3</v>
      </c>
      <c r="K2520" s="19">
        <f>MONTH(tblRidershipData[[#This Row],[MeasurementDate]])</f>
        <v>1</v>
      </c>
    </row>
    <row r="2521" spans="1:11" x14ac:dyDescent="0.25">
      <c r="A2521" s="31">
        <v>43847</v>
      </c>
      <c r="B2521" t="s">
        <v>6</v>
      </c>
      <c r="C2521" s="31">
        <v>1030</v>
      </c>
      <c r="D2521" t="s">
        <v>80</v>
      </c>
      <c r="E2521" t="s">
        <v>111</v>
      </c>
      <c r="F2521">
        <v>2</v>
      </c>
      <c r="G2521" t="s">
        <v>46</v>
      </c>
      <c r="H2521" t="s">
        <v>110</v>
      </c>
      <c r="I2521">
        <v>2</v>
      </c>
      <c r="J2521" s="19">
        <f>WEEKNUM(tblRidershipData[[#This Row],[MeasurementDate]])</f>
        <v>3</v>
      </c>
      <c r="K2521" s="19">
        <f>MONTH(tblRidershipData[[#This Row],[MeasurementDate]])</f>
        <v>1</v>
      </c>
    </row>
    <row r="2522" spans="1:11" x14ac:dyDescent="0.25">
      <c r="A2522" s="31">
        <v>43847</v>
      </c>
      <c r="B2522" t="s">
        <v>6</v>
      </c>
      <c r="C2522" s="31">
        <v>1030</v>
      </c>
      <c r="D2522" t="s">
        <v>80</v>
      </c>
      <c r="E2522" t="s">
        <v>111</v>
      </c>
      <c r="F2522">
        <v>2</v>
      </c>
      <c r="G2522" t="s">
        <v>55</v>
      </c>
      <c r="H2522" t="s">
        <v>110</v>
      </c>
      <c r="I2522">
        <v>1</v>
      </c>
      <c r="J2522" s="19">
        <f>WEEKNUM(tblRidershipData[[#This Row],[MeasurementDate]])</f>
        <v>3</v>
      </c>
      <c r="K2522" s="19">
        <f>MONTH(tblRidershipData[[#This Row],[MeasurementDate]])</f>
        <v>1</v>
      </c>
    </row>
    <row r="2523" spans="1:11" x14ac:dyDescent="0.25">
      <c r="A2523" s="31">
        <v>43847</v>
      </c>
      <c r="B2523" t="s">
        <v>6</v>
      </c>
      <c r="C2523" s="31">
        <v>1030</v>
      </c>
      <c r="D2523" t="s">
        <v>80</v>
      </c>
      <c r="E2523" t="s">
        <v>109</v>
      </c>
      <c r="F2523">
        <v>1</v>
      </c>
      <c r="G2523" t="s">
        <v>44</v>
      </c>
      <c r="H2523" t="s">
        <v>110</v>
      </c>
      <c r="I2523">
        <v>15</v>
      </c>
      <c r="J2523" s="19">
        <f>WEEKNUM(tblRidershipData[[#This Row],[MeasurementDate]])</f>
        <v>3</v>
      </c>
      <c r="K2523" s="19">
        <f>MONTH(tblRidershipData[[#This Row],[MeasurementDate]])</f>
        <v>1</v>
      </c>
    </row>
    <row r="2524" spans="1:11" x14ac:dyDescent="0.25">
      <c r="A2524" s="31">
        <v>43847</v>
      </c>
      <c r="B2524" t="s">
        <v>6</v>
      </c>
      <c r="C2524" s="31">
        <v>1030</v>
      </c>
      <c r="D2524" t="s">
        <v>80</v>
      </c>
      <c r="E2524" t="s">
        <v>109</v>
      </c>
      <c r="F2524">
        <v>1</v>
      </c>
      <c r="G2524" t="s">
        <v>57</v>
      </c>
      <c r="H2524" t="s">
        <v>110</v>
      </c>
      <c r="I2524">
        <v>20</v>
      </c>
      <c r="J2524" s="19">
        <f>WEEKNUM(tblRidershipData[[#This Row],[MeasurementDate]])</f>
        <v>3</v>
      </c>
      <c r="K2524" s="19">
        <f>MONTH(tblRidershipData[[#This Row],[MeasurementDate]])</f>
        <v>1</v>
      </c>
    </row>
    <row r="2525" spans="1:11" x14ac:dyDescent="0.25">
      <c r="A2525" s="31">
        <v>43847</v>
      </c>
      <c r="B2525" t="s">
        <v>6</v>
      </c>
      <c r="C2525" s="31">
        <v>1030</v>
      </c>
      <c r="D2525" t="s">
        <v>80</v>
      </c>
      <c r="E2525" t="s">
        <v>109</v>
      </c>
      <c r="F2525">
        <v>1</v>
      </c>
      <c r="G2525" t="s">
        <v>59</v>
      </c>
      <c r="H2525" t="s">
        <v>110</v>
      </c>
      <c r="I2525">
        <v>37</v>
      </c>
      <c r="J2525" s="19">
        <f>WEEKNUM(tblRidershipData[[#This Row],[MeasurementDate]])</f>
        <v>3</v>
      </c>
      <c r="K2525" s="19">
        <f>MONTH(tblRidershipData[[#This Row],[MeasurementDate]])</f>
        <v>1</v>
      </c>
    </row>
    <row r="2526" spans="1:11" x14ac:dyDescent="0.25">
      <c r="A2526" s="31">
        <v>43847</v>
      </c>
      <c r="B2526" t="s">
        <v>6</v>
      </c>
      <c r="C2526" s="31">
        <v>1030</v>
      </c>
      <c r="D2526" t="s">
        <v>80</v>
      </c>
      <c r="E2526" t="s">
        <v>109</v>
      </c>
      <c r="F2526">
        <v>1</v>
      </c>
      <c r="G2526" t="s">
        <v>70</v>
      </c>
      <c r="H2526" t="s">
        <v>110</v>
      </c>
      <c r="I2526">
        <v>3</v>
      </c>
      <c r="J2526" s="19">
        <f>WEEKNUM(tblRidershipData[[#This Row],[MeasurementDate]])</f>
        <v>3</v>
      </c>
      <c r="K2526" s="19">
        <f>MONTH(tblRidershipData[[#This Row],[MeasurementDate]])</f>
        <v>1</v>
      </c>
    </row>
    <row r="2527" spans="1:11" x14ac:dyDescent="0.25">
      <c r="A2527" s="31">
        <v>43847</v>
      </c>
      <c r="B2527" t="s">
        <v>6</v>
      </c>
      <c r="C2527" s="31">
        <v>1030</v>
      </c>
      <c r="D2527" t="s">
        <v>80</v>
      </c>
      <c r="E2527" t="s">
        <v>111</v>
      </c>
      <c r="F2527">
        <v>1</v>
      </c>
      <c r="G2527" t="s">
        <v>44</v>
      </c>
      <c r="H2527" t="s">
        <v>110</v>
      </c>
      <c r="I2527">
        <v>12</v>
      </c>
      <c r="J2527" s="19">
        <f>WEEKNUM(tblRidershipData[[#This Row],[MeasurementDate]])</f>
        <v>3</v>
      </c>
      <c r="K2527" s="19">
        <f>MONTH(tblRidershipData[[#This Row],[MeasurementDate]])</f>
        <v>1</v>
      </c>
    </row>
    <row r="2528" spans="1:11" x14ac:dyDescent="0.25">
      <c r="A2528" s="31">
        <v>43847</v>
      </c>
      <c r="B2528" t="s">
        <v>6</v>
      </c>
      <c r="C2528" s="31">
        <v>1030</v>
      </c>
      <c r="D2528" t="s">
        <v>80</v>
      </c>
      <c r="E2528" t="s">
        <v>111</v>
      </c>
      <c r="F2528">
        <v>1</v>
      </c>
      <c r="G2528" t="s">
        <v>51</v>
      </c>
      <c r="H2528" t="s">
        <v>110</v>
      </c>
      <c r="I2528">
        <v>2</v>
      </c>
      <c r="J2528" s="19">
        <f>WEEKNUM(tblRidershipData[[#This Row],[MeasurementDate]])</f>
        <v>3</v>
      </c>
      <c r="K2528" s="19">
        <f>MONTH(tblRidershipData[[#This Row],[MeasurementDate]])</f>
        <v>1</v>
      </c>
    </row>
    <row r="2529" spans="1:11" x14ac:dyDescent="0.25">
      <c r="A2529" s="31">
        <v>43847</v>
      </c>
      <c r="B2529" t="s">
        <v>6</v>
      </c>
      <c r="C2529" s="31">
        <v>1030</v>
      </c>
      <c r="D2529" t="s">
        <v>80</v>
      </c>
      <c r="E2529" t="s">
        <v>111</v>
      </c>
      <c r="F2529">
        <v>1</v>
      </c>
      <c r="G2529" t="s">
        <v>55</v>
      </c>
      <c r="H2529" t="s">
        <v>110</v>
      </c>
      <c r="I2529">
        <v>6</v>
      </c>
      <c r="J2529" s="19">
        <f>WEEKNUM(tblRidershipData[[#This Row],[MeasurementDate]])</f>
        <v>3</v>
      </c>
      <c r="K2529" s="19">
        <f>MONTH(tblRidershipData[[#This Row],[MeasurementDate]])</f>
        <v>1</v>
      </c>
    </row>
    <row r="2530" spans="1:11" x14ac:dyDescent="0.25">
      <c r="A2530" s="31">
        <v>43847</v>
      </c>
      <c r="B2530" t="s">
        <v>6</v>
      </c>
      <c r="C2530" s="31">
        <v>1030</v>
      </c>
      <c r="D2530" t="s">
        <v>80</v>
      </c>
      <c r="E2530" t="s">
        <v>111</v>
      </c>
      <c r="F2530">
        <v>1</v>
      </c>
      <c r="G2530" t="s">
        <v>69</v>
      </c>
      <c r="H2530" t="s">
        <v>110</v>
      </c>
      <c r="I2530">
        <v>32</v>
      </c>
      <c r="J2530" s="19">
        <f>WEEKNUM(tblRidershipData[[#This Row],[MeasurementDate]])</f>
        <v>3</v>
      </c>
      <c r="K2530" s="19">
        <f>MONTH(tblRidershipData[[#This Row],[MeasurementDate]])</f>
        <v>1</v>
      </c>
    </row>
    <row r="2531" spans="1:11" x14ac:dyDescent="0.25">
      <c r="A2531" s="31">
        <v>43847</v>
      </c>
      <c r="B2531" t="s">
        <v>6</v>
      </c>
      <c r="C2531" s="31">
        <v>1030</v>
      </c>
      <c r="D2531" t="s">
        <v>80</v>
      </c>
      <c r="E2531" t="s">
        <v>111</v>
      </c>
      <c r="F2531">
        <v>1</v>
      </c>
      <c r="G2531" t="s">
        <v>75</v>
      </c>
      <c r="H2531" t="s">
        <v>110</v>
      </c>
      <c r="I2531">
        <v>14</v>
      </c>
      <c r="J2531" s="19">
        <f>WEEKNUM(tblRidershipData[[#This Row],[MeasurementDate]])</f>
        <v>3</v>
      </c>
      <c r="K2531" s="19">
        <f>MONTH(tblRidershipData[[#This Row],[MeasurementDate]])</f>
        <v>1</v>
      </c>
    </row>
    <row r="2532" spans="1:11" x14ac:dyDescent="0.25">
      <c r="A2532" s="31">
        <v>43847</v>
      </c>
      <c r="B2532" t="s">
        <v>6</v>
      </c>
      <c r="C2532" s="31">
        <v>1030</v>
      </c>
      <c r="D2532" t="s">
        <v>80</v>
      </c>
      <c r="E2532" t="s">
        <v>111</v>
      </c>
      <c r="F2532">
        <v>1</v>
      </c>
      <c r="G2532" t="s">
        <v>43</v>
      </c>
      <c r="H2532" t="s">
        <v>112</v>
      </c>
      <c r="I2532">
        <v>12</v>
      </c>
      <c r="J2532" s="19">
        <f>WEEKNUM(tblRidershipData[[#This Row],[MeasurementDate]])</f>
        <v>3</v>
      </c>
      <c r="K2532" s="19">
        <f>MONTH(tblRidershipData[[#This Row],[MeasurementDate]])</f>
        <v>1</v>
      </c>
    </row>
    <row r="2533" spans="1:11" x14ac:dyDescent="0.25">
      <c r="A2533" s="31">
        <v>43847</v>
      </c>
      <c r="B2533" t="s">
        <v>6</v>
      </c>
      <c r="C2533" s="31">
        <v>1030</v>
      </c>
      <c r="D2533" t="s">
        <v>80</v>
      </c>
      <c r="E2533" t="s">
        <v>111</v>
      </c>
      <c r="F2533">
        <v>1</v>
      </c>
      <c r="G2533" t="s">
        <v>46</v>
      </c>
      <c r="H2533" t="s">
        <v>112</v>
      </c>
      <c r="I2533">
        <v>11</v>
      </c>
      <c r="J2533" s="19">
        <f>WEEKNUM(tblRidershipData[[#This Row],[MeasurementDate]])</f>
        <v>3</v>
      </c>
      <c r="K2533" s="19">
        <f>MONTH(tblRidershipData[[#This Row],[MeasurementDate]])</f>
        <v>1</v>
      </c>
    </row>
    <row r="2534" spans="1:11" x14ac:dyDescent="0.25">
      <c r="A2534" s="31">
        <v>43847</v>
      </c>
      <c r="B2534" t="s">
        <v>6</v>
      </c>
      <c r="C2534" s="31">
        <v>1030</v>
      </c>
      <c r="D2534" t="s">
        <v>80</v>
      </c>
      <c r="E2534" t="s">
        <v>111</v>
      </c>
      <c r="F2534">
        <v>1</v>
      </c>
      <c r="G2534" t="s">
        <v>60</v>
      </c>
      <c r="H2534" t="s">
        <v>112</v>
      </c>
      <c r="I2534">
        <v>8</v>
      </c>
      <c r="J2534" s="19">
        <f>WEEKNUM(tblRidershipData[[#This Row],[MeasurementDate]])</f>
        <v>3</v>
      </c>
      <c r="K2534" s="19">
        <f>MONTH(tblRidershipData[[#This Row],[MeasurementDate]])</f>
        <v>1</v>
      </c>
    </row>
    <row r="2535" spans="1:11" x14ac:dyDescent="0.25">
      <c r="A2535" s="31">
        <v>43847</v>
      </c>
      <c r="B2535" t="s">
        <v>6</v>
      </c>
      <c r="C2535" s="31">
        <v>1030</v>
      </c>
      <c r="D2535" t="s">
        <v>80</v>
      </c>
      <c r="E2535" t="s">
        <v>111</v>
      </c>
      <c r="F2535">
        <v>1</v>
      </c>
      <c r="G2535" t="s">
        <v>66</v>
      </c>
      <c r="H2535" t="s">
        <v>112</v>
      </c>
      <c r="I2535">
        <v>9</v>
      </c>
      <c r="J2535" s="19">
        <f>WEEKNUM(tblRidershipData[[#This Row],[MeasurementDate]])</f>
        <v>3</v>
      </c>
      <c r="K2535" s="19">
        <f>MONTH(tblRidershipData[[#This Row],[MeasurementDate]])</f>
        <v>1</v>
      </c>
    </row>
    <row r="2536" spans="1:11" x14ac:dyDescent="0.25">
      <c r="A2536" s="31">
        <v>43847</v>
      </c>
      <c r="B2536" t="s">
        <v>6</v>
      </c>
      <c r="C2536" s="31">
        <v>1030</v>
      </c>
      <c r="D2536" t="s">
        <v>80</v>
      </c>
      <c r="E2536" t="s">
        <v>111</v>
      </c>
      <c r="F2536">
        <v>1</v>
      </c>
      <c r="G2536" t="s">
        <v>69</v>
      </c>
      <c r="H2536" t="s">
        <v>112</v>
      </c>
      <c r="I2536">
        <v>3</v>
      </c>
      <c r="J2536" s="19">
        <f>WEEKNUM(tblRidershipData[[#This Row],[MeasurementDate]])</f>
        <v>3</v>
      </c>
      <c r="K2536" s="19">
        <f>MONTH(tblRidershipData[[#This Row],[MeasurementDate]])</f>
        <v>1</v>
      </c>
    </row>
    <row r="2537" spans="1:11" x14ac:dyDescent="0.25">
      <c r="A2537" s="31">
        <v>43847</v>
      </c>
      <c r="B2537" t="s">
        <v>6</v>
      </c>
      <c r="C2537" s="31">
        <v>1030</v>
      </c>
      <c r="D2537" t="s">
        <v>80</v>
      </c>
      <c r="E2537" t="s">
        <v>111</v>
      </c>
      <c r="F2537">
        <v>1</v>
      </c>
      <c r="G2537" t="s">
        <v>70</v>
      </c>
      <c r="H2537" t="s">
        <v>112</v>
      </c>
      <c r="I2537">
        <v>13</v>
      </c>
      <c r="J2537" s="19">
        <f>WEEKNUM(tblRidershipData[[#This Row],[MeasurementDate]])</f>
        <v>3</v>
      </c>
      <c r="K2537" s="19">
        <f>MONTH(tblRidershipData[[#This Row],[MeasurementDate]])</f>
        <v>1</v>
      </c>
    </row>
    <row r="2538" spans="1:11" x14ac:dyDescent="0.25">
      <c r="A2538" s="31">
        <v>43847</v>
      </c>
      <c r="B2538" t="s">
        <v>6</v>
      </c>
      <c r="C2538" s="31">
        <v>1030</v>
      </c>
      <c r="D2538" t="s">
        <v>80</v>
      </c>
      <c r="E2538" t="s">
        <v>111</v>
      </c>
      <c r="F2538">
        <v>1</v>
      </c>
      <c r="G2538" t="s">
        <v>71</v>
      </c>
      <c r="H2538" t="s">
        <v>112</v>
      </c>
      <c r="I2538">
        <v>16</v>
      </c>
      <c r="J2538" s="19">
        <f>WEEKNUM(tblRidershipData[[#This Row],[MeasurementDate]])</f>
        <v>3</v>
      </c>
      <c r="K2538" s="19">
        <f>MONTH(tblRidershipData[[#This Row],[MeasurementDate]])</f>
        <v>1</v>
      </c>
    </row>
    <row r="2539" spans="1:11" x14ac:dyDescent="0.25">
      <c r="A2539" s="31">
        <v>43847</v>
      </c>
      <c r="B2539" t="s">
        <v>6</v>
      </c>
      <c r="C2539" s="31">
        <v>1030</v>
      </c>
      <c r="D2539" t="s">
        <v>80</v>
      </c>
      <c r="E2539" t="s">
        <v>111</v>
      </c>
      <c r="F2539">
        <v>1</v>
      </c>
      <c r="G2539" t="s">
        <v>76</v>
      </c>
      <c r="H2539" t="s">
        <v>112</v>
      </c>
      <c r="I2539">
        <v>3</v>
      </c>
      <c r="J2539" s="19">
        <f>WEEKNUM(tblRidershipData[[#This Row],[MeasurementDate]])</f>
        <v>3</v>
      </c>
      <c r="K2539" s="19">
        <f>MONTH(tblRidershipData[[#This Row],[MeasurementDate]])</f>
        <v>1</v>
      </c>
    </row>
    <row r="2540" spans="1:11" x14ac:dyDescent="0.25">
      <c r="A2540" s="31">
        <v>43847</v>
      </c>
      <c r="B2540" t="s">
        <v>6</v>
      </c>
      <c r="C2540" s="31">
        <v>2341</v>
      </c>
      <c r="D2540" t="s">
        <v>105</v>
      </c>
      <c r="E2540" t="s">
        <v>111</v>
      </c>
      <c r="F2540">
        <v>1</v>
      </c>
      <c r="G2540" t="s">
        <v>43</v>
      </c>
      <c r="H2540" t="s">
        <v>110</v>
      </c>
      <c r="I2540">
        <v>9</v>
      </c>
      <c r="J2540" s="19">
        <f>WEEKNUM(tblRidershipData[[#This Row],[MeasurementDate]])</f>
        <v>3</v>
      </c>
      <c r="K2540" s="19">
        <f>MONTH(tblRidershipData[[#This Row],[MeasurementDate]])</f>
        <v>1</v>
      </c>
    </row>
    <row r="2541" spans="1:11" x14ac:dyDescent="0.25">
      <c r="A2541" s="31">
        <v>43847</v>
      </c>
      <c r="B2541" t="s">
        <v>6</v>
      </c>
      <c r="C2541" s="31">
        <v>2341</v>
      </c>
      <c r="D2541" t="s">
        <v>105</v>
      </c>
      <c r="E2541" t="s">
        <v>111</v>
      </c>
      <c r="F2541">
        <v>1</v>
      </c>
      <c r="G2541" t="s">
        <v>44</v>
      </c>
      <c r="H2541" t="s">
        <v>110</v>
      </c>
      <c r="I2541">
        <v>3</v>
      </c>
      <c r="J2541" s="19">
        <f>WEEKNUM(tblRidershipData[[#This Row],[MeasurementDate]])</f>
        <v>3</v>
      </c>
      <c r="K2541" s="19">
        <f>MONTH(tblRidershipData[[#This Row],[MeasurementDate]])</f>
        <v>1</v>
      </c>
    </row>
    <row r="2542" spans="1:11" x14ac:dyDescent="0.25">
      <c r="A2542" s="31">
        <v>43847</v>
      </c>
      <c r="B2542" t="s">
        <v>6</v>
      </c>
      <c r="C2542" s="31">
        <v>2341</v>
      </c>
      <c r="D2542" t="s">
        <v>105</v>
      </c>
      <c r="E2542" t="s">
        <v>111</v>
      </c>
      <c r="F2542">
        <v>1</v>
      </c>
      <c r="G2542" t="s">
        <v>46</v>
      </c>
      <c r="H2542" t="s">
        <v>110</v>
      </c>
      <c r="I2542">
        <v>14</v>
      </c>
      <c r="J2542" s="19">
        <f>WEEKNUM(tblRidershipData[[#This Row],[MeasurementDate]])</f>
        <v>3</v>
      </c>
      <c r="K2542" s="19">
        <f>MONTH(tblRidershipData[[#This Row],[MeasurementDate]])</f>
        <v>1</v>
      </c>
    </row>
    <row r="2543" spans="1:11" x14ac:dyDescent="0.25">
      <c r="A2543" s="31">
        <v>43847</v>
      </c>
      <c r="B2543" t="s">
        <v>6</v>
      </c>
      <c r="C2543" s="31">
        <v>2341</v>
      </c>
      <c r="D2543" t="s">
        <v>105</v>
      </c>
      <c r="E2543" t="s">
        <v>111</v>
      </c>
      <c r="F2543">
        <v>1</v>
      </c>
      <c r="G2543" t="s">
        <v>66</v>
      </c>
      <c r="H2543" t="s">
        <v>110</v>
      </c>
      <c r="I2543">
        <v>3</v>
      </c>
      <c r="J2543" s="19">
        <f>WEEKNUM(tblRidershipData[[#This Row],[MeasurementDate]])</f>
        <v>3</v>
      </c>
      <c r="K2543" s="19">
        <f>MONTH(tblRidershipData[[#This Row],[MeasurementDate]])</f>
        <v>1</v>
      </c>
    </row>
    <row r="2544" spans="1:11" x14ac:dyDescent="0.25">
      <c r="A2544" s="31">
        <v>43847</v>
      </c>
      <c r="B2544" t="s">
        <v>6</v>
      </c>
      <c r="C2544" s="31">
        <v>2341</v>
      </c>
      <c r="D2544" t="s">
        <v>105</v>
      </c>
      <c r="E2544" t="s">
        <v>111</v>
      </c>
      <c r="F2544">
        <v>1</v>
      </c>
      <c r="G2544" t="s">
        <v>69</v>
      </c>
      <c r="H2544" t="s">
        <v>110</v>
      </c>
      <c r="I2544">
        <v>8</v>
      </c>
      <c r="J2544" s="19">
        <f>WEEKNUM(tblRidershipData[[#This Row],[MeasurementDate]])</f>
        <v>3</v>
      </c>
      <c r="K2544" s="19">
        <f>MONTH(tblRidershipData[[#This Row],[MeasurementDate]])</f>
        <v>1</v>
      </c>
    </row>
    <row r="2545" spans="1:11" x14ac:dyDescent="0.25">
      <c r="A2545" s="31">
        <v>43847</v>
      </c>
      <c r="B2545" t="s">
        <v>6</v>
      </c>
      <c r="C2545" s="31">
        <v>2341</v>
      </c>
      <c r="D2545" t="s">
        <v>105</v>
      </c>
      <c r="E2545" t="s">
        <v>111</v>
      </c>
      <c r="F2545">
        <v>1</v>
      </c>
      <c r="G2545" t="s">
        <v>71</v>
      </c>
      <c r="H2545" t="s">
        <v>110</v>
      </c>
      <c r="I2545">
        <v>9</v>
      </c>
      <c r="J2545" s="19">
        <f>WEEKNUM(tblRidershipData[[#This Row],[MeasurementDate]])</f>
        <v>3</v>
      </c>
      <c r="K2545" s="19">
        <f>MONTH(tblRidershipData[[#This Row],[MeasurementDate]])</f>
        <v>1</v>
      </c>
    </row>
    <row r="2546" spans="1:11" x14ac:dyDescent="0.25">
      <c r="A2546" s="31">
        <v>43847</v>
      </c>
      <c r="B2546" t="s">
        <v>6</v>
      </c>
      <c r="C2546" s="31">
        <v>2341</v>
      </c>
      <c r="D2546" t="s">
        <v>105</v>
      </c>
      <c r="E2546" t="s">
        <v>109</v>
      </c>
      <c r="F2546">
        <v>1</v>
      </c>
      <c r="G2546" t="s">
        <v>44</v>
      </c>
      <c r="H2546" t="s">
        <v>110</v>
      </c>
      <c r="I2546">
        <v>1</v>
      </c>
      <c r="J2546" s="19">
        <f>WEEKNUM(tblRidershipData[[#This Row],[MeasurementDate]])</f>
        <v>3</v>
      </c>
      <c r="K2546" s="19">
        <f>MONTH(tblRidershipData[[#This Row],[MeasurementDate]])</f>
        <v>1</v>
      </c>
    </row>
    <row r="2547" spans="1:11" x14ac:dyDescent="0.25">
      <c r="A2547" s="31">
        <v>43847</v>
      </c>
      <c r="B2547" t="s">
        <v>6</v>
      </c>
      <c r="C2547" s="31">
        <v>2341</v>
      </c>
      <c r="D2547" t="s">
        <v>105</v>
      </c>
      <c r="E2547" t="s">
        <v>109</v>
      </c>
      <c r="F2547">
        <v>1</v>
      </c>
      <c r="G2547" t="s">
        <v>52</v>
      </c>
      <c r="H2547" t="s">
        <v>110</v>
      </c>
      <c r="I2547">
        <v>23</v>
      </c>
      <c r="J2547" s="19">
        <f>WEEKNUM(tblRidershipData[[#This Row],[MeasurementDate]])</f>
        <v>3</v>
      </c>
      <c r="K2547" s="19">
        <f>MONTH(tblRidershipData[[#This Row],[MeasurementDate]])</f>
        <v>1</v>
      </c>
    </row>
    <row r="2548" spans="1:11" x14ac:dyDescent="0.25">
      <c r="A2548" s="31">
        <v>43847</v>
      </c>
      <c r="B2548" t="s">
        <v>6</v>
      </c>
      <c r="C2548" s="31">
        <v>2341</v>
      </c>
      <c r="D2548" t="s">
        <v>105</v>
      </c>
      <c r="E2548" t="s">
        <v>109</v>
      </c>
      <c r="F2548">
        <v>1</v>
      </c>
      <c r="G2548" t="s">
        <v>53</v>
      </c>
      <c r="H2548" t="s">
        <v>110</v>
      </c>
      <c r="I2548">
        <v>13</v>
      </c>
      <c r="J2548" s="19">
        <f>WEEKNUM(tblRidershipData[[#This Row],[MeasurementDate]])</f>
        <v>3</v>
      </c>
      <c r="K2548" s="19">
        <f>MONTH(tblRidershipData[[#This Row],[MeasurementDate]])</f>
        <v>1</v>
      </c>
    </row>
    <row r="2549" spans="1:11" x14ac:dyDescent="0.25">
      <c r="A2549" s="31">
        <v>43847</v>
      </c>
      <c r="B2549" t="s">
        <v>6</v>
      </c>
      <c r="C2549" s="31">
        <v>2341</v>
      </c>
      <c r="D2549" t="s">
        <v>105</v>
      </c>
      <c r="E2549" t="s">
        <v>109</v>
      </c>
      <c r="F2549">
        <v>1</v>
      </c>
      <c r="G2549" t="s">
        <v>64</v>
      </c>
      <c r="H2549" t="s">
        <v>110</v>
      </c>
      <c r="I2549">
        <v>5</v>
      </c>
      <c r="J2549" s="19">
        <f>WEEKNUM(tblRidershipData[[#This Row],[MeasurementDate]])</f>
        <v>3</v>
      </c>
      <c r="K2549" s="19">
        <f>MONTH(tblRidershipData[[#This Row],[MeasurementDate]])</f>
        <v>1</v>
      </c>
    </row>
    <row r="2550" spans="1:11" x14ac:dyDescent="0.25">
      <c r="A2550" s="31">
        <v>43847</v>
      </c>
      <c r="B2550" t="s">
        <v>6</v>
      </c>
      <c r="C2550" s="31">
        <v>2341</v>
      </c>
      <c r="D2550" t="s">
        <v>105</v>
      </c>
      <c r="E2550" t="s">
        <v>109</v>
      </c>
      <c r="F2550">
        <v>1</v>
      </c>
      <c r="G2550" t="s">
        <v>69</v>
      </c>
      <c r="H2550" t="s">
        <v>110</v>
      </c>
      <c r="I2550">
        <v>8</v>
      </c>
      <c r="J2550" s="19">
        <f>WEEKNUM(tblRidershipData[[#This Row],[MeasurementDate]])</f>
        <v>3</v>
      </c>
      <c r="K2550" s="19">
        <f>MONTH(tblRidershipData[[#This Row],[MeasurementDate]])</f>
        <v>1</v>
      </c>
    </row>
    <row r="2551" spans="1:11" x14ac:dyDescent="0.25">
      <c r="A2551" s="31">
        <v>43847</v>
      </c>
      <c r="B2551" t="s">
        <v>6</v>
      </c>
      <c r="C2551" s="31">
        <v>2341</v>
      </c>
      <c r="D2551" t="s">
        <v>105</v>
      </c>
      <c r="E2551" t="s">
        <v>111</v>
      </c>
      <c r="F2551">
        <v>1</v>
      </c>
      <c r="G2551" t="s">
        <v>69</v>
      </c>
      <c r="H2551" t="s">
        <v>112</v>
      </c>
      <c r="I2551">
        <v>3</v>
      </c>
      <c r="J2551" s="19">
        <f>WEEKNUM(tblRidershipData[[#This Row],[MeasurementDate]])</f>
        <v>3</v>
      </c>
      <c r="K2551" s="19">
        <f>MONTH(tblRidershipData[[#This Row],[MeasurementDate]])</f>
        <v>1</v>
      </c>
    </row>
    <row r="2552" spans="1:11" x14ac:dyDescent="0.25">
      <c r="A2552" s="31">
        <v>43847</v>
      </c>
      <c r="B2552" t="s">
        <v>6</v>
      </c>
      <c r="C2552" s="31">
        <v>2341</v>
      </c>
      <c r="D2552" t="s">
        <v>105</v>
      </c>
      <c r="E2552" t="s">
        <v>111</v>
      </c>
      <c r="F2552">
        <v>1</v>
      </c>
      <c r="G2552" t="s">
        <v>72</v>
      </c>
      <c r="H2552" t="s">
        <v>112</v>
      </c>
      <c r="I2552">
        <v>4</v>
      </c>
      <c r="J2552" s="19">
        <f>WEEKNUM(tblRidershipData[[#This Row],[MeasurementDate]])</f>
        <v>3</v>
      </c>
      <c r="K2552" s="19">
        <f>MONTH(tblRidershipData[[#This Row],[MeasurementDate]])</f>
        <v>1</v>
      </c>
    </row>
    <row r="2553" spans="1:11" x14ac:dyDescent="0.25">
      <c r="A2553" s="31">
        <v>43847</v>
      </c>
      <c r="B2553" t="s">
        <v>6</v>
      </c>
      <c r="C2553" s="31">
        <v>2341</v>
      </c>
      <c r="D2553" t="s">
        <v>105</v>
      </c>
      <c r="E2553" t="s">
        <v>111</v>
      </c>
      <c r="F2553">
        <v>1</v>
      </c>
      <c r="G2553" t="s">
        <v>74</v>
      </c>
      <c r="H2553" t="s">
        <v>112</v>
      </c>
      <c r="I2553">
        <v>39</v>
      </c>
      <c r="J2553" s="19">
        <f>WEEKNUM(tblRidershipData[[#This Row],[MeasurementDate]])</f>
        <v>3</v>
      </c>
      <c r="K2553" s="19">
        <f>MONTH(tblRidershipData[[#This Row],[MeasurementDate]])</f>
        <v>1</v>
      </c>
    </row>
    <row r="2554" spans="1:11" x14ac:dyDescent="0.25">
      <c r="A2554" s="31">
        <v>43847</v>
      </c>
      <c r="B2554" t="s">
        <v>6</v>
      </c>
      <c r="C2554" s="31">
        <v>2341</v>
      </c>
      <c r="D2554" t="s">
        <v>105</v>
      </c>
      <c r="E2554" t="s">
        <v>109</v>
      </c>
      <c r="F2554">
        <v>1</v>
      </c>
      <c r="G2554" t="s">
        <v>44</v>
      </c>
      <c r="H2554" t="s">
        <v>112</v>
      </c>
      <c r="I2554">
        <v>8</v>
      </c>
      <c r="J2554" s="19">
        <f>WEEKNUM(tblRidershipData[[#This Row],[MeasurementDate]])</f>
        <v>3</v>
      </c>
      <c r="K2554" s="19">
        <f>MONTH(tblRidershipData[[#This Row],[MeasurementDate]])</f>
        <v>1</v>
      </c>
    </row>
    <row r="2555" spans="1:11" x14ac:dyDescent="0.25">
      <c r="A2555" s="31">
        <v>43847</v>
      </c>
      <c r="B2555" t="s">
        <v>6</v>
      </c>
      <c r="C2555" s="31">
        <v>2341</v>
      </c>
      <c r="D2555" t="s">
        <v>105</v>
      </c>
      <c r="E2555" t="s">
        <v>109</v>
      </c>
      <c r="F2555">
        <v>1</v>
      </c>
      <c r="G2555" t="s">
        <v>46</v>
      </c>
      <c r="H2555" t="s">
        <v>112</v>
      </c>
      <c r="I2555">
        <v>4</v>
      </c>
      <c r="J2555" s="19">
        <f>WEEKNUM(tblRidershipData[[#This Row],[MeasurementDate]])</f>
        <v>3</v>
      </c>
      <c r="K2555" s="19">
        <f>MONTH(tblRidershipData[[#This Row],[MeasurementDate]])</f>
        <v>1</v>
      </c>
    </row>
    <row r="2556" spans="1:11" x14ac:dyDescent="0.25">
      <c r="A2556" s="31">
        <v>43847</v>
      </c>
      <c r="B2556" t="s">
        <v>6</v>
      </c>
      <c r="C2556" s="31">
        <v>2341</v>
      </c>
      <c r="D2556" t="s">
        <v>105</v>
      </c>
      <c r="E2556" t="s">
        <v>109</v>
      </c>
      <c r="F2556">
        <v>1</v>
      </c>
      <c r="G2556" t="s">
        <v>52</v>
      </c>
      <c r="H2556" t="s">
        <v>112</v>
      </c>
      <c r="I2556">
        <v>1</v>
      </c>
      <c r="J2556" s="19">
        <f>WEEKNUM(tblRidershipData[[#This Row],[MeasurementDate]])</f>
        <v>3</v>
      </c>
      <c r="K2556" s="19">
        <f>MONTH(tblRidershipData[[#This Row],[MeasurementDate]])</f>
        <v>1</v>
      </c>
    </row>
    <row r="2557" spans="1:11" x14ac:dyDescent="0.25">
      <c r="A2557" s="31">
        <v>43847</v>
      </c>
      <c r="B2557" t="s">
        <v>6</v>
      </c>
      <c r="C2557" s="31">
        <v>2341</v>
      </c>
      <c r="D2557" t="s">
        <v>105</v>
      </c>
      <c r="E2557" t="s">
        <v>109</v>
      </c>
      <c r="F2557">
        <v>1</v>
      </c>
      <c r="G2557" t="s">
        <v>55</v>
      </c>
      <c r="H2557" t="s">
        <v>112</v>
      </c>
      <c r="I2557">
        <v>2</v>
      </c>
      <c r="J2557" s="19">
        <f>WEEKNUM(tblRidershipData[[#This Row],[MeasurementDate]])</f>
        <v>3</v>
      </c>
      <c r="K2557" s="19">
        <f>MONTH(tblRidershipData[[#This Row],[MeasurementDate]])</f>
        <v>1</v>
      </c>
    </row>
    <row r="2558" spans="1:11" x14ac:dyDescent="0.25">
      <c r="A2558" s="31">
        <v>43847</v>
      </c>
      <c r="B2558" t="s">
        <v>6</v>
      </c>
      <c r="C2558" s="31">
        <v>2341</v>
      </c>
      <c r="D2558" t="s">
        <v>105</v>
      </c>
      <c r="E2558" t="s">
        <v>109</v>
      </c>
      <c r="F2558">
        <v>1</v>
      </c>
      <c r="G2558" t="s">
        <v>60</v>
      </c>
      <c r="H2558" t="s">
        <v>112</v>
      </c>
      <c r="I2558">
        <v>4</v>
      </c>
      <c r="J2558" s="19">
        <f>WEEKNUM(tblRidershipData[[#This Row],[MeasurementDate]])</f>
        <v>3</v>
      </c>
      <c r="K2558" s="19">
        <f>MONTH(tblRidershipData[[#This Row],[MeasurementDate]])</f>
        <v>1</v>
      </c>
    </row>
    <row r="2559" spans="1:11" x14ac:dyDescent="0.25">
      <c r="A2559" s="31">
        <v>43847</v>
      </c>
      <c r="B2559" t="s">
        <v>6</v>
      </c>
      <c r="C2559" s="31">
        <v>2341</v>
      </c>
      <c r="D2559" t="s">
        <v>105</v>
      </c>
      <c r="E2559" t="s">
        <v>109</v>
      </c>
      <c r="F2559">
        <v>1</v>
      </c>
      <c r="G2559" t="s">
        <v>64</v>
      </c>
      <c r="H2559" t="s">
        <v>112</v>
      </c>
      <c r="I2559">
        <v>4</v>
      </c>
      <c r="J2559" s="19">
        <f>WEEKNUM(tblRidershipData[[#This Row],[MeasurementDate]])</f>
        <v>3</v>
      </c>
      <c r="K2559" s="19">
        <f>MONTH(tblRidershipData[[#This Row],[MeasurementDate]])</f>
        <v>1</v>
      </c>
    </row>
    <row r="2560" spans="1:11" x14ac:dyDescent="0.25">
      <c r="A2560" s="31">
        <v>43847</v>
      </c>
      <c r="B2560" t="s">
        <v>6</v>
      </c>
      <c r="C2560" s="31">
        <v>2341</v>
      </c>
      <c r="D2560" t="s">
        <v>105</v>
      </c>
      <c r="E2560" t="s">
        <v>109</v>
      </c>
      <c r="F2560">
        <v>1</v>
      </c>
      <c r="G2560" t="s">
        <v>66</v>
      </c>
      <c r="H2560" t="s">
        <v>112</v>
      </c>
      <c r="I2560">
        <v>9</v>
      </c>
      <c r="J2560" s="19">
        <f>WEEKNUM(tblRidershipData[[#This Row],[MeasurementDate]])</f>
        <v>3</v>
      </c>
      <c r="K2560" s="19">
        <f>MONTH(tblRidershipData[[#This Row],[MeasurementDate]])</f>
        <v>1</v>
      </c>
    </row>
    <row r="2561" spans="1:11" x14ac:dyDescent="0.25">
      <c r="A2561" s="31">
        <v>43847</v>
      </c>
      <c r="B2561" t="s">
        <v>6</v>
      </c>
      <c r="C2561" s="31">
        <v>2341</v>
      </c>
      <c r="D2561" t="s">
        <v>105</v>
      </c>
      <c r="E2561" t="s">
        <v>109</v>
      </c>
      <c r="F2561">
        <v>1</v>
      </c>
      <c r="G2561" t="s">
        <v>69</v>
      </c>
      <c r="H2561" t="s">
        <v>112</v>
      </c>
      <c r="I2561">
        <v>4</v>
      </c>
      <c r="J2561" s="19">
        <f>WEEKNUM(tblRidershipData[[#This Row],[MeasurementDate]])</f>
        <v>3</v>
      </c>
      <c r="K2561" s="19">
        <f>MONTH(tblRidershipData[[#This Row],[MeasurementDate]])</f>
        <v>1</v>
      </c>
    </row>
    <row r="2562" spans="1:11" x14ac:dyDescent="0.25">
      <c r="A2562" s="31">
        <v>43847</v>
      </c>
      <c r="B2562" t="s">
        <v>6</v>
      </c>
      <c r="C2562" s="31">
        <v>2341</v>
      </c>
      <c r="D2562" t="s">
        <v>105</v>
      </c>
      <c r="E2562" t="s">
        <v>109</v>
      </c>
      <c r="F2562">
        <v>1</v>
      </c>
      <c r="G2562" t="s">
        <v>70</v>
      </c>
      <c r="H2562" t="s">
        <v>112</v>
      </c>
      <c r="I2562">
        <v>6</v>
      </c>
      <c r="J2562" s="19">
        <f>WEEKNUM(tblRidershipData[[#This Row],[MeasurementDate]])</f>
        <v>3</v>
      </c>
      <c r="K2562" s="19">
        <f>MONTH(tblRidershipData[[#This Row],[MeasurementDate]])</f>
        <v>1</v>
      </c>
    </row>
    <row r="2563" spans="1:11" x14ac:dyDescent="0.25">
      <c r="A2563" s="31">
        <v>43847</v>
      </c>
      <c r="B2563" t="s">
        <v>6</v>
      </c>
      <c r="C2563" s="31">
        <v>2341</v>
      </c>
      <c r="D2563" t="s">
        <v>105</v>
      </c>
      <c r="E2563" t="s">
        <v>109</v>
      </c>
      <c r="F2563">
        <v>1</v>
      </c>
      <c r="G2563" t="s">
        <v>71</v>
      </c>
      <c r="H2563" t="s">
        <v>112</v>
      </c>
      <c r="I2563">
        <v>5</v>
      </c>
      <c r="J2563" s="19">
        <f>WEEKNUM(tblRidershipData[[#This Row],[MeasurementDate]])</f>
        <v>3</v>
      </c>
      <c r="K2563" s="19">
        <f>MONTH(tblRidershipData[[#This Row],[MeasurementDate]])</f>
        <v>1</v>
      </c>
    </row>
    <row r="2564" spans="1:11" x14ac:dyDescent="0.25">
      <c r="A2564" s="31">
        <v>43847</v>
      </c>
      <c r="B2564" t="s">
        <v>6</v>
      </c>
      <c r="C2564" s="31">
        <v>2341</v>
      </c>
      <c r="D2564" t="s">
        <v>105</v>
      </c>
      <c r="E2564" t="s">
        <v>109</v>
      </c>
      <c r="F2564">
        <v>1</v>
      </c>
      <c r="G2564" t="s">
        <v>76</v>
      </c>
      <c r="H2564" t="s">
        <v>112</v>
      </c>
      <c r="I2564">
        <v>3</v>
      </c>
      <c r="J2564" s="19">
        <f>WEEKNUM(tblRidershipData[[#This Row],[MeasurementDate]])</f>
        <v>3</v>
      </c>
      <c r="K2564" s="19">
        <f>MONTH(tblRidershipData[[#This Row],[MeasurementDate]])</f>
        <v>1</v>
      </c>
    </row>
    <row r="2565" spans="1:11" x14ac:dyDescent="0.25">
      <c r="A2565" s="31">
        <v>43847</v>
      </c>
      <c r="B2565" t="s">
        <v>6</v>
      </c>
      <c r="C2565" s="31">
        <v>2361</v>
      </c>
      <c r="D2565" t="s">
        <v>81</v>
      </c>
      <c r="E2565" t="s">
        <v>111</v>
      </c>
      <c r="F2565">
        <v>1</v>
      </c>
      <c r="G2565" t="s">
        <v>51</v>
      </c>
      <c r="H2565" t="s">
        <v>110</v>
      </c>
      <c r="I2565">
        <v>17</v>
      </c>
      <c r="J2565" s="19">
        <f>WEEKNUM(tblRidershipData[[#This Row],[MeasurementDate]])</f>
        <v>3</v>
      </c>
      <c r="K2565" s="19">
        <f>MONTH(tblRidershipData[[#This Row],[MeasurementDate]])</f>
        <v>1</v>
      </c>
    </row>
    <row r="2566" spans="1:11" x14ac:dyDescent="0.25">
      <c r="A2566" s="31">
        <v>43847</v>
      </c>
      <c r="B2566" t="s">
        <v>6</v>
      </c>
      <c r="C2566" s="31">
        <v>2361</v>
      </c>
      <c r="D2566" t="s">
        <v>81</v>
      </c>
      <c r="E2566" t="s">
        <v>111</v>
      </c>
      <c r="F2566">
        <v>1</v>
      </c>
      <c r="G2566" t="s">
        <v>59</v>
      </c>
      <c r="H2566" t="s">
        <v>110</v>
      </c>
      <c r="I2566">
        <v>44</v>
      </c>
      <c r="J2566" s="19">
        <f>WEEKNUM(tblRidershipData[[#This Row],[MeasurementDate]])</f>
        <v>3</v>
      </c>
      <c r="K2566" s="19">
        <f>MONTH(tblRidershipData[[#This Row],[MeasurementDate]])</f>
        <v>1</v>
      </c>
    </row>
    <row r="2567" spans="1:11" x14ac:dyDescent="0.25">
      <c r="A2567" s="31">
        <v>43847</v>
      </c>
      <c r="B2567" t="s">
        <v>6</v>
      </c>
      <c r="C2567" s="31">
        <v>2361</v>
      </c>
      <c r="D2567" t="s">
        <v>81</v>
      </c>
      <c r="E2567" t="s">
        <v>111</v>
      </c>
      <c r="F2567">
        <v>1</v>
      </c>
      <c r="G2567" t="s">
        <v>69</v>
      </c>
      <c r="H2567" t="s">
        <v>110</v>
      </c>
      <c r="I2567">
        <v>1</v>
      </c>
      <c r="J2567" s="19">
        <f>WEEKNUM(tblRidershipData[[#This Row],[MeasurementDate]])</f>
        <v>3</v>
      </c>
      <c r="K2567" s="19">
        <f>MONTH(tblRidershipData[[#This Row],[MeasurementDate]])</f>
        <v>1</v>
      </c>
    </row>
    <row r="2568" spans="1:11" x14ac:dyDescent="0.25">
      <c r="A2568" s="31">
        <v>43847</v>
      </c>
      <c r="B2568" t="s">
        <v>6</v>
      </c>
      <c r="C2568" s="31">
        <v>2361</v>
      </c>
      <c r="D2568" t="s">
        <v>81</v>
      </c>
      <c r="E2568" t="s">
        <v>111</v>
      </c>
      <c r="F2568">
        <v>1</v>
      </c>
      <c r="G2568" t="s">
        <v>75</v>
      </c>
      <c r="H2568" t="s">
        <v>110</v>
      </c>
      <c r="I2568">
        <v>19</v>
      </c>
      <c r="J2568" s="19">
        <f>WEEKNUM(tblRidershipData[[#This Row],[MeasurementDate]])</f>
        <v>3</v>
      </c>
      <c r="K2568" s="19">
        <f>MONTH(tblRidershipData[[#This Row],[MeasurementDate]])</f>
        <v>1</v>
      </c>
    </row>
    <row r="2569" spans="1:11" x14ac:dyDescent="0.25">
      <c r="A2569" s="31">
        <v>43847</v>
      </c>
      <c r="B2569" t="s">
        <v>6</v>
      </c>
      <c r="C2569" s="31">
        <v>2361</v>
      </c>
      <c r="D2569" t="s">
        <v>81</v>
      </c>
      <c r="E2569" t="s">
        <v>109</v>
      </c>
      <c r="F2569">
        <v>1</v>
      </c>
      <c r="G2569" t="s">
        <v>43</v>
      </c>
      <c r="H2569" t="s">
        <v>110</v>
      </c>
      <c r="I2569">
        <v>9</v>
      </c>
      <c r="J2569" s="19">
        <f>WEEKNUM(tblRidershipData[[#This Row],[MeasurementDate]])</f>
        <v>3</v>
      </c>
      <c r="K2569" s="19">
        <f>MONTH(tblRidershipData[[#This Row],[MeasurementDate]])</f>
        <v>1</v>
      </c>
    </row>
    <row r="2570" spans="1:11" x14ac:dyDescent="0.25">
      <c r="A2570" s="31">
        <v>43847</v>
      </c>
      <c r="B2570" t="s">
        <v>6</v>
      </c>
      <c r="C2570" s="31">
        <v>2361</v>
      </c>
      <c r="D2570" t="s">
        <v>81</v>
      </c>
      <c r="E2570" t="s">
        <v>109</v>
      </c>
      <c r="F2570">
        <v>1</v>
      </c>
      <c r="G2570" t="s">
        <v>46</v>
      </c>
      <c r="H2570" t="s">
        <v>110</v>
      </c>
      <c r="I2570">
        <v>6</v>
      </c>
      <c r="J2570" s="19">
        <f>WEEKNUM(tblRidershipData[[#This Row],[MeasurementDate]])</f>
        <v>3</v>
      </c>
      <c r="K2570" s="19">
        <f>MONTH(tblRidershipData[[#This Row],[MeasurementDate]])</f>
        <v>1</v>
      </c>
    </row>
    <row r="2571" spans="1:11" x14ac:dyDescent="0.25">
      <c r="A2571" s="31">
        <v>43847</v>
      </c>
      <c r="B2571" t="s">
        <v>6</v>
      </c>
      <c r="C2571" s="31">
        <v>2361</v>
      </c>
      <c r="D2571" t="s">
        <v>81</v>
      </c>
      <c r="E2571" t="s">
        <v>109</v>
      </c>
      <c r="F2571">
        <v>1</v>
      </c>
      <c r="G2571" t="s">
        <v>54</v>
      </c>
      <c r="H2571" t="s">
        <v>110</v>
      </c>
      <c r="I2571">
        <v>2</v>
      </c>
      <c r="J2571" s="19">
        <f>WEEKNUM(tblRidershipData[[#This Row],[MeasurementDate]])</f>
        <v>3</v>
      </c>
      <c r="K2571" s="19">
        <f>MONTH(tblRidershipData[[#This Row],[MeasurementDate]])</f>
        <v>1</v>
      </c>
    </row>
    <row r="2572" spans="1:11" x14ac:dyDescent="0.25">
      <c r="A2572" s="31">
        <v>43847</v>
      </c>
      <c r="B2572" t="s">
        <v>6</v>
      </c>
      <c r="C2572" s="31">
        <v>2361</v>
      </c>
      <c r="D2572" t="s">
        <v>81</v>
      </c>
      <c r="E2572" t="s">
        <v>109</v>
      </c>
      <c r="F2572">
        <v>1</v>
      </c>
      <c r="G2572" t="s">
        <v>57</v>
      </c>
      <c r="H2572" t="s">
        <v>110</v>
      </c>
      <c r="I2572">
        <v>2</v>
      </c>
      <c r="J2572" s="19">
        <f>WEEKNUM(tblRidershipData[[#This Row],[MeasurementDate]])</f>
        <v>3</v>
      </c>
      <c r="K2572" s="19">
        <f>MONTH(tblRidershipData[[#This Row],[MeasurementDate]])</f>
        <v>1</v>
      </c>
    </row>
    <row r="2573" spans="1:11" x14ac:dyDescent="0.25">
      <c r="A2573" s="31">
        <v>43847</v>
      </c>
      <c r="B2573" t="s">
        <v>6</v>
      </c>
      <c r="C2573" s="31">
        <v>2361</v>
      </c>
      <c r="D2573" t="s">
        <v>81</v>
      </c>
      <c r="E2573" t="s">
        <v>109</v>
      </c>
      <c r="F2573">
        <v>1</v>
      </c>
      <c r="G2573" t="s">
        <v>60</v>
      </c>
      <c r="H2573" t="s">
        <v>110</v>
      </c>
      <c r="I2573">
        <v>2</v>
      </c>
      <c r="J2573" s="19">
        <f>WEEKNUM(tblRidershipData[[#This Row],[MeasurementDate]])</f>
        <v>3</v>
      </c>
      <c r="K2573" s="19">
        <f>MONTH(tblRidershipData[[#This Row],[MeasurementDate]])</f>
        <v>1</v>
      </c>
    </row>
    <row r="2574" spans="1:11" x14ac:dyDescent="0.25">
      <c r="A2574" s="31">
        <v>43847</v>
      </c>
      <c r="B2574" t="s">
        <v>6</v>
      </c>
      <c r="C2574" s="31">
        <v>2361</v>
      </c>
      <c r="D2574" t="s">
        <v>81</v>
      </c>
      <c r="E2574" t="s">
        <v>109</v>
      </c>
      <c r="F2574">
        <v>1</v>
      </c>
      <c r="G2574" t="s">
        <v>64</v>
      </c>
      <c r="H2574" t="s">
        <v>110</v>
      </c>
      <c r="I2574">
        <v>2</v>
      </c>
      <c r="J2574" s="19">
        <f>WEEKNUM(tblRidershipData[[#This Row],[MeasurementDate]])</f>
        <v>3</v>
      </c>
      <c r="K2574" s="19">
        <f>MONTH(tblRidershipData[[#This Row],[MeasurementDate]])</f>
        <v>1</v>
      </c>
    </row>
    <row r="2575" spans="1:11" x14ac:dyDescent="0.25">
      <c r="A2575" s="31">
        <v>43847</v>
      </c>
      <c r="B2575" t="s">
        <v>6</v>
      </c>
      <c r="C2575" s="31">
        <v>2361</v>
      </c>
      <c r="D2575" t="s">
        <v>81</v>
      </c>
      <c r="E2575" t="s">
        <v>109</v>
      </c>
      <c r="F2575">
        <v>1</v>
      </c>
      <c r="G2575" t="s">
        <v>66</v>
      </c>
      <c r="H2575" t="s">
        <v>110</v>
      </c>
      <c r="I2575">
        <v>22</v>
      </c>
      <c r="J2575" s="19">
        <f>WEEKNUM(tblRidershipData[[#This Row],[MeasurementDate]])</f>
        <v>3</v>
      </c>
      <c r="K2575" s="19">
        <f>MONTH(tblRidershipData[[#This Row],[MeasurementDate]])</f>
        <v>1</v>
      </c>
    </row>
    <row r="2576" spans="1:11" x14ac:dyDescent="0.25">
      <c r="A2576" s="31">
        <v>43847</v>
      </c>
      <c r="B2576" t="s">
        <v>6</v>
      </c>
      <c r="C2576" s="31">
        <v>2361</v>
      </c>
      <c r="D2576" t="s">
        <v>81</v>
      </c>
      <c r="E2576" t="s">
        <v>109</v>
      </c>
      <c r="F2576">
        <v>1</v>
      </c>
      <c r="G2576" t="s">
        <v>69</v>
      </c>
      <c r="H2576" t="s">
        <v>110</v>
      </c>
      <c r="I2576">
        <v>2</v>
      </c>
      <c r="J2576" s="19">
        <f>WEEKNUM(tblRidershipData[[#This Row],[MeasurementDate]])</f>
        <v>3</v>
      </c>
      <c r="K2576" s="19">
        <f>MONTH(tblRidershipData[[#This Row],[MeasurementDate]])</f>
        <v>1</v>
      </c>
    </row>
    <row r="2577" spans="1:11" x14ac:dyDescent="0.25">
      <c r="A2577" s="31">
        <v>43847</v>
      </c>
      <c r="B2577" t="s">
        <v>6</v>
      </c>
      <c r="C2577" s="31">
        <v>2361</v>
      </c>
      <c r="D2577" t="s">
        <v>81</v>
      </c>
      <c r="E2577" t="s">
        <v>109</v>
      </c>
      <c r="F2577">
        <v>1</v>
      </c>
      <c r="G2577" t="s">
        <v>71</v>
      </c>
      <c r="H2577" t="s">
        <v>110</v>
      </c>
      <c r="I2577">
        <v>9</v>
      </c>
      <c r="J2577" s="19">
        <f>WEEKNUM(tblRidershipData[[#This Row],[MeasurementDate]])</f>
        <v>3</v>
      </c>
      <c r="K2577" s="19">
        <f>MONTH(tblRidershipData[[#This Row],[MeasurementDate]])</f>
        <v>1</v>
      </c>
    </row>
    <row r="2578" spans="1:11" x14ac:dyDescent="0.25">
      <c r="A2578" s="31">
        <v>43847</v>
      </c>
      <c r="B2578" t="s">
        <v>6</v>
      </c>
      <c r="C2578" s="31">
        <v>2361</v>
      </c>
      <c r="D2578" t="s">
        <v>81</v>
      </c>
      <c r="E2578" t="s">
        <v>109</v>
      </c>
      <c r="F2578">
        <v>1</v>
      </c>
      <c r="G2578" t="s">
        <v>76</v>
      </c>
      <c r="H2578" t="s">
        <v>110</v>
      </c>
      <c r="I2578">
        <v>2</v>
      </c>
      <c r="J2578" s="19">
        <f>WEEKNUM(tblRidershipData[[#This Row],[MeasurementDate]])</f>
        <v>3</v>
      </c>
      <c r="K2578" s="19">
        <f>MONTH(tblRidershipData[[#This Row],[MeasurementDate]])</f>
        <v>1</v>
      </c>
    </row>
    <row r="2579" spans="1:11" x14ac:dyDescent="0.25">
      <c r="A2579" s="31">
        <v>43847</v>
      </c>
      <c r="B2579" t="s">
        <v>6</v>
      </c>
      <c r="C2579" s="31">
        <v>2361</v>
      </c>
      <c r="D2579" t="s">
        <v>81</v>
      </c>
      <c r="E2579" t="s">
        <v>111</v>
      </c>
      <c r="F2579">
        <v>1</v>
      </c>
      <c r="G2579" t="s">
        <v>43</v>
      </c>
      <c r="H2579" t="s">
        <v>112</v>
      </c>
      <c r="I2579">
        <v>8</v>
      </c>
      <c r="J2579" s="19">
        <f>WEEKNUM(tblRidershipData[[#This Row],[MeasurementDate]])</f>
        <v>3</v>
      </c>
      <c r="K2579" s="19">
        <f>MONTH(tblRidershipData[[#This Row],[MeasurementDate]])</f>
        <v>1</v>
      </c>
    </row>
    <row r="2580" spans="1:11" x14ac:dyDescent="0.25">
      <c r="A2580" s="31">
        <v>43847</v>
      </c>
      <c r="B2580" t="s">
        <v>6</v>
      </c>
      <c r="C2580" s="31">
        <v>2361</v>
      </c>
      <c r="D2580" t="s">
        <v>81</v>
      </c>
      <c r="E2580" t="s">
        <v>111</v>
      </c>
      <c r="F2580">
        <v>1</v>
      </c>
      <c r="G2580" t="s">
        <v>44</v>
      </c>
      <c r="H2580" t="s">
        <v>112</v>
      </c>
      <c r="I2580">
        <v>7</v>
      </c>
      <c r="J2580" s="19">
        <f>WEEKNUM(tblRidershipData[[#This Row],[MeasurementDate]])</f>
        <v>3</v>
      </c>
      <c r="K2580" s="19">
        <f>MONTH(tblRidershipData[[#This Row],[MeasurementDate]])</f>
        <v>1</v>
      </c>
    </row>
    <row r="2581" spans="1:11" x14ac:dyDescent="0.25">
      <c r="A2581" s="31">
        <v>43847</v>
      </c>
      <c r="B2581" t="s">
        <v>6</v>
      </c>
      <c r="C2581" s="31">
        <v>2361</v>
      </c>
      <c r="D2581" t="s">
        <v>81</v>
      </c>
      <c r="E2581" t="s">
        <v>111</v>
      </c>
      <c r="F2581">
        <v>1</v>
      </c>
      <c r="G2581" t="s">
        <v>46</v>
      </c>
      <c r="H2581" t="s">
        <v>112</v>
      </c>
      <c r="I2581">
        <v>6</v>
      </c>
      <c r="J2581" s="19">
        <f>WEEKNUM(tblRidershipData[[#This Row],[MeasurementDate]])</f>
        <v>3</v>
      </c>
      <c r="K2581" s="19">
        <f>MONTH(tblRidershipData[[#This Row],[MeasurementDate]])</f>
        <v>1</v>
      </c>
    </row>
    <row r="2582" spans="1:11" x14ac:dyDescent="0.25">
      <c r="A2582" s="31">
        <v>43847</v>
      </c>
      <c r="B2582" t="s">
        <v>6</v>
      </c>
      <c r="C2582" s="31">
        <v>2361</v>
      </c>
      <c r="D2582" t="s">
        <v>81</v>
      </c>
      <c r="E2582" t="s">
        <v>111</v>
      </c>
      <c r="F2582">
        <v>1</v>
      </c>
      <c r="G2582" t="s">
        <v>55</v>
      </c>
      <c r="H2582" t="s">
        <v>112</v>
      </c>
      <c r="I2582">
        <v>21</v>
      </c>
      <c r="J2582" s="19">
        <f>WEEKNUM(tblRidershipData[[#This Row],[MeasurementDate]])</f>
        <v>3</v>
      </c>
      <c r="K2582" s="19">
        <f>MONTH(tblRidershipData[[#This Row],[MeasurementDate]])</f>
        <v>1</v>
      </c>
    </row>
    <row r="2583" spans="1:11" x14ac:dyDescent="0.25">
      <c r="A2583" s="31">
        <v>43847</v>
      </c>
      <c r="B2583" t="s">
        <v>6</v>
      </c>
      <c r="C2583" s="31">
        <v>2361</v>
      </c>
      <c r="D2583" t="s">
        <v>81</v>
      </c>
      <c r="E2583" t="s">
        <v>111</v>
      </c>
      <c r="F2583">
        <v>1</v>
      </c>
      <c r="G2583" t="s">
        <v>57</v>
      </c>
      <c r="H2583" t="s">
        <v>112</v>
      </c>
      <c r="I2583">
        <v>1</v>
      </c>
      <c r="J2583" s="19">
        <f>WEEKNUM(tblRidershipData[[#This Row],[MeasurementDate]])</f>
        <v>3</v>
      </c>
      <c r="K2583" s="19">
        <f>MONTH(tblRidershipData[[#This Row],[MeasurementDate]])</f>
        <v>1</v>
      </c>
    </row>
    <row r="2584" spans="1:11" x14ac:dyDescent="0.25">
      <c r="A2584" s="31">
        <v>43847</v>
      </c>
      <c r="B2584" t="s">
        <v>6</v>
      </c>
      <c r="C2584" s="31">
        <v>2361</v>
      </c>
      <c r="D2584" t="s">
        <v>81</v>
      </c>
      <c r="E2584" t="s">
        <v>111</v>
      </c>
      <c r="F2584">
        <v>1</v>
      </c>
      <c r="G2584" t="s">
        <v>59</v>
      </c>
      <c r="H2584" t="s">
        <v>112</v>
      </c>
      <c r="I2584">
        <v>4</v>
      </c>
      <c r="J2584" s="19">
        <f>WEEKNUM(tblRidershipData[[#This Row],[MeasurementDate]])</f>
        <v>3</v>
      </c>
      <c r="K2584" s="19">
        <f>MONTH(tblRidershipData[[#This Row],[MeasurementDate]])</f>
        <v>1</v>
      </c>
    </row>
    <row r="2585" spans="1:11" x14ac:dyDescent="0.25">
      <c r="A2585" s="31">
        <v>43847</v>
      </c>
      <c r="B2585" t="s">
        <v>6</v>
      </c>
      <c r="C2585" s="31">
        <v>2361</v>
      </c>
      <c r="D2585" t="s">
        <v>81</v>
      </c>
      <c r="E2585" t="s">
        <v>111</v>
      </c>
      <c r="F2585">
        <v>1</v>
      </c>
      <c r="G2585" t="s">
        <v>60</v>
      </c>
      <c r="H2585" t="s">
        <v>112</v>
      </c>
      <c r="I2585">
        <v>3</v>
      </c>
      <c r="J2585" s="19">
        <f>WEEKNUM(tblRidershipData[[#This Row],[MeasurementDate]])</f>
        <v>3</v>
      </c>
      <c r="K2585" s="19">
        <f>MONTH(tblRidershipData[[#This Row],[MeasurementDate]])</f>
        <v>1</v>
      </c>
    </row>
    <row r="2586" spans="1:11" x14ac:dyDescent="0.25">
      <c r="A2586" s="31">
        <v>43847</v>
      </c>
      <c r="B2586" t="s">
        <v>6</v>
      </c>
      <c r="C2586" s="31">
        <v>2361</v>
      </c>
      <c r="D2586" t="s">
        <v>81</v>
      </c>
      <c r="E2586" t="s">
        <v>111</v>
      </c>
      <c r="F2586">
        <v>1</v>
      </c>
      <c r="G2586" t="s">
        <v>66</v>
      </c>
      <c r="H2586" t="s">
        <v>112</v>
      </c>
      <c r="I2586">
        <v>4</v>
      </c>
      <c r="J2586" s="19">
        <f>WEEKNUM(tblRidershipData[[#This Row],[MeasurementDate]])</f>
        <v>3</v>
      </c>
      <c r="K2586" s="19">
        <f>MONTH(tblRidershipData[[#This Row],[MeasurementDate]])</f>
        <v>1</v>
      </c>
    </row>
    <row r="2587" spans="1:11" x14ac:dyDescent="0.25">
      <c r="A2587" s="31">
        <v>43847</v>
      </c>
      <c r="B2587" t="s">
        <v>6</v>
      </c>
      <c r="C2587" s="31">
        <v>2361</v>
      </c>
      <c r="D2587" t="s">
        <v>81</v>
      </c>
      <c r="E2587" t="s">
        <v>111</v>
      </c>
      <c r="F2587">
        <v>1</v>
      </c>
      <c r="G2587" t="s">
        <v>69</v>
      </c>
      <c r="H2587" t="s">
        <v>112</v>
      </c>
      <c r="I2587">
        <v>13</v>
      </c>
      <c r="J2587" s="19">
        <f>WEEKNUM(tblRidershipData[[#This Row],[MeasurementDate]])</f>
        <v>3</v>
      </c>
      <c r="K2587" s="19">
        <f>MONTH(tblRidershipData[[#This Row],[MeasurementDate]])</f>
        <v>1</v>
      </c>
    </row>
    <row r="2588" spans="1:11" x14ac:dyDescent="0.25">
      <c r="A2588" s="31">
        <v>43847</v>
      </c>
      <c r="B2588" t="s">
        <v>6</v>
      </c>
      <c r="C2588" s="31">
        <v>2361</v>
      </c>
      <c r="D2588" t="s">
        <v>81</v>
      </c>
      <c r="E2588" t="s">
        <v>111</v>
      </c>
      <c r="F2588">
        <v>1</v>
      </c>
      <c r="G2588" t="s">
        <v>70</v>
      </c>
      <c r="H2588" t="s">
        <v>112</v>
      </c>
      <c r="I2588">
        <v>5</v>
      </c>
      <c r="J2588" s="19">
        <f>WEEKNUM(tblRidershipData[[#This Row],[MeasurementDate]])</f>
        <v>3</v>
      </c>
      <c r="K2588" s="19">
        <f>MONTH(tblRidershipData[[#This Row],[MeasurementDate]])</f>
        <v>1</v>
      </c>
    </row>
    <row r="2589" spans="1:11" x14ac:dyDescent="0.25">
      <c r="A2589" s="31">
        <v>43847</v>
      </c>
      <c r="B2589" t="s">
        <v>6</v>
      </c>
      <c r="C2589" s="31">
        <v>2361</v>
      </c>
      <c r="D2589" t="s">
        <v>81</v>
      </c>
      <c r="E2589" t="s">
        <v>111</v>
      </c>
      <c r="F2589">
        <v>1</v>
      </c>
      <c r="G2589" t="s">
        <v>71</v>
      </c>
      <c r="H2589" t="s">
        <v>112</v>
      </c>
      <c r="I2589">
        <v>9</v>
      </c>
      <c r="J2589" s="19">
        <f>WEEKNUM(tblRidershipData[[#This Row],[MeasurementDate]])</f>
        <v>3</v>
      </c>
      <c r="K2589" s="19">
        <f>MONTH(tblRidershipData[[#This Row],[MeasurementDate]])</f>
        <v>1</v>
      </c>
    </row>
    <row r="2590" spans="1:11" x14ac:dyDescent="0.25">
      <c r="A2590" s="31">
        <v>43847</v>
      </c>
      <c r="B2590" t="s">
        <v>6</v>
      </c>
      <c r="C2590" s="31">
        <v>4501</v>
      </c>
      <c r="D2590" t="s">
        <v>79</v>
      </c>
      <c r="E2590" t="s">
        <v>111</v>
      </c>
      <c r="F2590">
        <v>1</v>
      </c>
      <c r="G2590" t="s">
        <v>43</v>
      </c>
      <c r="H2590" t="s">
        <v>110</v>
      </c>
      <c r="I2590">
        <v>3</v>
      </c>
      <c r="J2590" s="19">
        <f>WEEKNUM(tblRidershipData[[#This Row],[MeasurementDate]])</f>
        <v>3</v>
      </c>
      <c r="K2590" s="19">
        <f>MONTH(tblRidershipData[[#This Row],[MeasurementDate]])</f>
        <v>1</v>
      </c>
    </row>
    <row r="2591" spans="1:11" x14ac:dyDescent="0.25">
      <c r="A2591" s="31">
        <v>43847</v>
      </c>
      <c r="B2591" t="s">
        <v>6</v>
      </c>
      <c r="C2591" s="31">
        <v>4501</v>
      </c>
      <c r="D2591" t="s">
        <v>79</v>
      </c>
      <c r="E2591" t="s">
        <v>111</v>
      </c>
      <c r="F2591">
        <v>1</v>
      </c>
      <c r="G2591" t="s">
        <v>46</v>
      </c>
      <c r="H2591" t="s">
        <v>110</v>
      </c>
      <c r="I2591">
        <v>1</v>
      </c>
      <c r="J2591" s="19">
        <f>WEEKNUM(tblRidershipData[[#This Row],[MeasurementDate]])</f>
        <v>3</v>
      </c>
      <c r="K2591" s="19">
        <f>MONTH(tblRidershipData[[#This Row],[MeasurementDate]])</f>
        <v>1</v>
      </c>
    </row>
    <row r="2592" spans="1:11" x14ac:dyDescent="0.25">
      <c r="A2592" s="31">
        <v>43847</v>
      </c>
      <c r="B2592" t="s">
        <v>6</v>
      </c>
      <c r="C2592" s="31">
        <v>4501</v>
      </c>
      <c r="D2592" t="s">
        <v>79</v>
      </c>
      <c r="E2592" t="s">
        <v>111</v>
      </c>
      <c r="F2592">
        <v>1</v>
      </c>
      <c r="G2592" t="s">
        <v>66</v>
      </c>
      <c r="H2592" t="s">
        <v>110</v>
      </c>
      <c r="I2592">
        <v>3</v>
      </c>
      <c r="J2592" s="19">
        <f>WEEKNUM(tblRidershipData[[#This Row],[MeasurementDate]])</f>
        <v>3</v>
      </c>
      <c r="K2592" s="19">
        <f>MONTH(tblRidershipData[[#This Row],[MeasurementDate]])</f>
        <v>1</v>
      </c>
    </row>
    <row r="2593" spans="1:11" x14ac:dyDescent="0.25">
      <c r="A2593" s="31">
        <v>43847</v>
      </c>
      <c r="B2593" t="s">
        <v>6</v>
      </c>
      <c r="C2593" s="31">
        <v>4501</v>
      </c>
      <c r="D2593" t="s">
        <v>79</v>
      </c>
      <c r="E2593" t="s">
        <v>111</v>
      </c>
      <c r="F2593">
        <v>1</v>
      </c>
      <c r="G2593" t="s">
        <v>70</v>
      </c>
      <c r="H2593" t="s">
        <v>110</v>
      </c>
      <c r="I2593">
        <v>1</v>
      </c>
      <c r="J2593" s="19">
        <f>WEEKNUM(tblRidershipData[[#This Row],[MeasurementDate]])</f>
        <v>3</v>
      </c>
      <c r="K2593" s="19">
        <f>MONTH(tblRidershipData[[#This Row],[MeasurementDate]])</f>
        <v>1</v>
      </c>
    </row>
    <row r="2594" spans="1:11" x14ac:dyDescent="0.25">
      <c r="A2594" s="31">
        <v>43847</v>
      </c>
      <c r="B2594" t="s">
        <v>6</v>
      </c>
      <c r="C2594" s="31">
        <v>4501</v>
      </c>
      <c r="D2594" t="s">
        <v>79</v>
      </c>
      <c r="E2594" t="s">
        <v>111</v>
      </c>
      <c r="F2594">
        <v>1</v>
      </c>
      <c r="G2594" t="s">
        <v>76</v>
      </c>
      <c r="H2594" t="s">
        <v>110</v>
      </c>
      <c r="I2594">
        <v>4</v>
      </c>
      <c r="J2594" s="19">
        <f>WEEKNUM(tblRidershipData[[#This Row],[MeasurementDate]])</f>
        <v>3</v>
      </c>
      <c r="K2594" s="19">
        <f>MONTH(tblRidershipData[[#This Row],[MeasurementDate]])</f>
        <v>1</v>
      </c>
    </row>
    <row r="2595" spans="1:11" x14ac:dyDescent="0.25">
      <c r="A2595" s="31">
        <v>43847</v>
      </c>
      <c r="B2595" t="s">
        <v>6</v>
      </c>
      <c r="C2595" s="31">
        <v>4501</v>
      </c>
      <c r="D2595" t="s">
        <v>79</v>
      </c>
      <c r="E2595" t="s">
        <v>109</v>
      </c>
      <c r="F2595">
        <v>1</v>
      </c>
      <c r="G2595" t="s">
        <v>52</v>
      </c>
      <c r="H2595" t="s">
        <v>110</v>
      </c>
      <c r="I2595">
        <v>25</v>
      </c>
      <c r="J2595" s="19">
        <f>WEEKNUM(tblRidershipData[[#This Row],[MeasurementDate]])</f>
        <v>3</v>
      </c>
      <c r="K2595" s="19">
        <f>MONTH(tblRidershipData[[#This Row],[MeasurementDate]])</f>
        <v>1</v>
      </c>
    </row>
    <row r="2596" spans="1:11" x14ac:dyDescent="0.25">
      <c r="A2596" s="31">
        <v>43847</v>
      </c>
      <c r="B2596" t="s">
        <v>6</v>
      </c>
      <c r="C2596" s="31">
        <v>4501</v>
      </c>
      <c r="D2596" t="s">
        <v>79</v>
      </c>
      <c r="E2596" t="s">
        <v>109</v>
      </c>
      <c r="F2596">
        <v>1</v>
      </c>
      <c r="G2596" t="s">
        <v>66</v>
      </c>
      <c r="H2596" t="s">
        <v>110</v>
      </c>
      <c r="I2596">
        <v>2</v>
      </c>
      <c r="J2596" s="19">
        <f>WEEKNUM(tblRidershipData[[#This Row],[MeasurementDate]])</f>
        <v>3</v>
      </c>
      <c r="K2596" s="19">
        <f>MONTH(tblRidershipData[[#This Row],[MeasurementDate]])</f>
        <v>1</v>
      </c>
    </row>
    <row r="2597" spans="1:11" x14ac:dyDescent="0.25">
      <c r="A2597" s="31">
        <v>43847</v>
      </c>
      <c r="B2597" t="s">
        <v>6</v>
      </c>
      <c r="C2597" s="31">
        <v>4501</v>
      </c>
      <c r="D2597" t="s">
        <v>79</v>
      </c>
      <c r="E2597" t="s">
        <v>109</v>
      </c>
      <c r="F2597">
        <v>1</v>
      </c>
      <c r="G2597" t="s">
        <v>73</v>
      </c>
      <c r="H2597" t="s">
        <v>110</v>
      </c>
      <c r="I2597">
        <v>46</v>
      </c>
      <c r="J2597" s="19">
        <f>WEEKNUM(tblRidershipData[[#This Row],[MeasurementDate]])</f>
        <v>3</v>
      </c>
      <c r="K2597" s="19">
        <f>MONTH(tblRidershipData[[#This Row],[MeasurementDate]])</f>
        <v>1</v>
      </c>
    </row>
    <row r="2598" spans="1:11" x14ac:dyDescent="0.25">
      <c r="A2598" s="31">
        <v>43847</v>
      </c>
      <c r="B2598" t="s">
        <v>6</v>
      </c>
      <c r="C2598" s="31">
        <v>4501</v>
      </c>
      <c r="D2598" t="s">
        <v>79</v>
      </c>
      <c r="E2598" t="s">
        <v>111</v>
      </c>
      <c r="F2598">
        <v>1</v>
      </c>
      <c r="G2598" t="s">
        <v>46</v>
      </c>
      <c r="H2598" t="s">
        <v>112</v>
      </c>
      <c r="I2598">
        <v>3</v>
      </c>
      <c r="J2598" s="19">
        <f>WEEKNUM(tblRidershipData[[#This Row],[MeasurementDate]])</f>
        <v>3</v>
      </c>
      <c r="K2598" s="19">
        <f>MONTH(tblRidershipData[[#This Row],[MeasurementDate]])</f>
        <v>1</v>
      </c>
    </row>
    <row r="2599" spans="1:11" x14ac:dyDescent="0.25">
      <c r="A2599" s="31">
        <v>43847</v>
      </c>
      <c r="B2599" t="s">
        <v>6</v>
      </c>
      <c r="C2599" s="31">
        <v>4501</v>
      </c>
      <c r="D2599" t="s">
        <v>79</v>
      </c>
      <c r="E2599" t="s">
        <v>111</v>
      </c>
      <c r="F2599">
        <v>1</v>
      </c>
      <c r="G2599" t="s">
        <v>69</v>
      </c>
      <c r="H2599" t="s">
        <v>112</v>
      </c>
      <c r="I2599">
        <v>2</v>
      </c>
      <c r="J2599" s="19">
        <f>WEEKNUM(tblRidershipData[[#This Row],[MeasurementDate]])</f>
        <v>3</v>
      </c>
      <c r="K2599" s="19">
        <f>MONTH(tblRidershipData[[#This Row],[MeasurementDate]])</f>
        <v>1</v>
      </c>
    </row>
    <row r="2600" spans="1:11" x14ac:dyDescent="0.25">
      <c r="A2600" s="31">
        <v>43847</v>
      </c>
      <c r="B2600" t="s">
        <v>6</v>
      </c>
      <c r="C2600" s="31">
        <v>4501</v>
      </c>
      <c r="D2600" t="s">
        <v>79</v>
      </c>
      <c r="E2600" t="s">
        <v>111</v>
      </c>
      <c r="F2600">
        <v>1</v>
      </c>
      <c r="G2600" t="s">
        <v>70</v>
      </c>
      <c r="H2600" t="s">
        <v>112</v>
      </c>
      <c r="I2600">
        <v>7</v>
      </c>
      <c r="J2600" s="19">
        <f>WEEKNUM(tblRidershipData[[#This Row],[MeasurementDate]])</f>
        <v>3</v>
      </c>
      <c r="K2600" s="19">
        <f>MONTH(tblRidershipData[[#This Row],[MeasurementDate]])</f>
        <v>1</v>
      </c>
    </row>
    <row r="2601" spans="1:11" x14ac:dyDescent="0.25">
      <c r="A2601" s="31">
        <v>43847</v>
      </c>
      <c r="B2601" t="s">
        <v>6</v>
      </c>
      <c r="C2601" s="31">
        <v>4501</v>
      </c>
      <c r="D2601" t="s">
        <v>79</v>
      </c>
      <c r="E2601" t="s">
        <v>109</v>
      </c>
      <c r="F2601">
        <v>1</v>
      </c>
      <c r="G2601" t="s">
        <v>43</v>
      </c>
      <c r="H2601" t="s">
        <v>112</v>
      </c>
      <c r="I2601">
        <v>6</v>
      </c>
      <c r="J2601" s="19">
        <f>WEEKNUM(tblRidershipData[[#This Row],[MeasurementDate]])</f>
        <v>3</v>
      </c>
      <c r="K2601" s="19">
        <f>MONTH(tblRidershipData[[#This Row],[MeasurementDate]])</f>
        <v>1</v>
      </c>
    </row>
    <row r="2602" spans="1:11" x14ac:dyDescent="0.25">
      <c r="A2602" s="31">
        <v>43847</v>
      </c>
      <c r="B2602" t="s">
        <v>6</v>
      </c>
      <c r="C2602" s="31">
        <v>4501</v>
      </c>
      <c r="D2602" t="s">
        <v>79</v>
      </c>
      <c r="E2602" t="s">
        <v>109</v>
      </c>
      <c r="F2602">
        <v>1</v>
      </c>
      <c r="G2602" t="s">
        <v>44</v>
      </c>
      <c r="H2602" t="s">
        <v>112</v>
      </c>
      <c r="I2602">
        <v>11</v>
      </c>
      <c r="J2602" s="19">
        <f>WEEKNUM(tblRidershipData[[#This Row],[MeasurementDate]])</f>
        <v>3</v>
      </c>
      <c r="K2602" s="19">
        <f>MONTH(tblRidershipData[[#This Row],[MeasurementDate]])</f>
        <v>1</v>
      </c>
    </row>
    <row r="2603" spans="1:11" x14ac:dyDescent="0.25">
      <c r="A2603" s="31">
        <v>43847</v>
      </c>
      <c r="B2603" t="s">
        <v>6</v>
      </c>
      <c r="C2603" s="31">
        <v>4501</v>
      </c>
      <c r="D2603" t="s">
        <v>79</v>
      </c>
      <c r="E2603" t="s">
        <v>109</v>
      </c>
      <c r="F2603">
        <v>1</v>
      </c>
      <c r="G2603" t="s">
        <v>46</v>
      </c>
      <c r="H2603" t="s">
        <v>112</v>
      </c>
      <c r="I2603">
        <v>5</v>
      </c>
      <c r="J2603" s="19">
        <f>WEEKNUM(tblRidershipData[[#This Row],[MeasurementDate]])</f>
        <v>3</v>
      </c>
      <c r="K2603" s="19">
        <f>MONTH(tblRidershipData[[#This Row],[MeasurementDate]])</f>
        <v>1</v>
      </c>
    </row>
    <row r="2604" spans="1:11" x14ac:dyDescent="0.25">
      <c r="A2604" s="31">
        <v>43847</v>
      </c>
      <c r="B2604" t="s">
        <v>6</v>
      </c>
      <c r="C2604" s="31">
        <v>4501</v>
      </c>
      <c r="D2604" t="s">
        <v>79</v>
      </c>
      <c r="E2604" t="s">
        <v>109</v>
      </c>
      <c r="F2604">
        <v>1</v>
      </c>
      <c r="G2604" t="s">
        <v>55</v>
      </c>
      <c r="H2604" t="s">
        <v>112</v>
      </c>
      <c r="I2604">
        <v>8</v>
      </c>
      <c r="J2604" s="19">
        <f>WEEKNUM(tblRidershipData[[#This Row],[MeasurementDate]])</f>
        <v>3</v>
      </c>
      <c r="K2604" s="19">
        <f>MONTH(tblRidershipData[[#This Row],[MeasurementDate]])</f>
        <v>1</v>
      </c>
    </row>
    <row r="2605" spans="1:11" x14ac:dyDescent="0.25">
      <c r="A2605" s="31">
        <v>43847</v>
      </c>
      <c r="B2605" t="s">
        <v>6</v>
      </c>
      <c r="C2605" s="31">
        <v>4501</v>
      </c>
      <c r="D2605" t="s">
        <v>79</v>
      </c>
      <c r="E2605" t="s">
        <v>109</v>
      </c>
      <c r="F2605">
        <v>1</v>
      </c>
      <c r="G2605" t="s">
        <v>59</v>
      </c>
      <c r="H2605" t="s">
        <v>112</v>
      </c>
      <c r="I2605">
        <v>11</v>
      </c>
      <c r="J2605" s="19">
        <f>WEEKNUM(tblRidershipData[[#This Row],[MeasurementDate]])</f>
        <v>3</v>
      </c>
      <c r="K2605" s="19">
        <f>MONTH(tblRidershipData[[#This Row],[MeasurementDate]])</f>
        <v>1</v>
      </c>
    </row>
    <row r="2606" spans="1:11" x14ac:dyDescent="0.25">
      <c r="A2606" s="31">
        <v>43847</v>
      </c>
      <c r="B2606" t="s">
        <v>6</v>
      </c>
      <c r="C2606" s="31">
        <v>4501</v>
      </c>
      <c r="D2606" t="s">
        <v>79</v>
      </c>
      <c r="E2606" t="s">
        <v>109</v>
      </c>
      <c r="F2606">
        <v>1</v>
      </c>
      <c r="G2606" t="s">
        <v>66</v>
      </c>
      <c r="H2606" t="s">
        <v>112</v>
      </c>
      <c r="I2606">
        <v>5</v>
      </c>
      <c r="J2606" s="19">
        <f>WEEKNUM(tblRidershipData[[#This Row],[MeasurementDate]])</f>
        <v>3</v>
      </c>
      <c r="K2606" s="19">
        <f>MONTH(tblRidershipData[[#This Row],[MeasurementDate]])</f>
        <v>1</v>
      </c>
    </row>
    <row r="2607" spans="1:11" x14ac:dyDescent="0.25">
      <c r="A2607" s="31">
        <v>43847</v>
      </c>
      <c r="B2607" t="s">
        <v>6</v>
      </c>
      <c r="C2607" s="31">
        <v>4501</v>
      </c>
      <c r="D2607" t="s">
        <v>79</v>
      </c>
      <c r="E2607" t="s">
        <v>109</v>
      </c>
      <c r="F2607">
        <v>1</v>
      </c>
      <c r="G2607" t="s">
        <v>67</v>
      </c>
      <c r="H2607" t="s">
        <v>112</v>
      </c>
      <c r="I2607">
        <v>2</v>
      </c>
      <c r="J2607" s="19">
        <f>WEEKNUM(tblRidershipData[[#This Row],[MeasurementDate]])</f>
        <v>3</v>
      </c>
      <c r="K2607" s="19">
        <f>MONTH(tblRidershipData[[#This Row],[MeasurementDate]])</f>
        <v>1</v>
      </c>
    </row>
    <row r="2608" spans="1:11" x14ac:dyDescent="0.25">
      <c r="A2608" s="31">
        <v>43847</v>
      </c>
      <c r="B2608" t="s">
        <v>6</v>
      </c>
      <c r="C2608" s="31">
        <v>4501</v>
      </c>
      <c r="D2608" t="s">
        <v>79</v>
      </c>
      <c r="E2608" t="s">
        <v>109</v>
      </c>
      <c r="F2608">
        <v>1</v>
      </c>
      <c r="G2608" t="s">
        <v>69</v>
      </c>
      <c r="H2608" t="s">
        <v>112</v>
      </c>
      <c r="I2608">
        <v>12</v>
      </c>
      <c r="J2608" s="19">
        <f>WEEKNUM(tblRidershipData[[#This Row],[MeasurementDate]])</f>
        <v>3</v>
      </c>
      <c r="K2608" s="19">
        <f>MONTH(tblRidershipData[[#This Row],[MeasurementDate]])</f>
        <v>1</v>
      </c>
    </row>
    <row r="2609" spans="1:11" x14ac:dyDescent="0.25">
      <c r="A2609" s="31">
        <v>43847</v>
      </c>
      <c r="B2609" t="s">
        <v>6</v>
      </c>
      <c r="C2609" s="31">
        <v>4501</v>
      </c>
      <c r="D2609" t="s">
        <v>79</v>
      </c>
      <c r="E2609" t="s">
        <v>109</v>
      </c>
      <c r="F2609">
        <v>1</v>
      </c>
      <c r="G2609" t="s">
        <v>70</v>
      </c>
      <c r="H2609" t="s">
        <v>112</v>
      </c>
      <c r="I2609">
        <v>7</v>
      </c>
      <c r="J2609" s="19">
        <f>WEEKNUM(tblRidershipData[[#This Row],[MeasurementDate]])</f>
        <v>3</v>
      </c>
      <c r="K2609" s="19">
        <f>MONTH(tblRidershipData[[#This Row],[MeasurementDate]])</f>
        <v>1</v>
      </c>
    </row>
    <row r="2610" spans="1:11" x14ac:dyDescent="0.25">
      <c r="A2610" s="31">
        <v>43847</v>
      </c>
      <c r="B2610" t="s">
        <v>6</v>
      </c>
      <c r="C2610" s="31">
        <v>4501</v>
      </c>
      <c r="D2610" t="s">
        <v>79</v>
      </c>
      <c r="E2610" t="s">
        <v>109</v>
      </c>
      <c r="F2610">
        <v>1</v>
      </c>
      <c r="G2610" t="s">
        <v>76</v>
      </c>
      <c r="H2610" t="s">
        <v>112</v>
      </c>
      <c r="I2610">
        <v>6</v>
      </c>
      <c r="J2610" s="19">
        <f>WEEKNUM(tblRidershipData[[#This Row],[MeasurementDate]])</f>
        <v>3</v>
      </c>
      <c r="K2610" s="19">
        <f>MONTH(tblRidershipData[[#This Row],[MeasurementDate]])</f>
        <v>1</v>
      </c>
    </row>
    <row r="2611" spans="1:11" x14ac:dyDescent="0.25">
      <c r="A2611" s="31">
        <v>43847</v>
      </c>
      <c r="B2611" t="s">
        <v>6</v>
      </c>
      <c r="C2611" s="31">
        <v>4502</v>
      </c>
      <c r="D2611" t="s">
        <v>88</v>
      </c>
      <c r="E2611" t="s">
        <v>111</v>
      </c>
      <c r="F2611">
        <v>1</v>
      </c>
      <c r="G2611" t="s">
        <v>43</v>
      </c>
      <c r="H2611" t="s">
        <v>110</v>
      </c>
      <c r="I2611">
        <v>8</v>
      </c>
      <c r="J2611" s="19">
        <f>WEEKNUM(tblRidershipData[[#This Row],[MeasurementDate]])</f>
        <v>3</v>
      </c>
      <c r="K2611" s="19">
        <f>MONTH(tblRidershipData[[#This Row],[MeasurementDate]])</f>
        <v>1</v>
      </c>
    </row>
    <row r="2612" spans="1:11" x14ac:dyDescent="0.25">
      <c r="A2612" s="31">
        <v>43847</v>
      </c>
      <c r="B2612" t="s">
        <v>6</v>
      </c>
      <c r="C2612" s="31">
        <v>4502</v>
      </c>
      <c r="D2612" t="s">
        <v>88</v>
      </c>
      <c r="E2612" t="s">
        <v>111</v>
      </c>
      <c r="F2612">
        <v>1</v>
      </c>
      <c r="G2612" t="s">
        <v>44</v>
      </c>
      <c r="H2612" t="s">
        <v>110</v>
      </c>
      <c r="I2612">
        <v>3</v>
      </c>
      <c r="J2612" s="19">
        <f>WEEKNUM(tblRidershipData[[#This Row],[MeasurementDate]])</f>
        <v>3</v>
      </c>
      <c r="K2612" s="19">
        <f>MONTH(tblRidershipData[[#This Row],[MeasurementDate]])</f>
        <v>1</v>
      </c>
    </row>
    <row r="2613" spans="1:11" x14ac:dyDescent="0.25">
      <c r="A2613" s="31">
        <v>43847</v>
      </c>
      <c r="B2613" t="s">
        <v>6</v>
      </c>
      <c r="C2613" s="31">
        <v>4502</v>
      </c>
      <c r="D2613" t="s">
        <v>88</v>
      </c>
      <c r="E2613" t="s">
        <v>111</v>
      </c>
      <c r="F2613">
        <v>1</v>
      </c>
      <c r="G2613" t="s">
        <v>57</v>
      </c>
      <c r="H2613" t="s">
        <v>110</v>
      </c>
      <c r="I2613">
        <v>2</v>
      </c>
      <c r="J2613" s="19">
        <f>WEEKNUM(tblRidershipData[[#This Row],[MeasurementDate]])</f>
        <v>3</v>
      </c>
      <c r="K2613" s="19">
        <f>MONTH(tblRidershipData[[#This Row],[MeasurementDate]])</f>
        <v>1</v>
      </c>
    </row>
    <row r="2614" spans="1:11" x14ac:dyDescent="0.25">
      <c r="A2614" s="31">
        <v>43847</v>
      </c>
      <c r="B2614" t="s">
        <v>6</v>
      </c>
      <c r="C2614" s="31">
        <v>4502</v>
      </c>
      <c r="D2614" t="s">
        <v>88</v>
      </c>
      <c r="E2614" t="s">
        <v>111</v>
      </c>
      <c r="F2614">
        <v>1</v>
      </c>
      <c r="G2614" t="s">
        <v>60</v>
      </c>
      <c r="H2614" t="s">
        <v>110</v>
      </c>
      <c r="I2614">
        <v>2</v>
      </c>
      <c r="J2614" s="19">
        <f>WEEKNUM(tblRidershipData[[#This Row],[MeasurementDate]])</f>
        <v>3</v>
      </c>
      <c r="K2614" s="19">
        <f>MONTH(tblRidershipData[[#This Row],[MeasurementDate]])</f>
        <v>1</v>
      </c>
    </row>
    <row r="2615" spans="1:11" x14ac:dyDescent="0.25">
      <c r="A2615" s="31">
        <v>43847</v>
      </c>
      <c r="B2615" t="s">
        <v>6</v>
      </c>
      <c r="C2615" s="31">
        <v>4502</v>
      </c>
      <c r="D2615" t="s">
        <v>88</v>
      </c>
      <c r="E2615" t="s">
        <v>111</v>
      </c>
      <c r="F2615">
        <v>1</v>
      </c>
      <c r="G2615" t="s">
        <v>66</v>
      </c>
      <c r="H2615" t="s">
        <v>110</v>
      </c>
      <c r="I2615">
        <v>2</v>
      </c>
      <c r="J2615" s="19">
        <f>WEEKNUM(tblRidershipData[[#This Row],[MeasurementDate]])</f>
        <v>3</v>
      </c>
      <c r="K2615" s="19">
        <f>MONTH(tblRidershipData[[#This Row],[MeasurementDate]])</f>
        <v>1</v>
      </c>
    </row>
    <row r="2616" spans="1:11" x14ac:dyDescent="0.25">
      <c r="A2616" s="31">
        <v>43847</v>
      </c>
      <c r="B2616" t="s">
        <v>6</v>
      </c>
      <c r="C2616" s="31">
        <v>4502</v>
      </c>
      <c r="D2616" t="s">
        <v>88</v>
      </c>
      <c r="E2616" t="s">
        <v>111</v>
      </c>
      <c r="F2616">
        <v>1</v>
      </c>
      <c r="G2616" t="s">
        <v>70</v>
      </c>
      <c r="H2616" t="s">
        <v>110</v>
      </c>
      <c r="I2616">
        <v>7</v>
      </c>
      <c r="J2616" s="19">
        <f>WEEKNUM(tblRidershipData[[#This Row],[MeasurementDate]])</f>
        <v>3</v>
      </c>
      <c r="K2616" s="19">
        <f>MONTH(tblRidershipData[[#This Row],[MeasurementDate]])</f>
        <v>1</v>
      </c>
    </row>
    <row r="2617" spans="1:11" x14ac:dyDescent="0.25">
      <c r="A2617" s="31">
        <v>43847</v>
      </c>
      <c r="B2617" t="s">
        <v>6</v>
      </c>
      <c r="C2617" s="31">
        <v>4502</v>
      </c>
      <c r="D2617" t="s">
        <v>88</v>
      </c>
      <c r="E2617" t="s">
        <v>111</v>
      </c>
      <c r="F2617">
        <v>1</v>
      </c>
      <c r="G2617" t="s">
        <v>71</v>
      </c>
      <c r="H2617" t="s">
        <v>110</v>
      </c>
      <c r="I2617">
        <v>3</v>
      </c>
      <c r="J2617" s="19">
        <f>WEEKNUM(tblRidershipData[[#This Row],[MeasurementDate]])</f>
        <v>3</v>
      </c>
      <c r="K2617" s="19">
        <f>MONTH(tblRidershipData[[#This Row],[MeasurementDate]])</f>
        <v>1</v>
      </c>
    </row>
    <row r="2618" spans="1:11" x14ac:dyDescent="0.25">
      <c r="A2618" s="31">
        <v>43847</v>
      </c>
      <c r="B2618" t="s">
        <v>6</v>
      </c>
      <c r="C2618" s="31">
        <v>4502</v>
      </c>
      <c r="D2618" t="s">
        <v>88</v>
      </c>
      <c r="E2618" t="s">
        <v>111</v>
      </c>
      <c r="F2618">
        <v>2</v>
      </c>
      <c r="G2618" t="s">
        <v>66</v>
      </c>
      <c r="H2618" t="s">
        <v>110</v>
      </c>
      <c r="I2618">
        <v>3</v>
      </c>
      <c r="J2618" s="19">
        <f>WEEKNUM(tblRidershipData[[#This Row],[MeasurementDate]])</f>
        <v>3</v>
      </c>
      <c r="K2618" s="19">
        <f>MONTH(tblRidershipData[[#This Row],[MeasurementDate]])</f>
        <v>1</v>
      </c>
    </row>
    <row r="2619" spans="1:11" x14ac:dyDescent="0.25">
      <c r="A2619" s="31">
        <v>43847</v>
      </c>
      <c r="B2619" t="s">
        <v>6</v>
      </c>
      <c r="C2619" s="31">
        <v>4502</v>
      </c>
      <c r="D2619" t="s">
        <v>88</v>
      </c>
      <c r="E2619" t="s">
        <v>111</v>
      </c>
      <c r="F2619">
        <v>2</v>
      </c>
      <c r="G2619" t="s">
        <v>71</v>
      </c>
      <c r="H2619" t="s">
        <v>110</v>
      </c>
      <c r="I2619">
        <v>4</v>
      </c>
      <c r="J2619" s="19">
        <f>WEEKNUM(tblRidershipData[[#This Row],[MeasurementDate]])</f>
        <v>3</v>
      </c>
      <c r="K2619" s="19">
        <f>MONTH(tblRidershipData[[#This Row],[MeasurementDate]])</f>
        <v>1</v>
      </c>
    </row>
    <row r="2620" spans="1:11" x14ac:dyDescent="0.25">
      <c r="A2620" s="31">
        <v>43847</v>
      </c>
      <c r="B2620" t="s">
        <v>6</v>
      </c>
      <c r="C2620" s="31">
        <v>4502</v>
      </c>
      <c r="D2620" t="s">
        <v>88</v>
      </c>
      <c r="E2620" t="s">
        <v>109</v>
      </c>
      <c r="F2620">
        <v>1</v>
      </c>
      <c r="G2620" t="s">
        <v>51</v>
      </c>
      <c r="H2620" t="s">
        <v>110</v>
      </c>
      <c r="I2620">
        <v>22</v>
      </c>
      <c r="J2620" s="19">
        <f>WEEKNUM(tblRidershipData[[#This Row],[MeasurementDate]])</f>
        <v>3</v>
      </c>
      <c r="K2620" s="19">
        <f>MONTH(tblRidershipData[[#This Row],[MeasurementDate]])</f>
        <v>1</v>
      </c>
    </row>
    <row r="2621" spans="1:11" x14ac:dyDescent="0.25">
      <c r="A2621" s="31">
        <v>43847</v>
      </c>
      <c r="B2621" t="s">
        <v>6</v>
      </c>
      <c r="C2621" s="31">
        <v>4502</v>
      </c>
      <c r="D2621" t="s">
        <v>88</v>
      </c>
      <c r="E2621" t="s">
        <v>109</v>
      </c>
      <c r="F2621">
        <v>1</v>
      </c>
      <c r="G2621" t="s">
        <v>67</v>
      </c>
      <c r="H2621" t="s">
        <v>110</v>
      </c>
      <c r="I2621">
        <v>41</v>
      </c>
      <c r="J2621" s="19">
        <f>WEEKNUM(tblRidershipData[[#This Row],[MeasurementDate]])</f>
        <v>3</v>
      </c>
      <c r="K2621" s="19">
        <f>MONTH(tblRidershipData[[#This Row],[MeasurementDate]])</f>
        <v>1</v>
      </c>
    </row>
    <row r="2622" spans="1:11" x14ac:dyDescent="0.25">
      <c r="A2622" s="31">
        <v>43847</v>
      </c>
      <c r="B2622" t="s">
        <v>6</v>
      </c>
      <c r="C2622" s="31">
        <v>4502</v>
      </c>
      <c r="D2622" t="s">
        <v>88</v>
      </c>
      <c r="E2622" t="s">
        <v>109</v>
      </c>
      <c r="F2622">
        <v>1</v>
      </c>
      <c r="G2622" t="s">
        <v>69</v>
      </c>
      <c r="H2622" t="s">
        <v>110</v>
      </c>
      <c r="I2622">
        <v>6</v>
      </c>
      <c r="J2622" s="19">
        <f>WEEKNUM(tblRidershipData[[#This Row],[MeasurementDate]])</f>
        <v>3</v>
      </c>
      <c r="K2622" s="19">
        <f>MONTH(tblRidershipData[[#This Row],[MeasurementDate]])</f>
        <v>1</v>
      </c>
    </row>
    <row r="2623" spans="1:11" x14ac:dyDescent="0.25">
      <c r="A2623" s="31">
        <v>43847</v>
      </c>
      <c r="B2623" t="s">
        <v>6</v>
      </c>
      <c r="C2623" s="31">
        <v>4503</v>
      </c>
      <c r="D2623" t="s">
        <v>84</v>
      </c>
      <c r="E2623" t="s">
        <v>111</v>
      </c>
      <c r="F2623">
        <v>1</v>
      </c>
      <c r="G2623" t="s">
        <v>43</v>
      </c>
      <c r="H2623" t="s">
        <v>110</v>
      </c>
      <c r="I2623">
        <v>12</v>
      </c>
      <c r="J2623" s="19">
        <f>WEEKNUM(tblRidershipData[[#This Row],[MeasurementDate]])</f>
        <v>3</v>
      </c>
      <c r="K2623" s="19">
        <f>MONTH(tblRidershipData[[#This Row],[MeasurementDate]])</f>
        <v>1</v>
      </c>
    </row>
    <row r="2624" spans="1:11" x14ac:dyDescent="0.25">
      <c r="A2624" s="31">
        <v>43847</v>
      </c>
      <c r="B2624" t="s">
        <v>6</v>
      </c>
      <c r="C2624" s="31">
        <v>4503</v>
      </c>
      <c r="D2624" t="s">
        <v>84</v>
      </c>
      <c r="E2624" t="s">
        <v>111</v>
      </c>
      <c r="F2624">
        <v>1</v>
      </c>
      <c r="G2624" t="s">
        <v>44</v>
      </c>
      <c r="H2624" t="s">
        <v>110</v>
      </c>
      <c r="I2624">
        <v>4</v>
      </c>
      <c r="J2624" s="19">
        <f>WEEKNUM(tblRidershipData[[#This Row],[MeasurementDate]])</f>
        <v>3</v>
      </c>
      <c r="K2624" s="19">
        <f>MONTH(tblRidershipData[[#This Row],[MeasurementDate]])</f>
        <v>1</v>
      </c>
    </row>
    <row r="2625" spans="1:11" x14ac:dyDescent="0.25">
      <c r="A2625" s="31">
        <v>43847</v>
      </c>
      <c r="B2625" t="s">
        <v>6</v>
      </c>
      <c r="C2625" s="31">
        <v>4503</v>
      </c>
      <c r="D2625" t="s">
        <v>84</v>
      </c>
      <c r="E2625" t="s">
        <v>111</v>
      </c>
      <c r="F2625">
        <v>1</v>
      </c>
      <c r="G2625" t="s">
        <v>46</v>
      </c>
      <c r="H2625" t="s">
        <v>110</v>
      </c>
      <c r="I2625">
        <v>10</v>
      </c>
      <c r="J2625" s="19">
        <f>WEEKNUM(tblRidershipData[[#This Row],[MeasurementDate]])</f>
        <v>3</v>
      </c>
      <c r="K2625" s="19">
        <f>MONTH(tblRidershipData[[#This Row],[MeasurementDate]])</f>
        <v>1</v>
      </c>
    </row>
    <row r="2626" spans="1:11" x14ac:dyDescent="0.25">
      <c r="A2626" s="31">
        <v>43847</v>
      </c>
      <c r="B2626" t="s">
        <v>6</v>
      </c>
      <c r="C2626" s="31">
        <v>4503</v>
      </c>
      <c r="D2626" t="s">
        <v>84</v>
      </c>
      <c r="E2626" t="s">
        <v>111</v>
      </c>
      <c r="F2626">
        <v>1</v>
      </c>
      <c r="G2626" t="s">
        <v>52</v>
      </c>
      <c r="H2626" t="s">
        <v>110</v>
      </c>
      <c r="I2626">
        <v>1</v>
      </c>
      <c r="J2626" s="19">
        <f>WEEKNUM(tblRidershipData[[#This Row],[MeasurementDate]])</f>
        <v>3</v>
      </c>
      <c r="K2626" s="19">
        <f>MONTH(tblRidershipData[[#This Row],[MeasurementDate]])</f>
        <v>1</v>
      </c>
    </row>
    <row r="2627" spans="1:11" x14ac:dyDescent="0.25">
      <c r="A2627" s="31">
        <v>43847</v>
      </c>
      <c r="B2627" t="s">
        <v>6</v>
      </c>
      <c r="C2627" s="31">
        <v>4503</v>
      </c>
      <c r="D2627" t="s">
        <v>84</v>
      </c>
      <c r="E2627" t="s">
        <v>111</v>
      </c>
      <c r="F2627">
        <v>1</v>
      </c>
      <c r="G2627" t="s">
        <v>55</v>
      </c>
      <c r="H2627" t="s">
        <v>110</v>
      </c>
      <c r="I2627">
        <v>3</v>
      </c>
      <c r="J2627" s="19">
        <f>WEEKNUM(tblRidershipData[[#This Row],[MeasurementDate]])</f>
        <v>3</v>
      </c>
      <c r="K2627" s="19">
        <f>MONTH(tblRidershipData[[#This Row],[MeasurementDate]])</f>
        <v>1</v>
      </c>
    </row>
    <row r="2628" spans="1:11" x14ac:dyDescent="0.25">
      <c r="A2628" s="31">
        <v>43847</v>
      </c>
      <c r="B2628" t="s">
        <v>6</v>
      </c>
      <c r="C2628" s="31">
        <v>4503</v>
      </c>
      <c r="D2628" t="s">
        <v>84</v>
      </c>
      <c r="E2628" t="s">
        <v>111</v>
      </c>
      <c r="F2628">
        <v>1</v>
      </c>
      <c r="G2628" t="s">
        <v>56</v>
      </c>
      <c r="H2628" t="s">
        <v>110</v>
      </c>
      <c r="I2628">
        <v>1</v>
      </c>
      <c r="J2628" s="19">
        <f>WEEKNUM(tblRidershipData[[#This Row],[MeasurementDate]])</f>
        <v>3</v>
      </c>
      <c r="K2628" s="19">
        <f>MONTH(tblRidershipData[[#This Row],[MeasurementDate]])</f>
        <v>1</v>
      </c>
    </row>
    <row r="2629" spans="1:11" x14ac:dyDescent="0.25">
      <c r="A2629" s="31">
        <v>43847</v>
      </c>
      <c r="B2629" t="s">
        <v>6</v>
      </c>
      <c r="C2629" s="31">
        <v>4503</v>
      </c>
      <c r="D2629" t="s">
        <v>84</v>
      </c>
      <c r="E2629" t="s">
        <v>111</v>
      </c>
      <c r="F2629">
        <v>1</v>
      </c>
      <c r="G2629" t="s">
        <v>57</v>
      </c>
      <c r="H2629" t="s">
        <v>110</v>
      </c>
      <c r="I2629">
        <v>3</v>
      </c>
      <c r="J2629" s="19">
        <f>WEEKNUM(tblRidershipData[[#This Row],[MeasurementDate]])</f>
        <v>3</v>
      </c>
      <c r="K2629" s="19">
        <f>MONTH(tblRidershipData[[#This Row],[MeasurementDate]])</f>
        <v>1</v>
      </c>
    </row>
    <row r="2630" spans="1:11" x14ac:dyDescent="0.25">
      <c r="A2630" s="31">
        <v>43847</v>
      </c>
      <c r="B2630" t="s">
        <v>6</v>
      </c>
      <c r="C2630" s="31">
        <v>4503</v>
      </c>
      <c r="D2630" t="s">
        <v>84</v>
      </c>
      <c r="E2630" t="s">
        <v>111</v>
      </c>
      <c r="F2630">
        <v>1</v>
      </c>
      <c r="G2630" t="s">
        <v>59</v>
      </c>
      <c r="H2630" t="s">
        <v>110</v>
      </c>
      <c r="I2630">
        <v>3</v>
      </c>
      <c r="J2630" s="19">
        <f>WEEKNUM(tblRidershipData[[#This Row],[MeasurementDate]])</f>
        <v>3</v>
      </c>
      <c r="K2630" s="19">
        <f>MONTH(tblRidershipData[[#This Row],[MeasurementDate]])</f>
        <v>1</v>
      </c>
    </row>
    <row r="2631" spans="1:11" x14ac:dyDescent="0.25">
      <c r="A2631" s="31">
        <v>43847</v>
      </c>
      <c r="B2631" t="s">
        <v>6</v>
      </c>
      <c r="C2631" s="31">
        <v>4503</v>
      </c>
      <c r="D2631" t="s">
        <v>84</v>
      </c>
      <c r="E2631" t="s">
        <v>111</v>
      </c>
      <c r="F2631">
        <v>1</v>
      </c>
      <c r="G2631" t="s">
        <v>60</v>
      </c>
      <c r="H2631" t="s">
        <v>110</v>
      </c>
      <c r="I2631">
        <v>1</v>
      </c>
      <c r="J2631" s="19">
        <f>WEEKNUM(tblRidershipData[[#This Row],[MeasurementDate]])</f>
        <v>3</v>
      </c>
      <c r="K2631" s="19">
        <f>MONTH(tblRidershipData[[#This Row],[MeasurementDate]])</f>
        <v>1</v>
      </c>
    </row>
    <row r="2632" spans="1:11" x14ac:dyDescent="0.25">
      <c r="A2632" s="31">
        <v>43847</v>
      </c>
      <c r="B2632" t="s">
        <v>6</v>
      </c>
      <c r="C2632" s="31">
        <v>4503</v>
      </c>
      <c r="D2632" t="s">
        <v>84</v>
      </c>
      <c r="E2632" t="s">
        <v>111</v>
      </c>
      <c r="F2632">
        <v>1</v>
      </c>
      <c r="G2632" t="s">
        <v>66</v>
      </c>
      <c r="H2632" t="s">
        <v>110</v>
      </c>
      <c r="I2632">
        <v>1</v>
      </c>
      <c r="J2632" s="19">
        <f>WEEKNUM(tblRidershipData[[#This Row],[MeasurementDate]])</f>
        <v>3</v>
      </c>
      <c r="K2632" s="19">
        <f>MONTH(tblRidershipData[[#This Row],[MeasurementDate]])</f>
        <v>1</v>
      </c>
    </row>
    <row r="2633" spans="1:11" x14ac:dyDescent="0.25">
      <c r="A2633" s="31">
        <v>43847</v>
      </c>
      <c r="B2633" t="s">
        <v>6</v>
      </c>
      <c r="C2633" s="31">
        <v>4503</v>
      </c>
      <c r="D2633" t="s">
        <v>84</v>
      </c>
      <c r="E2633" t="s">
        <v>111</v>
      </c>
      <c r="F2633">
        <v>1</v>
      </c>
      <c r="G2633" t="s">
        <v>70</v>
      </c>
      <c r="H2633" t="s">
        <v>110</v>
      </c>
      <c r="I2633">
        <v>9</v>
      </c>
      <c r="J2633" s="19">
        <f>WEEKNUM(tblRidershipData[[#This Row],[MeasurementDate]])</f>
        <v>3</v>
      </c>
      <c r="K2633" s="19">
        <f>MONTH(tblRidershipData[[#This Row],[MeasurementDate]])</f>
        <v>1</v>
      </c>
    </row>
    <row r="2634" spans="1:11" x14ac:dyDescent="0.25">
      <c r="A2634" s="31">
        <v>43847</v>
      </c>
      <c r="B2634" t="s">
        <v>6</v>
      </c>
      <c r="C2634" s="31">
        <v>4503</v>
      </c>
      <c r="D2634" t="s">
        <v>84</v>
      </c>
      <c r="E2634" t="s">
        <v>111</v>
      </c>
      <c r="F2634">
        <v>1</v>
      </c>
      <c r="G2634" t="s">
        <v>71</v>
      </c>
      <c r="H2634" t="s">
        <v>110</v>
      </c>
      <c r="I2634">
        <v>2</v>
      </c>
      <c r="J2634" s="19">
        <f>WEEKNUM(tblRidershipData[[#This Row],[MeasurementDate]])</f>
        <v>3</v>
      </c>
      <c r="K2634" s="19">
        <f>MONTH(tblRidershipData[[#This Row],[MeasurementDate]])</f>
        <v>1</v>
      </c>
    </row>
    <row r="2635" spans="1:11" x14ac:dyDescent="0.25">
      <c r="A2635" s="31">
        <v>43847</v>
      </c>
      <c r="B2635" t="s">
        <v>6</v>
      </c>
      <c r="C2635" s="31">
        <v>4503</v>
      </c>
      <c r="D2635" t="s">
        <v>84</v>
      </c>
      <c r="E2635" t="s">
        <v>111</v>
      </c>
      <c r="F2635">
        <v>1</v>
      </c>
      <c r="G2635" t="s">
        <v>76</v>
      </c>
      <c r="H2635" t="s">
        <v>110</v>
      </c>
      <c r="I2635">
        <v>1</v>
      </c>
      <c r="J2635" s="19">
        <f>WEEKNUM(tblRidershipData[[#This Row],[MeasurementDate]])</f>
        <v>3</v>
      </c>
      <c r="K2635" s="19">
        <f>MONTH(tblRidershipData[[#This Row],[MeasurementDate]])</f>
        <v>1</v>
      </c>
    </row>
    <row r="2636" spans="1:11" x14ac:dyDescent="0.25">
      <c r="A2636" s="31">
        <v>43847</v>
      </c>
      <c r="B2636" t="s">
        <v>6</v>
      </c>
      <c r="C2636" s="31">
        <v>4503</v>
      </c>
      <c r="D2636" t="s">
        <v>84</v>
      </c>
      <c r="E2636" t="s">
        <v>109</v>
      </c>
      <c r="F2636">
        <v>1</v>
      </c>
      <c r="G2636" t="s">
        <v>46</v>
      </c>
      <c r="H2636" t="s">
        <v>110</v>
      </c>
      <c r="I2636">
        <v>8</v>
      </c>
      <c r="J2636" s="19">
        <f>WEEKNUM(tblRidershipData[[#This Row],[MeasurementDate]])</f>
        <v>3</v>
      </c>
      <c r="K2636" s="19">
        <f>MONTH(tblRidershipData[[#This Row],[MeasurementDate]])</f>
        <v>1</v>
      </c>
    </row>
    <row r="2637" spans="1:11" x14ac:dyDescent="0.25">
      <c r="A2637" s="31">
        <v>43847</v>
      </c>
      <c r="B2637" t="s">
        <v>6</v>
      </c>
      <c r="C2637" s="31">
        <v>4503</v>
      </c>
      <c r="D2637" t="s">
        <v>84</v>
      </c>
      <c r="E2637" t="s">
        <v>109</v>
      </c>
      <c r="F2637">
        <v>1</v>
      </c>
      <c r="G2637" t="s">
        <v>52</v>
      </c>
      <c r="H2637" t="s">
        <v>110</v>
      </c>
      <c r="I2637">
        <v>4</v>
      </c>
      <c r="J2637" s="19">
        <f>WEEKNUM(tblRidershipData[[#This Row],[MeasurementDate]])</f>
        <v>3</v>
      </c>
      <c r="K2637" s="19">
        <f>MONTH(tblRidershipData[[#This Row],[MeasurementDate]])</f>
        <v>1</v>
      </c>
    </row>
    <row r="2638" spans="1:11" x14ac:dyDescent="0.25">
      <c r="A2638" s="31">
        <v>43847</v>
      </c>
      <c r="B2638" t="s">
        <v>6</v>
      </c>
      <c r="C2638" s="31">
        <v>4503</v>
      </c>
      <c r="D2638" t="s">
        <v>84</v>
      </c>
      <c r="E2638" t="s">
        <v>109</v>
      </c>
      <c r="F2638">
        <v>1</v>
      </c>
      <c r="G2638" t="s">
        <v>59</v>
      </c>
      <c r="H2638" t="s">
        <v>110</v>
      </c>
      <c r="I2638">
        <v>1</v>
      </c>
      <c r="J2638" s="19">
        <f>WEEKNUM(tblRidershipData[[#This Row],[MeasurementDate]])</f>
        <v>3</v>
      </c>
      <c r="K2638" s="19">
        <f>MONTH(tblRidershipData[[#This Row],[MeasurementDate]])</f>
        <v>1</v>
      </c>
    </row>
    <row r="2639" spans="1:11" x14ac:dyDescent="0.25">
      <c r="A2639" s="31">
        <v>43847</v>
      </c>
      <c r="B2639" t="s">
        <v>6</v>
      </c>
      <c r="C2639" s="31">
        <v>4503</v>
      </c>
      <c r="D2639" t="s">
        <v>84</v>
      </c>
      <c r="E2639" t="s">
        <v>109</v>
      </c>
      <c r="F2639">
        <v>1</v>
      </c>
      <c r="G2639" t="s">
        <v>69</v>
      </c>
      <c r="H2639" t="s">
        <v>110</v>
      </c>
      <c r="I2639">
        <v>7</v>
      </c>
      <c r="J2639" s="19">
        <f>WEEKNUM(tblRidershipData[[#This Row],[MeasurementDate]])</f>
        <v>3</v>
      </c>
      <c r="K2639" s="19">
        <f>MONTH(tblRidershipData[[#This Row],[MeasurementDate]])</f>
        <v>1</v>
      </c>
    </row>
    <row r="2640" spans="1:11" x14ac:dyDescent="0.25">
      <c r="A2640" s="31">
        <v>43847</v>
      </c>
      <c r="B2640" t="s">
        <v>6</v>
      </c>
      <c r="C2640" s="31">
        <v>4503</v>
      </c>
      <c r="D2640" t="s">
        <v>84</v>
      </c>
      <c r="E2640" t="s">
        <v>109</v>
      </c>
      <c r="F2640">
        <v>1</v>
      </c>
      <c r="G2640" t="s">
        <v>70</v>
      </c>
      <c r="H2640" t="s">
        <v>110</v>
      </c>
      <c r="I2640">
        <v>12</v>
      </c>
      <c r="J2640" s="19">
        <f>WEEKNUM(tblRidershipData[[#This Row],[MeasurementDate]])</f>
        <v>3</v>
      </c>
      <c r="K2640" s="19">
        <f>MONTH(tblRidershipData[[#This Row],[MeasurementDate]])</f>
        <v>1</v>
      </c>
    </row>
    <row r="2641" spans="1:11" x14ac:dyDescent="0.25">
      <c r="A2641" s="31">
        <v>43847</v>
      </c>
      <c r="B2641" t="s">
        <v>6</v>
      </c>
      <c r="C2641" s="31">
        <v>4503</v>
      </c>
      <c r="D2641" t="s">
        <v>84</v>
      </c>
      <c r="E2641" t="s">
        <v>109</v>
      </c>
      <c r="F2641">
        <v>1</v>
      </c>
      <c r="G2641" t="s">
        <v>74</v>
      </c>
      <c r="H2641" t="s">
        <v>110</v>
      </c>
      <c r="I2641">
        <v>28</v>
      </c>
      <c r="J2641" s="19">
        <f>WEEKNUM(tblRidershipData[[#This Row],[MeasurementDate]])</f>
        <v>3</v>
      </c>
      <c r="K2641" s="19">
        <f>MONTH(tblRidershipData[[#This Row],[MeasurementDate]])</f>
        <v>1</v>
      </c>
    </row>
    <row r="2642" spans="1:11" x14ac:dyDescent="0.25">
      <c r="A2642" s="31">
        <v>43847</v>
      </c>
      <c r="B2642" t="s">
        <v>6</v>
      </c>
      <c r="C2642" s="31">
        <v>4503</v>
      </c>
      <c r="D2642" t="s">
        <v>84</v>
      </c>
      <c r="E2642" t="s">
        <v>109</v>
      </c>
      <c r="F2642">
        <v>2</v>
      </c>
      <c r="G2642" t="s">
        <v>69</v>
      </c>
      <c r="H2642" t="s">
        <v>110</v>
      </c>
      <c r="I2642">
        <v>12</v>
      </c>
      <c r="J2642" s="19">
        <f>WEEKNUM(tblRidershipData[[#This Row],[MeasurementDate]])</f>
        <v>3</v>
      </c>
      <c r="K2642" s="19">
        <f>MONTH(tblRidershipData[[#This Row],[MeasurementDate]])</f>
        <v>1</v>
      </c>
    </row>
    <row r="2643" spans="1:11" x14ac:dyDescent="0.25">
      <c r="A2643" s="31">
        <v>43847</v>
      </c>
      <c r="B2643" t="s">
        <v>6</v>
      </c>
      <c r="C2643" s="31">
        <v>4503</v>
      </c>
      <c r="D2643" t="s">
        <v>84</v>
      </c>
      <c r="E2643" t="s">
        <v>111</v>
      </c>
      <c r="F2643">
        <v>1</v>
      </c>
      <c r="G2643" t="s">
        <v>46</v>
      </c>
      <c r="H2643" t="s">
        <v>112</v>
      </c>
      <c r="I2643">
        <v>1</v>
      </c>
      <c r="J2643" s="19">
        <f>WEEKNUM(tblRidershipData[[#This Row],[MeasurementDate]])</f>
        <v>3</v>
      </c>
      <c r="K2643" s="19">
        <f>MONTH(tblRidershipData[[#This Row],[MeasurementDate]])</f>
        <v>1</v>
      </c>
    </row>
    <row r="2644" spans="1:11" x14ac:dyDescent="0.25">
      <c r="A2644" s="31">
        <v>43847</v>
      </c>
      <c r="B2644" t="s">
        <v>6</v>
      </c>
      <c r="C2644" s="31">
        <v>4503</v>
      </c>
      <c r="D2644" t="s">
        <v>84</v>
      </c>
      <c r="E2644" t="s">
        <v>111</v>
      </c>
      <c r="F2644">
        <v>1</v>
      </c>
      <c r="G2644" t="s">
        <v>52</v>
      </c>
      <c r="H2644" t="s">
        <v>112</v>
      </c>
      <c r="I2644">
        <v>16</v>
      </c>
      <c r="J2644" s="19">
        <f>WEEKNUM(tblRidershipData[[#This Row],[MeasurementDate]])</f>
        <v>3</v>
      </c>
      <c r="K2644" s="19">
        <f>MONTH(tblRidershipData[[#This Row],[MeasurementDate]])</f>
        <v>1</v>
      </c>
    </row>
    <row r="2645" spans="1:11" x14ac:dyDescent="0.25">
      <c r="A2645" s="31">
        <v>43847</v>
      </c>
      <c r="B2645" t="s">
        <v>6</v>
      </c>
      <c r="C2645" s="31">
        <v>4503</v>
      </c>
      <c r="D2645" t="s">
        <v>84</v>
      </c>
      <c r="E2645" t="s">
        <v>111</v>
      </c>
      <c r="F2645">
        <v>1</v>
      </c>
      <c r="G2645" t="s">
        <v>59</v>
      </c>
      <c r="H2645" t="s">
        <v>112</v>
      </c>
      <c r="I2645">
        <v>7</v>
      </c>
      <c r="J2645" s="19">
        <f>WEEKNUM(tblRidershipData[[#This Row],[MeasurementDate]])</f>
        <v>3</v>
      </c>
      <c r="K2645" s="19">
        <f>MONTH(tblRidershipData[[#This Row],[MeasurementDate]])</f>
        <v>1</v>
      </c>
    </row>
    <row r="2646" spans="1:11" x14ac:dyDescent="0.25">
      <c r="A2646" s="31">
        <v>43847</v>
      </c>
      <c r="B2646" t="s">
        <v>6</v>
      </c>
      <c r="C2646" s="31">
        <v>4503</v>
      </c>
      <c r="D2646" t="s">
        <v>84</v>
      </c>
      <c r="E2646" t="s">
        <v>111</v>
      </c>
      <c r="F2646">
        <v>1</v>
      </c>
      <c r="G2646" t="s">
        <v>69</v>
      </c>
      <c r="H2646" t="s">
        <v>112</v>
      </c>
      <c r="I2646">
        <v>3</v>
      </c>
      <c r="J2646" s="19">
        <f>WEEKNUM(tblRidershipData[[#This Row],[MeasurementDate]])</f>
        <v>3</v>
      </c>
      <c r="K2646" s="19">
        <f>MONTH(tblRidershipData[[#This Row],[MeasurementDate]])</f>
        <v>1</v>
      </c>
    </row>
    <row r="2647" spans="1:11" x14ac:dyDescent="0.25">
      <c r="A2647" s="31">
        <v>43847</v>
      </c>
      <c r="B2647" t="s">
        <v>6</v>
      </c>
      <c r="C2647" s="31">
        <v>4503</v>
      </c>
      <c r="D2647" t="s">
        <v>84</v>
      </c>
      <c r="E2647" t="s">
        <v>111</v>
      </c>
      <c r="F2647">
        <v>1</v>
      </c>
      <c r="G2647" t="s">
        <v>70</v>
      </c>
      <c r="H2647" t="s">
        <v>112</v>
      </c>
      <c r="I2647">
        <v>19</v>
      </c>
      <c r="J2647" s="19">
        <f>WEEKNUM(tblRidershipData[[#This Row],[MeasurementDate]])</f>
        <v>3</v>
      </c>
      <c r="K2647" s="19">
        <f>MONTH(tblRidershipData[[#This Row],[MeasurementDate]])</f>
        <v>1</v>
      </c>
    </row>
    <row r="2648" spans="1:11" x14ac:dyDescent="0.25">
      <c r="A2648" s="31">
        <v>43847</v>
      </c>
      <c r="B2648" t="s">
        <v>6</v>
      </c>
      <c r="C2648" s="31">
        <v>4503</v>
      </c>
      <c r="D2648" t="s">
        <v>84</v>
      </c>
      <c r="E2648" t="s">
        <v>111</v>
      </c>
      <c r="F2648">
        <v>1</v>
      </c>
      <c r="G2648" t="s">
        <v>72</v>
      </c>
      <c r="H2648" t="s">
        <v>112</v>
      </c>
      <c r="I2648">
        <v>5</v>
      </c>
      <c r="J2648" s="19">
        <f>WEEKNUM(tblRidershipData[[#This Row],[MeasurementDate]])</f>
        <v>3</v>
      </c>
      <c r="K2648" s="19">
        <f>MONTH(tblRidershipData[[#This Row],[MeasurementDate]])</f>
        <v>1</v>
      </c>
    </row>
    <row r="2649" spans="1:11" x14ac:dyDescent="0.25">
      <c r="A2649" s="31">
        <v>43847</v>
      </c>
      <c r="B2649" t="s">
        <v>6</v>
      </c>
      <c r="C2649" s="31">
        <v>4503</v>
      </c>
      <c r="D2649" t="s">
        <v>84</v>
      </c>
      <c r="E2649" t="s">
        <v>109</v>
      </c>
      <c r="F2649">
        <v>1</v>
      </c>
      <c r="G2649" t="s">
        <v>43</v>
      </c>
      <c r="H2649" t="s">
        <v>112</v>
      </c>
      <c r="I2649">
        <v>9</v>
      </c>
      <c r="J2649" s="19">
        <f>WEEKNUM(tblRidershipData[[#This Row],[MeasurementDate]])</f>
        <v>3</v>
      </c>
      <c r="K2649" s="19">
        <f>MONTH(tblRidershipData[[#This Row],[MeasurementDate]])</f>
        <v>1</v>
      </c>
    </row>
    <row r="2650" spans="1:11" x14ac:dyDescent="0.25">
      <c r="A2650" s="31">
        <v>43847</v>
      </c>
      <c r="B2650" t="s">
        <v>6</v>
      </c>
      <c r="C2650" s="31">
        <v>4503</v>
      </c>
      <c r="D2650" t="s">
        <v>84</v>
      </c>
      <c r="E2650" t="s">
        <v>109</v>
      </c>
      <c r="F2650">
        <v>1</v>
      </c>
      <c r="G2650" t="s">
        <v>44</v>
      </c>
      <c r="H2650" t="s">
        <v>112</v>
      </c>
      <c r="I2650">
        <v>5</v>
      </c>
      <c r="J2650" s="19">
        <f>WEEKNUM(tblRidershipData[[#This Row],[MeasurementDate]])</f>
        <v>3</v>
      </c>
      <c r="K2650" s="19">
        <f>MONTH(tblRidershipData[[#This Row],[MeasurementDate]])</f>
        <v>1</v>
      </c>
    </row>
    <row r="2651" spans="1:11" x14ac:dyDescent="0.25">
      <c r="A2651" s="31">
        <v>43847</v>
      </c>
      <c r="B2651" t="s">
        <v>6</v>
      </c>
      <c r="C2651" s="31">
        <v>4503</v>
      </c>
      <c r="D2651" t="s">
        <v>84</v>
      </c>
      <c r="E2651" t="s">
        <v>109</v>
      </c>
      <c r="F2651">
        <v>1</v>
      </c>
      <c r="G2651" t="s">
        <v>46</v>
      </c>
      <c r="H2651" t="s">
        <v>112</v>
      </c>
      <c r="I2651">
        <v>10</v>
      </c>
      <c r="J2651" s="19">
        <f>WEEKNUM(tblRidershipData[[#This Row],[MeasurementDate]])</f>
        <v>3</v>
      </c>
      <c r="K2651" s="19">
        <f>MONTH(tblRidershipData[[#This Row],[MeasurementDate]])</f>
        <v>1</v>
      </c>
    </row>
    <row r="2652" spans="1:11" x14ac:dyDescent="0.25">
      <c r="A2652" s="31">
        <v>43847</v>
      </c>
      <c r="B2652" t="s">
        <v>6</v>
      </c>
      <c r="C2652" s="31">
        <v>4503</v>
      </c>
      <c r="D2652" t="s">
        <v>84</v>
      </c>
      <c r="E2652" t="s">
        <v>109</v>
      </c>
      <c r="F2652">
        <v>1</v>
      </c>
      <c r="G2652" t="s">
        <v>48</v>
      </c>
      <c r="H2652" t="s">
        <v>112</v>
      </c>
      <c r="I2652">
        <v>7</v>
      </c>
      <c r="J2652" s="19">
        <f>WEEKNUM(tblRidershipData[[#This Row],[MeasurementDate]])</f>
        <v>3</v>
      </c>
      <c r="K2652" s="19">
        <f>MONTH(tblRidershipData[[#This Row],[MeasurementDate]])</f>
        <v>1</v>
      </c>
    </row>
    <row r="2653" spans="1:11" x14ac:dyDescent="0.25">
      <c r="A2653" s="31">
        <v>43847</v>
      </c>
      <c r="B2653" t="s">
        <v>6</v>
      </c>
      <c r="C2653" s="31">
        <v>4503</v>
      </c>
      <c r="D2653" t="s">
        <v>84</v>
      </c>
      <c r="E2653" t="s">
        <v>109</v>
      </c>
      <c r="F2653">
        <v>1</v>
      </c>
      <c r="G2653" t="s">
        <v>54</v>
      </c>
      <c r="H2653" t="s">
        <v>112</v>
      </c>
      <c r="I2653">
        <v>15</v>
      </c>
      <c r="J2653" s="19">
        <f>WEEKNUM(tblRidershipData[[#This Row],[MeasurementDate]])</f>
        <v>3</v>
      </c>
      <c r="K2653" s="19">
        <f>MONTH(tblRidershipData[[#This Row],[MeasurementDate]])</f>
        <v>1</v>
      </c>
    </row>
    <row r="2654" spans="1:11" x14ac:dyDescent="0.25">
      <c r="A2654" s="31">
        <v>43847</v>
      </c>
      <c r="B2654" t="s">
        <v>6</v>
      </c>
      <c r="C2654" s="31">
        <v>4503</v>
      </c>
      <c r="D2654" t="s">
        <v>84</v>
      </c>
      <c r="E2654" t="s">
        <v>109</v>
      </c>
      <c r="F2654">
        <v>1</v>
      </c>
      <c r="G2654" t="s">
        <v>64</v>
      </c>
      <c r="H2654" t="s">
        <v>112</v>
      </c>
      <c r="I2654">
        <v>9</v>
      </c>
      <c r="J2654" s="19">
        <f>WEEKNUM(tblRidershipData[[#This Row],[MeasurementDate]])</f>
        <v>3</v>
      </c>
      <c r="K2654" s="19">
        <f>MONTH(tblRidershipData[[#This Row],[MeasurementDate]])</f>
        <v>1</v>
      </c>
    </row>
    <row r="2655" spans="1:11" x14ac:dyDescent="0.25">
      <c r="A2655" s="31">
        <v>43847</v>
      </c>
      <c r="B2655" t="s">
        <v>6</v>
      </c>
      <c r="C2655" s="31">
        <v>4503</v>
      </c>
      <c r="D2655" t="s">
        <v>84</v>
      </c>
      <c r="E2655" t="s">
        <v>109</v>
      </c>
      <c r="F2655">
        <v>1</v>
      </c>
      <c r="G2655" t="s">
        <v>67</v>
      </c>
      <c r="H2655" t="s">
        <v>112</v>
      </c>
      <c r="I2655">
        <v>9</v>
      </c>
      <c r="J2655" s="19">
        <f>WEEKNUM(tblRidershipData[[#This Row],[MeasurementDate]])</f>
        <v>3</v>
      </c>
      <c r="K2655" s="19">
        <f>MONTH(tblRidershipData[[#This Row],[MeasurementDate]])</f>
        <v>1</v>
      </c>
    </row>
    <row r="2656" spans="1:11" x14ac:dyDescent="0.25">
      <c r="A2656" s="31">
        <v>43847</v>
      </c>
      <c r="B2656" t="s">
        <v>6</v>
      </c>
      <c r="C2656" s="31">
        <v>4503</v>
      </c>
      <c r="D2656" t="s">
        <v>84</v>
      </c>
      <c r="E2656" t="s">
        <v>109</v>
      </c>
      <c r="F2656">
        <v>1</v>
      </c>
      <c r="G2656" t="s">
        <v>69</v>
      </c>
      <c r="H2656" t="s">
        <v>112</v>
      </c>
      <c r="I2656">
        <v>7</v>
      </c>
      <c r="J2656" s="19">
        <f>WEEKNUM(tblRidershipData[[#This Row],[MeasurementDate]])</f>
        <v>3</v>
      </c>
      <c r="K2656" s="19">
        <f>MONTH(tblRidershipData[[#This Row],[MeasurementDate]])</f>
        <v>1</v>
      </c>
    </row>
    <row r="2657" spans="1:11" x14ac:dyDescent="0.25">
      <c r="A2657" s="31">
        <v>43847</v>
      </c>
      <c r="B2657" t="s">
        <v>6</v>
      </c>
      <c r="C2657" s="31">
        <v>4503</v>
      </c>
      <c r="D2657" t="s">
        <v>84</v>
      </c>
      <c r="E2657" t="s">
        <v>109</v>
      </c>
      <c r="F2657">
        <v>1</v>
      </c>
      <c r="G2657" t="s">
        <v>70</v>
      </c>
      <c r="H2657" t="s">
        <v>112</v>
      </c>
      <c r="I2657">
        <v>8</v>
      </c>
      <c r="J2657" s="19">
        <f>WEEKNUM(tblRidershipData[[#This Row],[MeasurementDate]])</f>
        <v>3</v>
      </c>
      <c r="K2657" s="19">
        <f>MONTH(tblRidershipData[[#This Row],[MeasurementDate]])</f>
        <v>1</v>
      </c>
    </row>
    <row r="2658" spans="1:11" x14ac:dyDescent="0.25">
      <c r="A2658" s="31">
        <v>43847</v>
      </c>
      <c r="B2658" t="s">
        <v>6</v>
      </c>
      <c r="C2658" s="31">
        <v>6552</v>
      </c>
      <c r="D2658" t="s">
        <v>85</v>
      </c>
      <c r="E2658" t="s">
        <v>111</v>
      </c>
      <c r="F2658">
        <v>1</v>
      </c>
      <c r="G2658" t="s">
        <v>56</v>
      </c>
      <c r="H2658" t="s">
        <v>110</v>
      </c>
      <c r="I2658">
        <v>1</v>
      </c>
      <c r="J2658" s="19">
        <f>WEEKNUM(tblRidershipData[[#This Row],[MeasurementDate]])</f>
        <v>3</v>
      </c>
      <c r="K2658" s="19">
        <f>MONTH(tblRidershipData[[#This Row],[MeasurementDate]])</f>
        <v>1</v>
      </c>
    </row>
    <row r="2659" spans="1:11" x14ac:dyDescent="0.25">
      <c r="A2659" s="31">
        <v>43847</v>
      </c>
      <c r="B2659" t="s">
        <v>6</v>
      </c>
      <c r="C2659" s="31">
        <v>6552</v>
      </c>
      <c r="D2659" t="s">
        <v>85</v>
      </c>
      <c r="E2659" t="s">
        <v>111</v>
      </c>
      <c r="F2659">
        <v>1</v>
      </c>
      <c r="G2659" t="s">
        <v>57</v>
      </c>
      <c r="H2659" t="s">
        <v>110</v>
      </c>
      <c r="I2659">
        <v>6</v>
      </c>
      <c r="J2659" s="19">
        <f>WEEKNUM(tblRidershipData[[#This Row],[MeasurementDate]])</f>
        <v>3</v>
      </c>
      <c r="K2659" s="19">
        <f>MONTH(tblRidershipData[[#This Row],[MeasurementDate]])</f>
        <v>1</v>
      </c>
    </row>
    <row r="2660" spans="1:11" x14ac:dyDescent="0.25">
      <c r="A2660" s="31">
        <v>43847</v>
      </c>
      <c r="B2660" t="s">
        <v>6</v>
      </c>
      <c r="C2660" s="31">
        <v>6552</v>
      </c>
      <c r="D2660" t="s">
        <v>85</v>
      </c>
      <c r="E2660" t="s">
        <v>111</v>
      </c>
      <c r="F2660">
        <v>1</v>
      </c>
      <c r="G2660" t="s">
        <v>60</v>
      </c>
      <c r="H2660" t="s">
        <v>110</v>
      </c>
      <c r="I2660">
        <v>9</v>
      </c>
      <c r="J2660" s="19">
        <f>WEEKNUM(tblRidershipData[[#This Row],[MeasurementDate]])</f>
        <v>3</v>
      </c>
      <c r="K2660" s="19">
        <f>MONTH(tblRidershipData[[#This Row],[MeasurementDate]])</f>
        <v>1</v>
      </c>
    </row>
    <row r="2661" spans="1:11" x14ac:dyDescent="0.25">
      <c r="A2661" s="31">
        <v>43847</v>
      </c>
      <c r="B2661" t="s">
        <v>6</v>
      </c>
      <c r="C2661" s="31">
        <v>6552</v>
      </c>
      <c r="D2661" t="s">
        <v>85</v>
      </c>
      <c r="E2661" t="s">
        <v>111</v>
      </c>
      <c r="F2661">
        <v>1</v>
      </c>
      <c r="G2661" t="s">
        <v>66</v>
      </c>
      <c r="H2661" t="s">
        <v>110</v>
      </c>
      <c r="I2661">
        <v>13</v>
      </c>
      <c r="J2661" s="19">
        <f>WEEKNUM(tblRidershipData[[#This Row],[MeasurementDate]])</f>
        <v>3</v>
      </c>
      <c r="K2661" s="19">
        <f>MONTH(tblRidershipData[[#This Row],[MeasurementDate]])</f>
        <v>1</v>
      </c>
    </row>
    <row r="2662" spans="1:11" x14ac:dyDescent="0.25">
      <c r="A2662" s="31">
        <v>43847</v>
      </c>
      <c r="B2662" t="s">
        <v>6</v>
      </c>
      <c r="C2662" s="31">
        <v>6552</v>
      </c>
      <c r="D2662" t="s">
        <v>85</v>
      </c>
      <c r="E2662" t="s">
        <v>111</v>
      </c>
      <c r="F2662">
        <v>1</v>
      </c>
      <c r="G2662" t="s">
        <v>67</v>
      </c>
      <c r="H2662" t="s">
        <v>110</v>
      </c>
      <c r="I2662">
        <v>3</v>
      </c>
      <c r="J2662" s="19">
        <f>WEEKNUM(tblRidershipData[[#This Row],[MeasurementDate]])</f>
        <v>3</v>
      </c>
      <c r="K2662" s="19">
        <f>MONTH(tblRidershipData[[#This Row],[MeasurementDate]])</f>
        <v>1</v>
      </c>
    </row>
    <row r="2663" spans="1:11" x14ac:dyDescent="0.25">
      <c r="A2663" s="31">
        <v>43847</v>
      </c>
      <c r="B2663" t="s">
        <v>6</v>
      </c>
      <c r="C2663" s="31">
        <v>6552</v>
      </c>
      <c r="D2663" t="s">
        <v>85</v>
      </c>
      <c r="E2663" t="s">
        <v>111</v>
      </c>
      <c r="F2663">
        <v>1</v>
      </c>
      <c r="G2663" t="s">
        <v>71</v>
      </c>
      <c r="H2663" t="s">
        <v>110</v>
      </c>
      <c r="I2663">
        <v>3</v>
      </c>
      <c r="J2663" s="19">
        <f>WEEKNUM(tblRidershipData[[#This Row],[MeasurementDate]])</f>
        <v>3</v>
      </c>
      <c r="K2663" s="19">
        <f>MONTH(tblRidershipData[[#This Row],[MeasurementDate]])</f>
        <v>1</v>
      </c>
    </row>
    <row r="2664" spans="1:11" x14ac:dyDescent="0.25">
      <c r="A2664" s="31">
        <v>43847</v>
      </c>
      <c r="B2664" t="s">
        <v>6</v>
      </c>
      <c r="C2664" s="31">
        <v>6552</v>
      </c>
      <c r="D2664" t="s">
        <v>85</v>
      </c>
      <c r="E2664" t="s">
        <v>111</v>
      </c>
      <c r="F2664">
        <v>1</v>
      </c>
      <c r="G2664" t="s">
        <v>76</v>
      </c>
      <c r="H2664" t="s">
        <v>110</v>
      </c>
      <c r="I2664">
        <v>3</v>
      </c>
      <c r="J2664" s="19">
        <f>WEEKNUM(tblRidershipData[[#This Row],[MeasurementDate]])</f>
        <v>3</v>
      </c>
      <c r="K2664" s="19">
        <f>MONTH(tblRidershipData[[#This Row],[MeasurementDate]])</f>
        <v>1</v>
      </c>
    </row>
    <row r="2665" spans="1:11" x14ac:dyDescent="0.25">
      <c r="A2665" s="31">
        <v>43847</v>
      </c>
      <c r="B2665" t="s">
        <v>6</v>
      </c>
      <c r="C2665" s="31">
        <v>6552</v>
      </c>
      <c r="D2665" t="s">
        <v>85</v>
      </c>
      <c r="E2665" t="s">
        <v>109</v>
      </c>
      <c r="F2665">
        <v>1</v>
      </c>
      <c r="G2665" t="s">
        <v>44</v>
      </c>
      <c r="H2665" t="s">
        <v>110</v>
      </c>
      <c r="I2665">
        <v>16</v>
      </c>
      <c r="J2665" s="19">
        <f>WEEKNUM(tblRidershipData[[#This Row],[MeasurementDate]])</f>
        <v>3</v>
      </c>
      <c r="K2665" s="19">
        <f>MONTH(tblRidershipData[[#This Row],[MeasurementDate]])</f>
        <v>1</v>
      </c>
    </row>
    <row r="2666" spans="1:11" x14ac:dyDescent="0.25">
      <c r="A2666" s="31">
        <v>43847</v>
      </c>
      <c r="B2666" t="s">
        <v>6</v>
      </c>
      <c r="C2666" s="31">
        <v>6552</v>
      </c>
      <c r="D2666" t="s">
        <v>85</v>
      </c>
      <c r="E2666" t="s">
        <v>109</v>
      </c>
      <c r="F2666">
        <v>1</v>
      </c>
      <c r="G2666" t="s">
        <v>57</v>
      </c>
      <c r="H2666" t="s">
        <v>110</v>
      </c>
      <c r="I2666">
        <v>15</v>
      </c>
      <c r="J2666" s="19">
        <f>WEEKNUM(tblRidershipData[[#This Row],[MeasurementDate]])</f>
        <v>3</v>
      </c>
      <c r="K2666" s="19">
        <f>MONTH(tblRidershipData[[#This Row],[MeasurementDate]])</f>
        <v>1</v>
      </c>
    </row>
    <row r="2667" spans="1:11" x14ac:dyDescent="0.25">
      <c r="A2667" s="31">
        <v>43847</v>
      </c>
      <c r="B2667" t="s">
        <v>6</v>
      </c>
      <c r="C2667" s="31">
        <v>6552</v>
      </c>
      <c r="D2667" t="s">
        <v>85</v>
      </c>
      <c r="E2667" t="s">
        <v>109</v>
      </c>
      <c r="F2667">
        <v>1</v>
      </c>
      <c r="G2667" t="s">
        <v>67</v>
      </c>
      <c r="H2667" t="s">
        <v>110</v>
      </c>
      <c r="I2667">
        <v>41</v>
      </c>
      <c r="J2667" s="19">
        <f>WEEKNUM(tblRidershipData[[#This Row],[MeasurementDate]])</f>
        <v>3</v>
      </c>
      <c r="K2667" s="19">
        <f>MONTH(tblRidershipData[[#This Row],[MeasurementDate]])</f>
        <v>1</v>
      </c>
    </row>
    <row r="2668" spans="1:11" x14ac:dyDescent="0.25">
      <c r="A2668" s="31">
        <v>43847</v>
      </c>
      <c r="B2668" t="s">
        <v>6</v>
      </c>
      <c r="C2668" s="31">
        <v>6552</v>
      </c>
      <c r="D2668" t="s">
        <v>85</v>
      </c>
      <c r="E2668" t="s">
        <v>109</v>
      </c>
      <c r="F2668">
        <v>1</v>
      </c>
      <c r="G2668" t="s">
        <v>69</v>
      </c>
      <c r="H2668" t="s">
        <v>110</v>
      </c>
      <c r="I2668">
        <v>17</v>
      </c>
      <c r="J2668" s="19">
        <f>WEEKNUM(tblRidershipData[[#This Row],[MeasurementDate]])</f>
        <v>3</v>
      </c>
      <c r="K2668" s="19">
        <f>MONTH(tblRidershipData[[#This Row],[MeasurementDate]])</f>
        <v>1</v>
      </c>
    </row>
    <row r="2669" spans="1:11" x14ac:dyDescent="0.25">
      <c r="A2669" s="31">
        <v>43847</v>
      </c>
      <c r="B2669" t="s">
        <v>6</v>
      </c>
      <c r="C2669" s="31">
        <v>6552</v>
      </c>
      <c r="D2669" t="s">
        <v>85</v>
      </c>
      <c r="E2669" t="s">
        <v>109</v>
      </c>
      <c r="F2669">
        <v>1</v>
      </c>
      <c r="G2669" t="s">
        <v>74</v>
      </c>
      <c r="H2669" t="s">
        <v>110</v>
      </c>
      <c r="I2669">
        <v>2</v>
      </c>
      <c r="J2669" s="19">
        <f>WEEKNUM(tblRidershipData[[#This Row],[MeasurementDate]])</f>
        <v>3</v>
      </c>
      <c r="K2669" s="19">
        <f>MONTH(tblRidershipData[[#This Row],[MeasurementDate]])</f>
        <v>1</v>
      </c>
    </row>
    <row r="2670" spans="1:11" x14ac:dyDescent="0.25">
      <c r="A2670" s="31">
        <v>43847</v>
      </c>
      <c r="B2670" t="s">
        <v>6</v>
      </c>
      <c r="C2670" s="31">
        <v>6552</v>
      </c>
      <c r="D2670" t="s">
        <v>85</v>
      </c>
      <c r="E2670" t="s">
        <v>111</v>
      </c>
      <c r="F2670">
        <v>1</v>
      </c>
      <c r="G2670" t="s">
        <v>44</v>
      </c>
      <c r="H2670" t="s">
        <v>112</v>
      </c>
      <c r="I2670">
        <v>1</v>
      </c>
      <c r="J2670" s="19">
        <f>WEEKNUM(tblRidershipData[[#This Row],[MeasurementDate]])</f>
        <v>3</v>
      </c>
      <c r="K2670" s="19">
        <f>MONTH(tblRidershipData[[#This Row],[MeasurementDate]])</f>
        <v>1</v>
      </c>
    </row>
    <row r="2671" spans="1:11" x14ac:dyDescent="0.25">
      <c r="A2671" s="31">
        <v>43847</v>
      </c>
      <c r="B2671" t="s">
        <v>6</v>
      </c>
      <c r="C2671" s="31">
        <v>6552</v>
      </c>
      <c r="D2671" t="s">
        <v>85</v>
      </c>
      <c r="E2671" t="s">
        <v>111</v>
      </c>
      <c r="F2671">
        <v>1</v>
      </c>
      <c r="G2671" t="s">
        <v>52</v>
      </c>
      <c r="H2671" t="s">
        <v>112</v>
      </c>
      <c r="I2671">
        <v>1</v>
      </c>
      <c r="J2671" s="19">
        <f>WEEKNUM(tblRidershipData[[#This Row],[MeasurementDate]])</f>
        <v>3</v>
      </c>
      <c r="K2671" s="19">
        <f>MONTH(tblRidershipData[[#This Row],[MeasurementDate]])</f>
        <v>1</v>
      </c>
    </row>
    <row r="2672" spans="1:11" x14ac:dyDescent="0.25">
      <c r="A2672" s="31">
        <v>43847</v>
      </c>
      <c r="B2672" t="s">
        <v>6</v>
      </c>
      <c r="C2672" s="31">
        <v>6552</v>
      </c>
      <c r="D2672" t="s">
        <v>85</v>
      </c>
      <c r="E2672" t="s">
        <v>111</v>
      </c>
      <c r="F2672">
        <v>1</v>
      </c>
      <c r="G2672" t="s">
        <v>54</v>
      </c>
      <c r="H2672" t="s">
        <v>112</v>
      </c>
      <c r="I2672">
        <v>1</v>
      </c>
      <c r="J2672" s="19">
        <f>WEEKNUM(tblRidershipData[[#This Row],[MeasurementDate]])</f>
        <v>3</v>
      </c>
      <c r="K2672" s="19">
        <f>MONTH(tblRidershipData[[#This Row],[MeasurementDate]])</f>
        <v>1</v>
      </c>
    </row>
    <row r="2673" spans="1:11" x14ac:dyDescent="0.25">
      <c r="A2673" s="31">
        <v>43847</v>
      </c>
      <c r="B2673" t="s">
        <v>6</v>
      </c>
      <c r="C2673" s="31">
        <v>6552</v>
      </c>
      <c r="D2673" t="s">
        <v>85</v>
      </c>
      <c r="E2673" t="s">
        <v>111</v>
      </c>
      <c r="F2673">
        <v>1</v>
      </c>
      <c r="G2673" t="s">
        <v>56</v>
      </c>
      <c r="H2673" t="s">
        <v>112</v>
      </c>
      <c r="I2673">
        <v>2</v>
      </c>
      <c r="J2673" s="19">
        <f>WEEKNUM(tblRidershipData[[#This Row],[MeasurementDate]])</f>
        <v>3</v>
      </c>
      <c r="K2673" s="19">
        <f>MONTH(tblRidershipData[[#This Row],[MeasurementDate]])</f>
        <v>1</v>
      </c>
    </row>
    <row r="2674" spans="1:11" x14ac:dyDescent="0.25">
      <c r="A2674" s="31">
        <v>43847</v>
      </c>
      <c r="B2674" t="s">
        <v>6</v>
      </c>
      <c r="C2674" s="31">
        <v>6552</v>
      </c>
      <c r="D2674" t="s">
        <v>85</v>
      </c>
      <c r="E2674" t="s">
        <v>111</v>
      </c>
      <c r="F2674">
        <v>1</v>
      </c>
      <c r="G2674" t="s">
        <v>64</v>
      </c>
      <c r="H2674" t="s">
        <v>112</v>
      </c>
      <c r="I2674">
        <v>2</v>
      </c>
      <c r="J2674" s="19">
        <f>WEEKNUM(tblRidershipData[[#This Row],[MeasurementDate]])</f>
        <v>3</v>
      </c>
      <c r="K2674" s="19">
        <f>MONTH(tblRidershipData[[#This Row],[MeasurementDate]])</f>
        <v>1</v>
      </c>
    </row>
    <row r="2675" spans="1:11" x14ac:dyDescent="0.25">
      <c r="A2675" s="31">
        <v>43847</v>
      </c>
      <c r="B2675" t="s">
        <v>6</v>
      </c>
      <c r="C2675" s="31">
        <v>6552</v>
      </c>
      <c r="D2675" t="s">
        <v>85</v>
      </c>
      <c r="E2675" t="s">
        <v>111</v>
      </c>
      <c r="F2675">
        <v>1</v>
      </c>
      <c r="G2675" t="s">
        <v>67</v>
      </c>
      <c r="H2675" t="s">
        <v>112</v>
      </c>
      <c r="I2675">
        <v>9</v>
      </c>
      <c r="J2675" s="19">
        <f>WEEKNUM(tblRidershipData[[#This Row],[MeasurementDate]])</f>
        <v>3</v>
      </c>
      <c r="K2675" s="19">
        <f>MONTH(tblRidershipData[[#This Row],[MeasurementDate]])</f>
        <v>1</v>
      </c>
    </row>
    <row r="2676" spans="1:11" x14ac:dyDescent="0.25">
      <c r="A2676" s="31">
        <v>43847</v>
      </c>
      <c r="B2676" t="s">
        <v>6</v>
      </c>
      <c r="C2676" s="31">
        <v>6552</v>
      </c>
      <c r="D2676" t="s">
        <v>85</v>
      </c>
      <c r="E2676" t="s">
        <v>111</v>
      </c>
      <c r="F2676">
        <v>1</v>
      </c>
      <c r="G2676" t="s">
        <v>72</v>
      </c>
      <c r="H2676" t="s">
        <v>112</v>
      </c>
      <c r="I2676">
        <v>4</v>
      </c>
      <c r="J2676" s="19">
        <f>WEEKNUM(tblRidershipData[[#This Row],[MeasurementDate]])</f>
        <v>3</v>
      </c>
      <c r="K2676" s="19">
        <f>MONTH(tblRidershipData[[#This Row],[MeasurementDate]])</f>
        <v>1</v>
      </c>
    </row>
    <row r="2677" spans="1:11" x14ac:dyDescent="0.25">
      <c r="A2677" s="31">
        <v>43847</v>
      </c>
      <c r="B2677" t="s">
        <v>6</v>
      </c>
      <c r="C2677" s="31">
        <v>6552</v>
      </c>
      <c r="D2677" t="s">
        <v>85</v>
      </c>
      <c r="E2677" t="s">
        <v>111</v>
      </c>
      <c r="F2677">
        <v>1</v>
      </c>
      <c r="G2677" t="s">
        <v>74</v>
      </c>
      <c r="H2677" t="s">
        <v>112</v>
      </c>
      <c r="I2677">
        <v>18</v>
      </c>
      <c r="J2677" s="19">
        <f>WEEKNUM(tblRidershipData[[#This Row],[MeasurementDate]])</f>
        <v>3</v>
      </c>
      <c r="K2677" s="19">
        <f>MONTH(tblRidershipData[[#This Row],[MeasurementDate]])</f>
        <v>1</v>
      </c>
    </row>
    <row r="2678" spans="1:11" x14ac:dyDescent="0.25">
      <c r="A2678" s="31">
        <v>43847</v>
      </c>
      <c r="B2678" t="s">
        <v>6</v>
      </c>
      <c r="C2678" s="31">
        <v>6552</v>
      </c>
      <c r="D2678" t="s">
        <v>85</v>
      </c>
      <c r="E2678" t="s">
        <v>109</v>
      </c>
      <c r="F2678">
        <v>1</v>
      </c>
      <c r="G2678" t="s">
        <v>43</v>
      </c>
      <c r="H2678" t="s">
        <v>112</v>
      </c>
      <c r="I2678">
        <v>14</v>
      </c>
      <c r="J2678" s="19">
        <f>WEEKNUM(tblRidershipData[[#This Row],[MeasurementDate]])</f>
        <v>3</v>
      </c>
      <c r="K2678" s="19">
        <f>MONTH(tblRidershipData[[#This Row],[MeasurementDate]])</f>
        <v>1</v>
      </c>
    </row>
    <row r="2679" spans="1:11" x14ac:dyDescent="0.25">
      <c r="A2679" s="31">
        <v>43847</v>
      </c>
      <c r="B2679" t="s">
        <v>6</v>
      </c>
      <c r="C2679" s="31">
        <v>6552</v>
      </c>
      <c r="D2679" t="s">
        <v>85</v>
      </c>
      <c r="E2679" t="s">
        <v>109</v>
      </c>
      <c r="F2679">
        <v>1</v>
      </c>
      <c r="G2679" t="s">
        <v>44</v>
      </c>
      <c r="H2679" t="s">
        <v>112</v>
      </c>
      <c r="I2679">
        <v>5</v>
      </c>
      <c r="J2679" s="19">
        <f>WEEKNUM(tblRidershipData[[#This Row],[MeasurementDate]])</f>
        <v>3</v>
      </c>
      <c r="K2679" s="19">
        <f>MONTH(tblRidershipData[[#This Row],[MeasurementDate]])</f>
        <v>1</v>
      </c>
    </row>
    <row r="2680" spans="1:11" x14ac:dyDescent="0.25">
      <c r="A2680" s="31">
        <v>43847</v>
      </c>
      <c r="B2680" t="s">
        <v>6</v>
      </c>
      <c r="C2680" s="31">
        <v>6552</v>
      </c>
      <c r="D2680" t="s">
        <v>85</v>
      </c>
      <c r="E2680" t="s">
        <v>109</v>
      </c>
      <c r="F2680">
        <v>1</v>
      </c>
      <c r="G2680" t="s">
        <v>46</v>
      </c>
      <c r="H2680" t="s">
        <v>112</v>
      </c>
      <c r="I2680">
        <v>7</v>
      </c>
      <c r="J2680" s="19">
        <f>WEEKNUM(tblRidershipData[[#This Row],[MeasurementDate]])</f>
        <v>3</v>
      </c>
      <c r="K2680" s="19">
        <f>MONTH(tblRidershipData[[#This Row],[MeasurementDate]])</f>
        <v>1</v>
      </c>
    </row>
    <row r="2681" spans="1:11" x14ac:dyDescent="0.25">
      <c r="A2681" s="31">
        <v>43847</v>
      </c>
      <c r="B2681" t="s">
        <v>6</v>
      </c>
      <c r="C2681" s="31">
        <v>6552</v>
      </c>
      <c r="D2681" t="s">
        <v>85</v>
      </c>
      <c r="E2681" t="s">
        <v>109</v>
      </c>
      <c r="F2681">
        <v>1</v>
      </c>
      <c r="G2681" t="s">
        <v>55</v>
      </c>
      <c r="H2681" t="s">
        <v>112</v>
      </c>
      <c r="I2681">
        <v>1</v>
      </c>
      <c r="J2681" s="19">
        <f>WEEKNUM(tblRidershipData[[#This Row],[MeasurementDate]])</f>
        <v>3</v>
      </c>
      <c r="K2681" s="19">
        <f>MONTH(tblRidershipData[[#This Row],[MeasurementDate]])</f>
        <v>1</v>
      </c>
    </row>
    <row r="2682" spans="1:11" x14ac:dyDescent="0.25">
      <c r="A2682" s="31">
        <v>43847</v>
      </c>
      <c r="B2682" t="s">
        <v>6</v>
      </c>
      <c r="C2682" s="31">
        <v>6552</v>
      </c>
      <c r="D2682" t="s">
        <v>85</v>
      </c>
      <c r="E2682" t="s">
        <v>109</v>
      </c>
      <c r="F2682">
        <v>1</v>
      </c>
      <c r="G2682" t="s">
        <v>57</v>
      </c>
      <c r="H2682" t="s">
        <v>112</v>
      </c>
      <c r="I2682">
        <v>5</v>
      </c>
      <c r="J2682" s="19">
        <f>WEEKNUM(tblRidershipData[[#This Row],[MeasurementDate]])</f>
        <v>3</v>
      </c>
      <c r="K2682" s="19">
        <f>MONTH(tblRidershipData[[#This Row],[MeasurementDate]])</f>
        <v>1</v>
      </c>
    </row>
    <row r="2683" spans="1:11" x14ac:dyDescent="0.25">
      <c r="A2683" s="31">
        <v>43847</v>
      </c>
      <c r="B2683" t="s">
        <v>6</v>
      </c>
      <c r="C2683" s="31">
        <v>6552</v>
      </c>
      <c r="D2683" t="s">
        <v>85</v>
      </c>
      <c r="E2683" t="s">
        <v>109</v>
      </c>
      <c r="F2683">
        <v>1</v>
      </c>
      <c r="G2683" t="s">
        <v>66</v>
      </c>
      <c r="H2683" t="s">
        <v>112</v>
      </c>
      <c r="I2683">
        <v>19</v>
      </c>
      <c r="J2683" s="19">
        <f>WEEKNUM(tblRidershipData[[#This Row],[MeasurementDate]])</f>
        <v>3</v>
      </c>
      <c r="K2683" s="19">
        <f>MONTH(tblRidershipData[[#This Row],[MeasurementDate]])</f>
        <v>1</v>
      </c>
    </row>
    <row r="2684" spans="1:11" x14ac:dyDescent="0.25">
      <c r="A2684" s="31">
        <v>43847</v>
      </c>
      <c r="B2684" t="s">
        <v>6</v>
      </c>
      <c r="C2684" s="31">
        <v>6552</v>
      </c>
      <c r="D2684" t="s">
        <v>85</v>
      </c>
      <c r="E2684" t="s">
        <v>109</v>
      </c>
      <c r="F2684">
        <v>1</v>
      </c>
      <c r="G2684" t="s">
        <v>69</v>
      </c>
      <c r="H2684" t="s">
        <v>112</v>
      </c>
      <c r="I2684">
        <v>4</v>
      </c>
      <c r="J2684" s="19">
        <f>WEEKNUM(tblRidershipData[[#This Row],[MeasurementDate]])</f>
        <v>3</v>
      </c>
      <c r="K2684" s="19">
        <f>MONTH(tblRidershipData[[#This Row],[MeasurementDate]])</f>
        <v>1</v>
      </c>
    </row>
    <row r="2685" spans="1:11" x14ac:dyDescent="0.25">
      <c r="A2685" s="31">
        <v>43847</v>
      </c>
      <c r="B2685" t="s">
        <v>6</v>
      </c>
      <c r="C2685" s="31">
        <v>6552</v>
      </c>
      <c r="D2685" t="s">
        <v>85</v>
      </c>
      <c r="E2685" t="s">
        <v>109</v>
      </c>
      <c r="F2685">
        <v>1</v>
      </c>
      <c r="G2685" t="s">
        <v>70</v>
      </c>
      <c r="H2685" t="s">
        <v>112</v>
      </c>
      <c r="I2685">
        <v>1</v>
      </c>
      <c r="J2685" s="19">
        <f>WEEKNUM(tblRidershipData[[#This Row],[MeasurementDate]])</f>
        <v>3</v>
      </c>
      <c r="K2685" s="19">
        <f>MONTH(tblRidershipData[[#This Row],[MeasurementDate]])</f>
        <v>1</v>
      </c>
    </row>
    <row r="2686" spans="1:11" x14ac:dyDescent="0.25">
      <c r="A2686" s="31">
        <v>43847</v>
      </c>
      <c r="B2686" t="s">
        <v>6</v>
      </c>
      <c r="C2686" s="31">
        <v>6552</v>
      </c>
      <c r="D2686" t="s">
        <v>85</v>
      </c>
      <c r="E2686" t="s">
        <v>109</v>
      </c>
      <c r="F2686">
        <v>1</v>
      </c>
      <c r="G2686" t="s">
        <v>71</v>
      </c>
      <c r="H2686" t="s">
        <v>112</v>
      </c>
      <c r="I2686">
        <v>28</v>
      </c>
      <c r="J2686" s="19">
        <f>WEEKNUM(tblRidershipData[[#This Row],[MeasurementDate]])</f>
        <v>3</v>
      </c>
      <c r="K2686" s="19">
        <f>MONTH(tblRidershipData[[#This Row],[MeasurementDate]])</f>
        <v>1</v>
      </c>
    </row>
    <row r="2687" spans="1:11" x14ac:dyDescent="0.25">
      <c r="A2687" s="31">
        <v>43847</v>
      </c>
      <c r="B2687" t="s">
        <v>6</v>
      </c>
      <c r="C2687" s="31">
        <v>6552</v>
      </c>
      <c r="D2687" t="s">
        <v>85</v>
      </c>
      <c r="E2687" t="s">
        <v>109</v>
      </c>
      <c r="F2687">
        <v>1</v>
      </c>
      <c r="G2687" t="s">
        <v>76</v>
      </c>
      <c r="H2687" t="s">
        <v>112</v>
      </c>
      <c r="I2687">
        <v>3</v>
      </c>
      <c r="J2687" s="19">
        <f>WEEKNUM(tblRidershipData[[#This Row],[MeasurementDate]])</f>
        <v>3</v>
      </c>
      <c r="K2687" s="19">
        <f>MONTH(tblRidershipData[[#This Row],[MeasurementDate]])</f>
        <v>1</v>
      </c>
    </row>
    <row r="2688" spans="1:11" x14ac:dyDescent="0.25">
      <c r="A2688" s="31">
        <v>43847</v>
      </c>
      <c r="B2688" t="s">
        <v>6</v>
      </c>
      <c r="C2688" s="31">
        <v>6552</v>
      </c>
      <c r="D2688" t="s">
        <v>85</v>
      </c>
      <c r="E2688" t="s">
        <v>109</v>
      </c>
      <c r="F2688">
        <v>2</v>
      </c>
      <c r="G2688" t="s">
        <v>43</v>
      </c>
      <c r="H2688" t="s">
        <v>112</v>
      </c>
      <c r="I2688">
        <v>1</v>
      </c>
      <c r="J2688" s="19">
        <f>WEEKNUM(tblRidershipData[[#This Row],[MeasurementDate]])</f>
        <v>3</v>
      </c>
      <c r="K2688" s="19">
        <f>MONTH(tblRidershipData[[#This Row],[MeasurementDate]])</f>
        <v>1</v>
      </c>
    </row>
    <row r="2689" spans="1:11" x14ac:dyDescent="0.25">
      <c r="A2689" s="31">
        <v>43847</v>
      </c>
      <c r="B2689" t="s">
        <v>6</v>
      </c>
      <c r="C2689" s="31">
        <v>6552</v>
      </c>
      <c r="D2689" t="s">
        <v>85</v>
      </c>
      <c r="E2689" t="s">
        <v>109</v>
      </c>
      <c r="F2689">
        <v>2</v>
      </c>
      <c r="G2689" t="s">
        <v>46</v>
      </c>
      <c r="H2689" t="s">
        <v>112</v>
      </c>
      <c r="I2689">
        <v>2</v>
      </c>
      <c r="J2689" s="19">
        <f>WEEKNUM(tblRidershipData[[#This Row],[MeasurementDate]])</f>
        <v>3</v>
      </c>
      <c r="K2689" s="19">
        <f>MONTH(tblRidershipData[[#This Row],[MeasurementDate]])</f>
        <v>1</v>
      </c>
    </row>
    <row r="2690" spans="1:11" x14ac:dyDescent="0.25">
      <c r="A2690" s="31">
        <v>43847</v>
      </c>
      <c r="B2690" t="s">
        <v>6</v>
      </c>
      <c r="C2690" s="31">
        <v>6552</v>
      </c>
      <c r="D2690" t="s">
        <v>85</v>
      </c>
      <c r="E2690" t="s">
        <v>109</v>
      </c>
      <c r="F2690">
        <v>2</v>
      </c>
      <c r="G2690" t="s">
        <v>71</v>
      </c>
      <c r="H2690" t="s">
        <v>112</v>
      </c>
      <c r="I2690">
        <v>1</v>
      </c>
      <c r="J2690" s="19">
        <f>WEEKNUM(tblRidershipData[[#This Row],[MeasurementDate]])</f>
        <v>3</v>
      </c>
      <c r="K2690" s="19">
        <f>MONTH(tblRidershipData[[#This Row],[MeasurementDate]])</f>
        <v>1</v>
      </c>
    </row>
    <row r="2691" spans="1:11" x14ac:dyDescent="0.25">
      <c r="A2691" s="31">
        <v>43847</v>
      </c>
      <c r="B2691" t="s">
        <v>6</v>
      </c>
      <c r="C2691" s="31">
        <v>7307</v>
      </c>
      <c r="D2691" t="s">
        <v>82</v>
      </c>
      <c r="E2691" t="s">
        <v>111</v>
      </c>
      <c r="F2691">
        <v>1</v>
      </c>
      <c r="G2691" t="s">
        <v>46</v>
      </c>
      <c r="H2691" t="s">
        <v>110</v>
      </c>
      <c r="I2691">
        <v>2</v>
      </c>
      <c r="J2691" s="19">
        <f>WEEKNUM(tblRidershipData[[#This Row],[MeasurementDate]])</f>
        <v>3</v>
      </c>
      <c r="K2691" s="19">
        <f>MONTH(tblRidershipData[[#This Row],[MeasurementDate]])</f>
        <v>1</v>
      </c>
    </row>
    <row r="2692" spans="1:11" x14ac:dyDescent="0.25">
      <c r="A2692" s="31">
        <v>43847</v>
      </c>
      <c r="B2692" t="s">
        <v>6</v>
      </c>
      <c r="C2692" s="31">
        <v>7307</v>
      </c>
      <c r="D2692" t="s">
        <v>82</v>
      </c>
      <c r="E2692" t="s">
        <v>111</v>
      </c>
      <c r="F2692">
        <v>1</v>
      </c>
      <c r="G2692" t="s">
        <v>55</v>
      </c>
      <c r="H2692" t="s">
        <v>110</v>
      </c>
      <c r="I2692">
        <v>4</v>
      </c>
      <c r="J2692" s="19">
        <f>WEEKNUM(tblRidershipData[[#This Row],[MeasurementDate]])</f>
        <v>3</v>
      </c>
      <c r="K2692" s="19">
        <f>MONTH(tblRidershipData[[#This Row],[MeasurementDate]])</f>
        <v>1</v>
      </c>
    </row>
    <row r="2693" spans="1:11" x14ac:dyDescent="0.25">
      <c r="A2693" s="31">
        <v>43847</v>
      </c>
      <c r="B2693" t="s">
        <v>6</v>
      </c>
      <c r="C2693" s="31">
        <v>7307</v>
      </c>
      <c r="D2693" t="s">
        <v>82</v>
      </c>
      <c r="E2693" t="s">
        <v>111</v>
      </c>
      <c r="F2693">
        <v>1</v>
      </c>
      <c r="G2693" t="s">
        <v>59</v>
      </c>
      <c r="H2693" t="s">
        <v>110</v>
      </c>
      <c r="I2693">
        <v>31</v>
      </c>
      <c r="J2693" s="19">
        <f>WEEKNUM(tblRidershipData[[#This Row],[MeasurementDate]])</f>
        <v>3</v>
      </c>
      <c r="K2693" s="19">
        <f>MONTH(tblRidershipData[[#This Row],[MeasurementDate]])</f>
        <v>1</v>
      </c>
    </row>
    <row r="2694" spans="1:11" x14ac:dyDescent="0.25">
      <c r="A2694" s="31">
        <v>43847</v>
      </c>
      <c r="B2694" t="s">
        <v>6</v>
      </c>
      <c r="C2694" s="31">
        <v>7307</v>
      </c>
      <c r="D2694" t="s">
        <v>82</v>
      </c>
      <c r="E2694" t="s">
        <v>111</v>
      </c>
      <c r="F2694">
        <v>1</v>
      </c>
      <c r="G2694" t="s">
        <v>69</v>
      </c>
      <c r="H2694" t="s">
        <v>110</v>
      </c>
      <c r="I2694">
        <v>18</v>
      </c>
      <c r="J2694" s="19">
        <f>WEEKNUM(tblRidershipData[[#This Row],[MeasurementDate]])</f>
        <v>3</v>
      </c>
      <c r="K2694" s="19">
        <f>MONTH(tblRidershipData[[#This Row],[MeasurementDate]])</f>
        <v>1</v>
      </c>
    </row>
    <row r="2695" spans="1:11" x14ac:dyDescent="0.25">
      <c r="A2695" s="31">
        <v>43847</v>
      </c>
      <c r="B2695" t="s">
        <v>6</v>
      </c>
      <c r="C2695" s="31">
        <v>7307</v>
      </c>
      <c r="D2695" t="s">
        <v>82</v>
      </c>
      <c r="E2695" t="s">
        <v>111</v>
      </c>
      <c r="F2695">
        <v>1</v>
      </c>
      <c r="G2695" t="s">
        <v>70</v>
      </c>
      <c r="H2695" t="s">
        <v>110</v>
      </c>
      <c r="I2695">
        <v>1</v>
      </c>
      <c r="J2695" s="19">
        <f>WEEKNUM(tblRidershipData[[#This Row],[MeasurementDate]])</f>
        <v>3</v>
      </c>
      <c r="K2695" s="19">
        <f>MONTH(tblRidershipData[[#This Row],[MeasurementDate]])</f>
        <v>1</v>
      </c>
    </row>
    <row r="2696" spans="1:11" x14ac:dyDescent="0.25">
      <c r="A2696" s="31">
        <v>43847</v>
      </c>
      <c r="B2696" t="s">
        <v>6</v>
      </c>
      <c r="C2696" s="31">
        <v>7307</v>
      </c>
      <c r="D2696" t="s">
        <v>82</v>
      </c>
      <c r="E2696" t="s">
        <v>111</v>
      </c>
      <c r="F2696">
        <v>1</v>
      </c>
      <c r="G2696" t="s">
        <v>73</v>
      </c>
      <c r="H2696" t="s">
        <v>110</v>
      </c>
      <c r="I2696">
        <v>12</v>
      </c>
      <c r="J2696" s="19">
        <f>WEEKNUM(tblRidershipData[[#This Row],[MeasurementDate]])</f>
        <v>3</v>
      </c>
      <c r="K2696" s="19">
        <f>MONTH(tblRidershipData[[#This Row],[MeasurementDate]])</f>
        <v>1</v>
      </c>
    </row>
    <row r="2697" spans="1:11" x14ac:dyDescent="0.25">
      <c r="A2697" s="31">
        <v>43847</v>
      </c>
      <c r="B2697" t="s">
        <v>6</v>
      </c>
      <c r="C2697" s="31">
        <v>7307</v>
      </c>
      <c r="D2697" t="s">
        <v>82</v>
      </c>
      <c r="E2697" t="s">
        <v>111</v>
      </c>
      <c r="F2697">
        <v>1</v>
      </c>
      <c r="G2697" t="s">
        <v>74</v>
      </c>
      <c r="H2697" t="s">
        <v>110</v>
      </c>
      <c r="I2697">
        <v>2</v>
      </c>
      <c r="J2697" s="19">
        <f>WEEKNUM(tblRidershipData[[#This Row],[MeasurementDate]])</f>
        <v>3</v>
      </c>
      <c r="K2697" s="19">
        <f>MONTH(tblRidershipData[[#This Row],[MeasurementDate]])</f>
        <v>1</v>
      </c>
    </row>
    <row r="2698" spans="1:11" x14ac:dyDescent="0.25">
      <c r="A2698" s="31">
        <v>43847</v>
      </c>
      <c r="B2698" t="s">
        <v>6</v>
      </c>
      <c r="C2698" s="31">
        <v>7307</v>
      </c>
      <c r="D2698" t="s">
        <v>82</v>
      </c>
      <c r="E2698" t="s">
        <v>109</v>
      </c>
      <c r="F2698">
        <v>1</v>
      </c>
      <c r="G2698" t="s">
        <v>43</v>
      </c>
      <c r="H2698" t="s">
        <v>110</v>
      </c>
      <c r="I2698">
        <v>4</v>
      </c>
      <c r="J2698" s="19">
        <f>WEEKNUM(tblRidershipData[[#This Row],[MeasurementDate]])</f>
        <v>3</v>
      </c>
      <c r="K2698" s="19">
        <f>MONTH(tblRidershipData[[#This Row],[MeasurementDate]])</f>
        <v>1</v>
      </c>
    </row>
    <row r="2699" spans="1:11" x14ac:dyDescent="0.25">
      <c r="A2699" s="31">
        <v>43847</v>
      </c>
      <c r="B2699" t="s">
        <v>6</v>
      </c>
      <c r="C2699" s="31">
        <v>7307</v>
      </c>
      <c r="D2699" t="s">
        <v>82</v>
      </c>
      <c r="E2699" t="s">
        <v>109</v>
      </c>
      <c r="F2699">
        <v>1</v>
      </c>
      <c r="G2699" t="s">
        <v>44</v>
      </c>
      <c r="H2699" t="s">
        <v>110</v>
      </c>
      <c r="I2699">
        <v>1</v>
      </c>
      <c r="J2699" s="19">
        <f>WEEKNUM(tblRidershipData[[#This Row],[MeasurementDate]])</f>
        <v>3</v>
      </c>
      <c r="K2699" s="19">
        <f>MONTH(tblRidershipData[[#This Row],[MeasurementDate]])</f>
        <v>1</v>
      </c>
    </row>
    <row r="2700" spans="1:11" x14ac:dyDescent="0.25">
      <c r="A2700" s="31">
        <v>43847</v>
      </c>
      <c r="B2700" t="s">
        <v>6</v>
      </c>
      <c r="C2700" s="31">
        <v>7307</v>
      </c>
      <c r="D2700" t="s">
        <v>82</v>
      </c>
      <c r="E2700" t="s">
        <v>109</v>
      </c>
      <c r="F2700">
        <v>1</v>
      </c>
      <c r="G2700" t="s">
        <v>46</v>
      </c>
      <c r="H2700" t="s">
        <v>110</v>
      </c>
      <c r="I2700">
        <v>5</v>
      </c>
      <c r="J2700" s="19">
        <f>WEEKNUM(tblRidershipData[[#This Row],[MeasurementDate]])</f>
        <v>3</v>
      </c>
      <c r="K2700" s="19">
        <f>MONTH(tblRidershipData[[#This Row],[MeasurementDate]])</f>
        <v>1</v>
      </c>
    </row>
    <row r="2701" spans="1:11" x14ac:dyDescent="0.25">
      <c r="A2701" s="31">
        <v>43847</v>
      </c>
      <c r="B2701" t="s">
        <v>6</v>
      </c>
      <c r="C2701" s="31">
        <v>7307</v>
      </c>
      <c r="D2701" t="s">
        <v>82</v>
      </c>
      <c r="E2701" t="s">
        <v>109</v>
      </c>
      <c r="F2701">
        <v>1</v>
      </c>
      <c r="G2701" t="s">
        <v>54</v>
      </c>
      <c r="H2701" t="s">
        <v>110</v>
      </c>
      <c r="I2701">
        <v>3</v>
      </c>
      <c r="J2701" s="19">
        <f>WEEKNUM(tblRidershipData[[#This Row],[MeasurementDate]])</f>
        <v>3</v>
      </c>
      <c r="K2701" s="19">
        <f>MONTH(tblRidershipData[[#This Row],[MeasurementDate]])</f>
        <v>1</v>
      </c>
    </row>
    <row r="2702" spans="1:11" x14ac:dyDescent="0.25">
      <c r="A2702" s="31">
        <v>43847</v>
      </c>
      <c r="B2702" t="s">
        <v>6</v>
      </c>
      <c r="C2702" s="31">
        <v>7307</v>
      </c>
      <c r="D2702" t="s">
        <v>82</v>
      </c>
      <c r="E2702" t="s">
        <v>109</v>
      </c>
      <c r="F2702">
        <v>1</v>
      </c>
      <c r="G2702" t="s">
        <v>55</v>
      </c>
      <c r="H2702" t="s">
        <v>110</v>
      </c>
      <c r="I2702">
        <v>8</v>
      </c>
      <c r="J2702" s="19">
        <f>WEEKNUM(tblRidershipData[[#This Row],[MeasurementDate]])</f>
        <v>3</v>
      </c>
      <c r="K2702" s="19">
        <f>MONTH(tblRidershipData[[#This Row],[MeasurementDate]])</f>
        <v>1</v>
      </c>
    </row>
    <row r="2703" spans="1:11" x14ac:dyDescent="0.25">
      <c r="A2703" s="31">
        <v>43847</v>
      </c>
      <c r="B2703" t="s">
        <v>6</v>
      </c>
      <c r="C2703" s="31">
        <v>7307</v>
      </c>
      <c r="D2703" t="s">
        <v>82</v>
      </c>
      <c r="E2703" t="s">
        <v>109</v>
      </c>
      <c r="F2703">
        <v>1</v>
      </c>
      <c r="G2703" t="s">
        <v>59</v>
      </c>
      <c r="H2703" t="s">
        <v>110</v>
      </c>
      <c r="I2703">
        <v>4</v>
      </c>
      <c r="J2703" s="19">
        <f>WEEKNUM(tblRidershipData[[#This Row],[MeasurementDate]])</f>
        <v>3</v>
      </c>
      <c r="K2703" s="19">
        <f>MONTH(tblRidershipData[[#This Row],[MeasurementDate]])</f>
        <v>1</v>
      </c>
    </row>
    <row r="2704" spans="1:11" x14ac:dyDescent="0.25">
      <c r="A2704" s="31">
        <v>43847</v>
      </c>
      <c r="B2704" t="s">
        <v>6</v>
      </c>
      <c r="C2704" s="31">
        <v>7307</v>
      </c>
      <c r="D2704" t="s">
        <v>82</v>
      </c>
      <c r="E2704" t="s">
        <v>109</v>
      </c>
      <c r="F2704">
        <v>1</v>
      </c>
      <c r="G2704" t="s">
        <v>60</v>
      </c>
      <c r="H2704" t="s">
        <v>110</v>
      </c>
      <c r="I2704">
        <v>4</v>
      </c>
      <c r="J2704" s="19">
        <f>WEEKNUM(tblRidershipData[[#This Row],[MeasurementDate]])</f>
        <v>3</v>
      </c>
      <c r="K2704" s="19">
        <f>MONTH(tblRidershipData[[#This Row],[MeasurementDate]])</f>
        <v>1</v>
      </c>
    </row>
    <row r="2705" spans="1:11" x14ac:dyDescent="0.25">
      <c r="A2705" s="31">
        <v>43847</v>
      </c>
      <c r="B2705" t="s">
        <v>6</v>
      </c>
      <c r="C2705" s="31">
        <v>7307</v>
      </c>
      <c r="D2705" t="s">
        <v>82</v>
      </c>
      <c r="E2705" t="s">
        <v>109</v>
      </c>
      <c r="F2705">
        <v>1</v>
      </c>
      <c r="G2705" t="s">
        <v>64</v>
      </c>
      <c r="H2705" t="s">
        <v>110</v>
      </c>
      <c r="I2705">
        <v>5</v>
      </c>
      <c r="J2705" s="19">
        <f>WEEKNUM(tblRidershipData[[#This Row],[MeasurementDate]])</f>
        <v>3</v>
      </c>
      <c r="K2705" s="19">
        <f>MONTH(tblRidershipData[[#This Row],[MeasurementDate]])</f>
        <v>1</v>
      </c>
    </row>
    <row r="2706" spans="1:11" x14ac:dyDescent="0.25">
      <c r="A2706" s="31">
        <v>43847</v>
      </c>
      <c r="B2706" t="s">
        <v>6</v>
      </c>
      <c r="C2706" s="31">
        <v>7307</v>
      </c>
      <c r="D2706" t="s">
        <v>82</v>
      </c>
      <c r="E2706" t="s">
        <v>109</v>
      </c>
      <c r="F2706">
        <v>1</v>
      </c>
      <c r="G2706" t="s">
        <v>66</v>
      </c>
      <c r="H2706" t="s">
        <v>110</v>
      </c>
      <c r="I2706">
        <v>5</v>
      </c>
      <c r="J2706" s="19">
        <f>WEEKNUM(tblRidershipData[[#This Row],[MeasurementDate]])</f>
        <v>3</v>
      </c>
      <c r="K2706" s="19">
        <f>MONTH(tblRidershipData[[#This Row],[MeasurementDate]])</f>
        <v>1</v>
      </c>
    </row>
    <row r="2707" spans="1:11" x14ac:dyDescent="0.25">
      <c r="A2707" s="31">
        <v>43847</v>
      </c>
      <c r="B2707" t="s">
        <v>6</v>
      </c>
      <c r="C2707" s="31">
        <v>7307</v>
      </c>
      <c r="D2707" t="s">
        <v>82</v>
      </c>
      <c r="E2707" t="s">
        <v>109</v>
      </c>
      <c r="F2707">
        <v>1</v>
      </c>
      <c r="G2707" t="s">
        <v>69</v>
      </c>
      <c r="H2707" t="s">
        <v>110</v>
      </c>
      <c r="I2707">
        <v>14</v>
      </c>
      <c r="J2707" s="19">
        <f>WEEKNUM(tblRidershipData[[#This Row],[MeasurementDate]])</f>
        <v>3</v>
      </c>
      <c r="K2707" s="19">
        <f>MONTH(tblRidershipData[[#This Row],[MeasurementDate]])</f>
        <v>1</v>
      </c>
    </row>
    <row r="2708" spans="1:11" x14ac:dyDescent="0.25">
      <c r="A2708" s="31">
        <v>43847</v>
      </c>
      <c r="B2708" t="s">
        <v>6</v>
      </c>
      <c r="C2708" s="31">
        <v>7307</v>
      </c>
      <c r="D2708" t="s">
        <v>82</v>
      </c>
      <c r="E2708" t="s">
        <v>109</v>
      </c>
      <c r="F2708">
        <v>1</v>
      </c>
      <c r="G2708" t="s">
        <v>70</v>
      </c>
      <c r="H2708" t="s">
        <v>110</v>
      </c>
      <c r="I2708">
        <v>9</v>
      </c>
      <c r="J2708" s="19">
        <f>WEEKNUM(tblRidershipData[[#This Row],[MeasurementDate]])</f>
        <v>3</v>
      </c>
      <c r="K2708" s="19">
        <f>MONTH(tblRidershipData[[#This Row],[MeasurementDate]])</f>
        <v>1</v>
      </c>
    </row>
    <row r="2709" spans="1:11" x14ac:dyDescent="0.25">
      <c r="A2709" s="31">
        <v>43847</v>
      </c>
      <c r="B2709" t="s">
        <v>6</v>
      </c>
      <c r="C2709" s="31">
        <v>7307</v>
      </c>
      <c r="D2709" t="s">
        <v>82</v>
      </c>
      <c r="E2709" t="s">
        <v>109</v>
      </c>
      <c r="F2709">
        <v>1</v>
      </c>
      <c r="G2709" t="s">
        <v>71</v>
      </c>
      <c r="H2709" t="s">
        <v>110</v>
      </c>
      <c r="I2709">
        <v>10</v>
      </c>
      <c r="J2709" s="19">
        <f>WEEKNUM(tblRidershipData[[#This Row],[MeasurementDate]])</f>
        <v>3</v>
      </c>
      <c r="K2709" s="19">
        <f>MONTH(tblRidershipData[[#This Row],[MeasurementDate]])</f>
        <v>1</v>
      </c>
    </row>
    <row r="2710" spans="1:11" x14ac:dyDescent="0.25">
      <c r="A2710" s="31">
        <v>43847</v>
      </c>
      <c r="B2710" t="s">
        <v>6</v>
      </c>
      <c r="C2710" s="31">
        <v>7307</v>
      </c>
      <c r="D2710" t="s">
        <v>82</v>
      </c>
      <c r="E2710" t="s">
        <v>109</v>
      </c>
      <c r="F2710">
        <v>1</v>
      </c>
      <c r="G2710" t="s">
        <v>73</v>
      </c>
      <c r="H2710" t="s">
        <v>110</v>
      </c>
      <c r="I2710">
        <v>1</v>
      </c>
      <c r="J2710" s="19">
        <f>WEEKNUM(tblRidershipData[[#This Row],[MeasurementDate]])</f>
        <v>3</v>
      </c>
      <c r="K2710" s="19">
        <f>MONTH(tblRidershipData[[#This Row],[MeasurementDate]])</f>
        <v>1</v>
      </c>
    </row>
    <row r="2711" spans="1:11" x14ac:dyDescent="0.25">
      <c r="A2711" s="31">
        <v>43847</v>
      </c>
      <c r="B2711" t="s">
        <v>6</v>
      </c>
      <c r="C2711" s="31">
        <v>7307</v>
      </c>
      <c r="D2711" t="s">
        <v>82</v>
      </c>
      <c r="E2711" t="s">
        <v>109</v>
      </c>
      <c r="F2711">
        <v>1</v>
      </c>
      <c r="G2711" t="s">
        <v>76</v>
      </c>
      <c r="H2711" t="s">
        <v>110</v>
      </c>
      <c r="I2711">
        <v>3</v>
      </c>
      <c r="J2711" s="19">
        <f>WEEKNUM(tblRidershipData[[#This Row],[MeasurementDate]])</f>
        <v>3</v>
      </c>
      <c r="K2711" s="19">
        <f>MONTH(tblRidershipData[[#This Row],[MeasurementDate]])</f>
        <v>1</v>
      </c>
    </row>
    <row r="2712" spans="1:11" x14ac:dyDescent="0.25">
      <c r="A2712" s="31">
        <v>43847</v>
      </c>
      <c r="B2712" t="s">
        <v>6</v>
      </c>
      <c r="C2712" s="31">
        <v>7307</v>
      </c>
      <c r="D2712" t="s">
        <v>82</v>
      </c>
      <c r="E2712" t="s">
        <v>109</v>
      </c>
      <c r="F2712">
        <v>2</v>
      </c>
      <c r="G2712" t="s">
        <v>43</v>
      </c>
      <c r="H2712" t="s">
        <v>110</v>
      </c>
      <c r="I2712">
        <v>5</v>
      </c>
      <c r="J2712" s="19">
        <f>WEEKNUM(tblRidershipData[[#This Row],[MeasurementDate]])</f>
        <v>3</v>
      </c>
      <c r="K2712" s="19">
        <f>MONTH(tblRidershipData[[#This Row],[MeasurementDate]])</f>
        <v>1</v>
      </c>
    </row>
    <row r="2713" spans="1:11" x14ac:dyDescent="0.25">
      <c r="A2713" s="31">
        <v>43847</v>
      </c>
      <c r="B2713" t="s">
        <v>6</v>
      </c>
      <c r="C2713" s="31">
        <v>7307</v>
      </c>
      <c r="D2713" t="s">
        <v>82</v>
      </c>
      <c r="E2713" t="s">
        <v>109</v>
      </c>
      <c r="F2713">
        <v>2</v>
      </c>
      <c r="G2713" t="s">
        <v>46</v>
      </c>
      <c r="H2713" t="s">
        <v>110</v>
      </c>
      <c r="I2713">
        <v>4</v>
      </c>
      <c r="J2713" s="19">
        <f>WEEKNUM(tblRidershipData[[#This Row],[MeasurementDate]])</f>
        <v>3</v>
      </c>
      <c r="K2713" s="19">
        <f>MONTH(tblRidershipData[[#This Row],[MeasurementDate]])</f>
        <v>1</v>
      </c>
    </row>
    <row r="2714" spans="1:11" x14ac:dyDescent="0.25">
      <c r="A2714" s="31">
        <v>43847</v>
      </c>
      <c r="B2714" t="s">
        <v>6</v>
      </c>
      <c r="C2714" s="31">
        <v>7307</v>
      </c>
      <c r="D2714" t="s">
        <v>82</v>
      </c>
      <c r="E2714" t="s">
        <v>109</v>
      </c>
      <c r="F2714">
        <v>2</v>
      </c>
      <c r="G2714" t="s">
        <v>47</v>
      </c>
      <c r="H2714" t="s">
        <v>110</v>
      </c>
      <c r="I2714">
        <v>1</v>
      </c>
      <c r="J2714" s="19">
        <f>WEEKNUM(tblRidershipData[[#This Row],[MeasurementDate]])</f>
        <v>3</v>
      </c>
      <c r="K2714" s="19">
        <f>MONTH(tblRidershipData[[#This Row],[MeasurementDate]])</f>
        <v>1</v>
      </c>
    </row>
    <row r="2715" spans="1:11" x14ac:dyDescent="0.25">
      <c r="A2715" s="31">
        <v>43847</v>
      </c>
      <c r="B2715" t="s">
        <v>6</v>
      </c>
      <c r="C2715" s="31">
        <v>7307</v>
      </c>
      <c r="D2715" t="s">
        <v>82</v>
      </c>
      <c r="E2715" t="s">
        <v>109</v>
      </c>
      <c r="F2715">
        <v>2</v>
      </c>
      <c r="G2715" t="s">
        <v>66</v>
      </c>
      <c r="H2715" t="s">
        <v>110</v>
      </c>
      <c r="I2715">
        <v>22</v>
      </c>
      <c r="J2715" s="19">
        <f>WEEKNUM(tblRidershipData[[#This Row],[MeasurementDate]])</f>
        <v>3</v>
      </c>
      <c r="K2715" s="19">
        <f>MONTH(tblRidershipData[[#This Row],[MeasurementDate]])</f>
        <v>1</v>
      </c>
    </row>
    <row r="2716" spans="1:11" x14ac:dyDescent="0.25">
      <c r="A2716" s="31">
        <v>43847</v>
      </c>
      <c r="B2716" t="s">
        <v>6</v>
      </c>
      <c r="C2716" s="31">
        <v>7307</v>
      </c>
      <c r="D2716" t="s">
        <v>82</v>
      </c>
      <c r="E2716" t="s">
        <v>111</v>
      </c>
      <c r="F2716">
        <v>1</v>
      </c>
      <c r="G2716" t="s">
        <v>43</v>
      </c>
      <c r="H2716" t="s">
        <v>112</v>
      </c>
      <c r="I2716">
        <v>10</v>
      </c>
      <c r="J2716" s="19">
        <f>WEEKNUM(tblRidershipData[[#This Row],[MeasurementDate]])</f>
        <v>3</v>
      </c>
      <c r="K2716" s="19">
        <f>MONTH(tblRidershipData[[#This Row],[MeasurementDate]])</f>
        <v>1</v>
      </c>
    </row>
    <row r="2717" spans="1:11" x14ac:dyDescent="0.25">
      <c r="A2717" s="31">
        <v>43847</v>
      </c>
      <c r="B2717" t="s">
        <v>6</v>
      </c>
      <c r="C2717" s="31">
        <v>7307</v>
      </c>
      <c r="D2717" t="s">
        <v>82</v>
      </c>
      <c r="E2717" t="s">
        <v>111</v>
      </c>
      <c r="F2717">
        <v>1</v>
      </c>
      <c r="G2717" t="s">
        <v>44</v>
      </c>
      <c r="H2717" t="s">
        <v>112</v>
      </c>
      <c r="I2717">
        <v>2</v>
      </c>
      <c r="J2717" s="19">
        <f>WEEKNUM(tblRidershipData[[#This Row],[MeasurementDate]])</f>
        <v>3</v>
      </c>
      <c r="K2717" s="19">
        <f>MONTH(tblRidershipData[[#This Row],[MeasurementDate]])</f>
        <v>1</v>
      </c>
    </row>
    <row r="2718" spans="1:11" x14ac:dyDescent="0.25">
      <c r="A2718" s="31">
        <v>43847</v>
      </c>
      <c r="B2718" t="s">
        <v>6</v>
      </c>
      <c r="C2718" s="31">
        <v>7307</v>
      </c>
      <c r="D2718" t="s">
        <v>82</v>
      </c>
      <c r="E2718" t="s">
        <v>111</v>
      </c>
      <c r="F2718">
        <v>1</v>
      </c>
      <c r="G2718" t="s">
        <v>46</v>
      </c>
      <c r="H2718" t="s">
        <v>112</v>
      </c>
      <c r="I2718">
        <v>18</v>
      </c>
      <c r="J2718" s="19">
        <f>WEEKNUM(tblRidershipData[[#This Row],[MeasurementDate]])</f>
        <v>3</v>
      </c>
      <c r="K2718" s="19">
        <f>MONTH(tblRidershipData[[#This Row],[MeasurementDate]])</f>
        <v>1</v>
      </c>
    </row>
    <row r="2719" spans="1:11" x14ac:dyDescent="0.25">
      <c r="A2719" s="31">
        <v>43847</v>
      </c>
      <c r="B2719" t="s">
        <v>6</v>
      </c>
      <c r="C2719" s="31">
        <v>7307</v>
      </c>
      <c r="D2719" t="s">
        <v>82</v>
      </c>
      <c r="E2719" t="s">
        <v>111</v>
      </c>
      <c r="F2719">
        <v>1</v>
      </c>
      <c r="G2719" t="s">
        <v>55</v>
      </c>
      <c r="H2719" t="s">
        <v>112</v>
      </c>
      <c r="I2719">
        <v>2</v>
      </c>
      <c r="J2719" s="19">
        <f>WEEKNUM(tblRidershipData[[#This Row],[MeasurementDate]])</f>
        <v>3</v>
      </c>
      <c r="K2719" s="19">
        <f>MONTH(tblRidershipData[[#This Row],[MeasurementDate]])</f>
        <v>1</v>
      </c>
    </row>
    <row r="2720" spans="1:11" x14ac:dyDescent="0.25">
      <c r="A2720" s="31">
        <v>43847</v>
      </c>
      <c r="B2720" t="s">
        <v>6</v>
      </c>
      <c r="C2720" s="31">
        <v>7307</v>
      </c>
      <c r="D2720" t="s">
        <v>82</v>
      </c>
      <c r="E2720" t="s">
        <v>111</v>
      </c>
      <c r="F2720">
        <v>1</v>
      </c>
      <c r="G2720" t="s">
        <v>59</v>
      </c>
      <c r="H2720" t="s">
        <v>112</v>
      </c>
      <c r="I2720">
        <v>3</v>
      </c>
      <c r="J2720" s="19">
        <f>WEEKNUM(tblRidershipData[[#This Row],[MeasurementDate]])</f>
        <v>3</v>
      </c>
      <c r="K2720" s="19">
        <f>MONTH(tblRidershipData[[#This Row],[MeasurementDate]])</f>
        <v>1</v>
      </c>
    </row>
    <row r="2721" spans="1:11" x14ac:dyDescent="0.25">
      <c r="A2721" s="31">
        <v>43847</v>
      </c>
      <c r="B2721" t="s">
        <v>6</v>
      </c>
      <c r="C2721" s="31">
        <v>7307</v>
      </c>
      <c r="D2721" t="s">
        <v>82</v>
      </c>
      <c r="E2721" t="s">
        <v>111</v>
      </c>
      <c r="F2721">
        <v>1</v>
      </c>
      <c r="G2721" t="s">
        <v>67</v>
      </c>
      <c r="H2721" t="s">
        <v>112</v>
      </c>
      <c r="I2721">
        <v>11</v>
      </c>
      <c r="J2721" s="19">
        <f>WEEKNUM(tblRidershipData[[#This Row],[MeasurementDate]])</f>
        <v>3</v>
      </c>
      <c r="K2721" s="19">
        <f>MONTH(tblRidershipData[[#This Row],[MeasurementDate]])</f>
        <v>1</v>
      </c>
    </row>
    <row r="2722" spans="1:11" x14ac:dyDescent="0.25">
      <c r="A2722" s="31">
        <v>43847</v>
      </c>
      <c r="B2722" t="s">
        <v>6</v>
      </c>
      <c r="C2722" s="31">
        <v>7307</v>
      </c>
      <c r="D2722" t="s">
        <v>82</v>
      </c>
      <c r="E2722" t="s">
        <v>111</v>
      </c>
      <c r="F2722">
        <v>1</v>
      </c>
      <c r="G2722" t="s">
        <v>69</v>
      </c>
      <c r="H2722" t="s">
        <v>112</v>
      </c>
      <c r="I2722">
        <v>5</v>
      </c>
      <c r="J2722" s="19">
        <f>WEEKNUM(tblRidershipData[[#This Row],[MeasurementDate]])</f>
        <v>3</v>
      </c>
      <c r="K2722" s="19">
        <f>MONTH(tblRidershipData[[#This Row],[MeasurementDate]])</f>
        <v>1</v>
      </c>
    </row>
    <row r="2723" spans="1:11" x14ac:dyDescent="0.25">
      <c r="A2723" s="31">
        <v>43847</v>
      </c>
      <c r="B2723" t="s">
        <v>6</v>
      </c>
      <c r="C2723" s="31">
        <v>7307</v>
      </c>
      <c r="D2723" t="s">
        <v>82</v>
      </c>
      <c r="E2723" t="s">
        <v>111</v>
      </c>
      <c r="F2723">
        <v>1</v>
      </c>
      <c r="G2723" t="s">
        <v>70</v>
      </c>
      <c r="H2723" t="s">
        <v>112</v>
      </c>
      <c r="I2723">
        <v>2</v>
      </c>
      <c r="J2723" s="19">
        <f>WEEKNUM(tblRidershipData[[#This Row],[MeasurementDate]])</f>
        <v>3</v>
      </c>
      <c r="K2723" s="19">
        <f>MONTH(tblRidershipData[[#This Row],[MeasurementDate]])</f>
        <v>1</v>
      </c>
    </row>
    <row r="2724" spans="1:11" x14ac:dyDescent="0.25">
      <c r="A2724" s="31">
        <v>43847</v>
      </c>
      <c r="B2724" t="s">
        <v>6</v>
      </c>
      <c r="C2724" s="31">
        <v>7307</v>
      </c>
      <c r="D2724" t="s">
        <v>82</v>
      </c>
      <c r="E2724" t="s">
        <v>111</v>
      </c>
      <c r="F2724">
        <v>1</v>
      </c>
      <c r="G2724" t="s">
        <v>71</v>
      </c>
      <c r="H2724" t="s">
        <v>112</v>
      </c>
      <c r="I2724">
        <v>4</v>
      </c>
      <c r="J2724" s="19">
        <f>WEEKNUM(tblRidershipData[[#This Row],[MeasurementDate]])</f>
        <v>3</v>
      </c>
      <c r="K2724" s="19">
        <f>MONTH(tblRidershipData[[#This Row],[MeasurementDate]])</f>
        <v>1</v>
      </c>
    </row>
    <row r="2725" spans="1:11" x14ac:dyDescent="0.25">
      <c r="A2725" s="31">
        <v>43847</v>
      </c>
      <c r="B2725" t="s">
        <v>6</v>
      </c>
      <c r="C2725" s="31">
        <v>7307</v>
      </c>
      <c r="D2725" t="s">
        <v>82</v>
      </c>
      <c r="E2725" t="s">
        <v>111</v>
      </c>
      <c r="F2725">
        <v>1</v>
      </c>
      <c r="G2725" t="s">
        <v>76</v>
      </c>
      <c r="H2725" t="s">
        <v>112</v>
      </c>
      <c r="I2725">
        <v>13</v>
      </c>
      <c r="J2725" s="19">
        <f>WEEKNUM(tblRidershipData[[#This Row],[MeasurementDate]])</f>
        <v>3</v>
      </c>
      <c r="K2725" s="19">
        <f>MONTH(tblRidershipData[[#This Row],[MeasurementDate]])</f>
        <v>1</v>
      </c>
    </row>
    <row r="2726" spans="1:11" x14ac:dyDescent="0.25">
      <c r="A2726" s="31">
        <v>43847</v>
      </c>
      <c r="B2726" t="s">
        <v>6</v>
      </c>
      <c r="C2726" s="31">
        <v>7307</v>
      </c>
      <c r="D2726" t="s">
        <v>82</v>
      </c>
      <c r="E2726" t="s">
        <v>109</v>
      </c>
      <c r="F2726">
        <v>1</v>
      </c>
      <c r="G2726" t="s">
        <v>42</v>
      </c>
      <c r="H2726" t="s">
        <v>112</v>
      </c>
      <c r="I2726">
        <v>16</v>
      </c>
      <c r="J2726" s="19">
        <f>WEEKNUM(tblRidershipData[[#This Row],[MeasurementDate]])</f>
        <v>3</v>
      </c>
      <c r="K2726" s="19">
        <f>MONTH(tblRidershipData[[#This Row],[MeasurementDate]])</f>
        <v>1</v>
      </c>
    </row>
    <row r="2727" spans="1:11" x14ac:dyDescent="0.25">
      <c r="A2727" s="31">
        <v>43847</v>
      </c>
      <c r="B2727" t="s">
        <v>6</v>
      </c>
      <c r="C2727" s="31">
        <v>7307</v>
      </c>
      <c r="D2727" t="s">
        <v>82</v>
      </c>
      <c r="E2727" t="s">
        <v>109</v>
      </c>
      <c r="F2727">
        <v>1</v>
      </c>
      <c r="G2727" t="s">
        <v>52</v>
      </c>
      <c r="H2727" t="s">
        <v>112</v>
      </c>
      <c r="I2727">
        <v>12</v>
      </c>
      <c r="J2727" s="19">
        <f>WEEKNUM(tblRidershipData[[#This Row],[MeasurementDate]])</f>
        <v>3</v>
      </c>
      <c r="K2727" s="19">
        <f>MONTH(tblRidershipData[[#This Row],[MeasurementDate]])</f>
        <v>1</v>
      </c>
    </row>
    <row r="2728" spans="1:11" x14ac:dyDescent="0.25">
      <c r="A2728" s="31">
        <v>43847</v>
      </c>
      <c r="B2728" t="s">
        <v>6</v>
      </c>
      <c r="C2728" s="31">
        <v>7307</v>
      </c>
      <c r="D2728" t="s">
        <v>82</v>
      </c>
      <c r="E2728" t="s">
        <v>109</v>
      </c>
      <c r="F2728">
        <v>1</v>
      </c>
      <c r="G2728" t="s">
        <v>64</v>
      </c>
      <c r="H2728" t="s">
        <v>112</v>
      </c>
      <c r="I2728">
        <v>11</v>
      </c>
      <c r="J2728" s="19">
        <f>WEEKNUM(tblRidershipData[[#This Row],[MeasurementDate]])</f>
        <v>3</v>
      </c>
      <c r="K2728" s="19">
        <f>MONTH(tblRidershipData[[#This Row],[MeasurementDate]])</f>
        <v>1</v>
      </c>
    </row>
    <row r="2729" spans="1:11" x14ac:dyDescent="0.25">
      <c r="A2729" s="31">
        <v>43847</v>
      </c>
      <c r="B2729" t="s">
        <v>6</v>
      </c>
      <c r="C2729" s="31">
        <v>7307</v>
      </c>
      <c r="D2729" t="s">
        <v>82</v>
      </c>
      <c r="E2729" t="s">
        <v>109</v>
      </c>
      <c r="F2729">
        <v>1</v>
      </c>
      <c r="G2729" t="s">
        <v>66</v>
      </c>
      <c r="H2729" t="s">
        <v>112</v>
      </c>
      <c r="I2729">
        <v>29</v>
      </c>
      <c r="J2729" s="19">
        <f>WEEKNUM(tblRidershipData[[#This Row],[MeasurementDate]])</f>
        <v>3</v>
      </c>
      <c r="K2729" s="19">
        <f>MONTH(tblRidershipData[[#This Row],[MeasurementDate]])</f>
        <v>1</v>
      </c>
    </row>
    <row r="2730" spans="1:11" x14ac:dyDescent="0.25">
      <c r="A2730" s="31">
        <v>43847</v>
      </c>
      <c r="B2730" t="s">
        <v>6</v>
      </c>
      <c r="C2730" s="31">
        <v>7307</v>
      </c>
      <c r="D2730" t="s">
        <v>82</v>
      </c>
      <c r="E2730" t="s">
        <v>109</v>
      </c>
      <c r="F2730">
        <v>1</v>
      </c>
      <c r="G2730" t="s">
        <v>68</v>
      </c>
      <c r="H2730" t="s">
        <v>112</v>
      </c>
      <c r="I2730">
        <v>13</v>
      </c>
      <c r="J2730" s="19">
        <f>WEEKNUM(tblRidershipData[[#This Row],[MeasurementDate]])</f>
        <v>3</v>
      </c>
      <c r="K2730" s="19">
        <f>MONTH(tblRidershipData[[#This Row],[MeasurementDate]])</f>
        <v>1</v>
      </c>
    </row>
    <row r="2731" spans="1:11" x14ac:dyDescent="0.25">
      <c r="A2731" s="31">
        <v>43847</v>
      </c>
      <c r="B2731" t="s">
        <v>6</v>
      </c>
      <c r="C2731" s="31">
        <v>7307</v>
      </c>
      <c r="D2731" t="s">
        <v>82</v>
      </c>
      <c r="E2731" t="s">
        <v>109</v>
      </c>
      <c r="F2731">
        <v>1</v>
      </c>
      <c r="G2731" t="s">
        <v>69</v>
      </c>
      <c r="H2731" t="s">
        <v>112</v>
      </c>
      <c r="I2731">
        <v>4</v>
      </c>
      <c r="J2731" s="19">
        <f>WEEKNUM(tblRidershipData[[#This Row],[MeasurementDate]])</f>
        <v>3</v>
      </c>
      <c r="K2731" s="19">
        <f>MONTH(tblRidershipData[[#This Row],[MeasurementDate]])</f>
        <v>1</v>
      </c>
    </row>
    <row r="2732" spans="1:11" x14ac:dyDescent="0.25">
      <c r="A2732" s="31">
        <v>43847</v>
      </c>
      <c r="B2732" t="s">
        <v>6</v>
      </c>
      <c r="C2732" s="31">
        <v>8312</v>
      </c>
      <c r="D2732" t="s">
        <v>83</v>
      </c>
      <c r="E2732" t="s">
        <v>111</v>
      </c>
      <c r="F2732">
        <v>1</v>
      </c>
      <c r="G2732" t="s">
        <v>42</v>
      </c>
      <c r="H2732" t="s">
        <v>112</v>
      </c>
      <c r="I2732">
        <v>10</v>
      </c>
      <c r="J2732" s="19">
        <f>WEEKNUM(tblRidershipData[[#This Row],[MeasurementDate]])</f>
        <v>3</v>
      </c>
      <c r="K2732" s="19">
        <f>MONTH(tblRidershipData[[#This Row],[MeasurementDate]])</f>
        <v>1</v>
      </c>
    </row>
    <row r="2733" spans="1:11" x14ac:dyDescent="0.25">
      <c r="A2733" s="31">
        <v>43847</v>
      </c>
      <c r="B2733" t="s">
        <v>6</v>
      </c>
      <c r="C2733" s="31">
        <v>8312</v>
      </c>
      <c r="D2733" t="s">
        <v>83</v>
      </c>
      <c r="E2733" t="s">
        <v>111</v>
      </c>
      <c r="F2733">
        <v>1</v>
      </c>
      <c r="G2733" t="s">
        <v>46</v>
      </c>
      <c r="H2733" t="s">
        <v>112</v>
      </c>
      <c r="I2733">
        <v>1</v>
      </c>
      <c r="J2733" s="19">
        <f>WEEKNUM(tblRidershipData[[#This Row],[MeasurementDate]])</f>
        <v>3</v>
      </c>
      <c r="K2733" s="19">
        <f>MONTH(tblRidershipData[[#This Row],[MeasurementDate]])</f>
        <v>1</v>
      </c>
    </row>
    <row r="2734" spans="1:11" x14ac:dyDescent="0.25">
      <c r="A2734" s="31">
        <v>43847</v>
      </c>
      <c r="B2734" t="s">
        <v>6</v>
      </c>
      <c r="C2734" s="31">
        <v>8312</v>
      </c>
      <c r="D2734" t="s">
        <v>83</v>
      </c>
      <c r="E2734" t="s">
        <v>111</v>
      </c>
      <c r="F2734">
        <v>1</v>
      </c>
      <c r="G2734" t="s">
        <v>57</v>
      </c>
      <c r="H2734" t="s">
        <v>112</v>
      </c>
      <c r="I2734">
        <v>12</v>
      </c>
      <c r="J2734" s="19">
        <f>WEEKNUM(tblRidershipData[[#This Row],[MeasurementDate]])</f>
        <v>3</v>
      </c>
      <c r="K2734" s="19">
        <f>MONTH(tblRidershipData[[#This Row],[MeasurementDate]])</f>
        <v>1</v>
      </c>
    </row>
    <row r="2735" spans="1:11" x14ac:dyDescent="0.25">
      <c r="A2735" s="31">
        <v>43847</v>
      </c>
      <c r="B2735" t="s">
        <v>6</v>
      </c>
      <c r="C2735" s="31">
        <v>8312</v>
      </c>
      <c r="D2735" t="s">
        <v>83</v>
      </c>
      <c r="E2735" t="s">
        <v>111</v>
      </c>
      <c r="F2735">
        <v>1</v>
      </c>
      <c r="G2735" t="s">
        <v>66</v>
      </c>
      <c r="H2735" t="s">
        <v>112</v>
      </c>
      <c r="I2735">
        <v>3</v>
      </c>
      <c r="J2735" s="19">
        <f>WEEKNUM(tblRidershipData[[#This Row],[MeasurementDate]])</f>
        <v>3</v>
      </c>
      <c r="K2735" s="19">
        <f>MONTH(tblRidershipData[[#This Row],[MeasurementDate]])</f>
        <v>1</v>
      </c>
    </row>
    <row r="2736" spans="1:11" x14ac:dyDescent="0.25">
      <c r="A2736" s="31">
        <v>43847</v>
      </c>
      <c r="B2736" t="s">
        <v>6</v>
      </c>
      <c r="C2736" s="31">
        <v>8312</v>
      </c>
      <c r="D2736" t="s">
        <v>83</v>
      </c>
      <c r="E2736" t="s">
        <v>111</v>
      </c>
      <c r="F2736">
        <v>1</v>
      </c>
      <c r="G2736" t="s">
        <v>69</v>
      </c>
      <c r="H2736" t="s">
        <v>112</v>
      </c>
      <c r="I2736">
        <v>13</v>
      </c>
      <c r="J2736" s="19">
        <f>WEEKNUM(tblRidershipData[[#This Row],[MeasurementDate]])</f>
        <v>3</v>
      </c>
      <c r="K2736" s="19">
        <f>MONTH(tblRidershipData[[#This Row],[MeasurementDate]])</f>
        <v>1</v>
      </c>
    </row>
    <row r="2737" spans="1:11" x14ac:dyDescent="0.25">
      <c r="A2737" s="31">
        <v>43847</v>
      </c>
      <c r="B2737" t="s">
        <v>6</v>
      </c>
      <c r="C2737" s="31">
        <v>8312</v>
      </c>
      <c r="D2737" t="s">
        <v>83</v>
      </c>
      <c r="E2737" t="s">
        <v>111</v>
      </c>
      <c r="F2737">
        <v>2</v>
      </c>
      <c r="G2737" t="s">
        <v>44</v>
      </c>
      <c r="H2737" t="s">
        <v>112</v>
      </c>
      <c r="I2737">
        <v>16</v>
      </c>
      <c r="J2737" s="19">
        <f>WEEKNUM(tblRidershipData[[#This Row],[MeasurementDate]])</f>
        <v>3</v>
      </c>
      <c r="K2737" s="19">
        <f>MONTH(tblRidershipData[[#This Row],[MeasurementDate]])</f>
        <v>1</v>
      </c>
    </row>
    <row r="2738" spans="1:11" x14ac:dyDescent="0.25">
      <c r="A2738" s="31">
        <v>43847</v>
      </c>
      <c r="B2738" t="s">
        <v>6</v>
      </c>
      <c r="C2738" s="31">
        <v>8314</v>
      </c>
      <c r="D2738" t="s">
        <v>83</v>
      </c>
      <c r="E2738" t="s">
        <v>111</v>
      </c>
      <c r="F2738">
        <v>1</v>
      </c>
      <c r="G2738" t="s">
        <v>43</v>
      </c>
      <c r="H2738" t="s">
        <v>110</v>
      </c>
      <c r="I2738">
        <v>9</v>
      </c>
      <c r="J2738" s="19">
        <f>WEEKNUM(tblRidershipData[[#This Row],[MeasurementDate]])</f>
        <v>3</v>
      </c>
      <c r="K2738" s="19">
        <f>MONTH(tblRidershipData[[#This Row],[MeasurementDate]])</f>
        <v>1</v>
      </c>
    </row>
    <row r="2739" spans="1:11" x14ac:dyDescent="0.25">
      <c r="A2739" s="31">
        <v>43847</v>
      </c>
      <c r="B2739" t="s">
        <v>6</v>
      </c>
      <c r="C2739" s="31">
        <v>8314</v>
      </c>
      <c r="D2739" t="s">
        <v>83</v>
      </c>
      <c r="E2739" t="s">
        <v>111</v>
      </c>
      <c r="F2739">
        <v>1</v>
      </c>
      <c r="G2739" t="s">
        <v>44</v>
      </c>
      <c r="H2739" t="s">
        <v>110</v>
      </c>
      <c r="I2739">
        <v>7</v>
      </c>
      <c r="J2739" s="19">
        <f>WEEKNUM(tblRidershipData[[#This Row],[MeasurementDate]])</f>
        <v>3</v>
      </c>
      <c r="K2739" s="19">
        <f>MONTH(tblRidershipData[[#This Row],[MeasurementDate]])</f>
        <v>1</v>
      </c>
    </row>
    <row r="2740" spans="1:11" x14ac:dyDescent="0.25">
      <c r="A2740" s="31">
        <v>43847</v>
      </c>
      <c r="B2740" t="s">
        <v>6</v>
      </c>
      <c r="C2740" s="31">
        <v>8314</v>
      </c>
      <c r="D2740" t="s">
        <v>83</v>
      </c>
      <c r="E2740" t="s">
        <v>111</v>
      </c>
      <c r="F2740">
        <v>1</v>
      </c>
      <c r="G2740" t="s">
        <v>46</v>
      </c>
      <c r="H2740" t="s">
        <v>110</v>
      </c>
      <c r="I2740">
        <v>10</v>
      </c>
      <c r="J2740" s="19">
        <f>WEEKNUM(tblRidershipData[[#This Row],[MeasurementDate]])</f>
        <v>3</v>
      </c>
      <c r="K2740" s="19">
        <f>MONTH(tblRidershipData[[#This Row],[MeasurementDate]])</f>
        <v>1</v>
      </c>
    </row>
    <row r="2741" spans="1:11" x14ac:dyDescent="0.25">
      <c r="A2741" s="31">
        <v>43847</v>
      </c>
      <c r="B2741" t="s">
        <v>6</v>
      </c>
      <c r="C2741" s="31">
        <v>8314</v>
      </c>
      <c r="D2741" t="s">
        <v>83</v>
      </c>
      <c r="E2741" t="s">
        <v>111</v>
      </c>
      <c r="F2741">
        <v>1</v>
      </c>
      <c r="G2741" t="s">
        <v>55</v>
      </c>
      <c r="H2741" t="s">
        <v>110</v>
      </c>
      <c r="I2741">
        <v>2</v>
      </c>
      <c r="J2741" s="19">
        <f>WEEKNUM(tblRidershipData[[#This Row],[MeasurementDate]])</f>
        <v>3</v>
      </c>
      <c r="K2741" s="19">
        <f>MONTH(tblRidershipData[[#This Row],[MeasurementDate]])</f>
        <v>1</v>
      </c>
    </row>
    <row r="2742" spans="1:11" x14ac:dyDescent="0.25">
      <c r="A2742" s="31">
        <v>43847</v>
      </c>
      <c r="B2742" t="s">
        <v>6</v>
      </c>
      <c r="C2742" s="31">
        <v>8314</v>
      </c>
      <c r="D2742" t="s">
        <v>83</v>
      </c>
      <c r="E2742" t="s">
        <v>111</v>
      </c>
      <c r="F2742">
        <v>1</v>
      </c>
      <c r="G2742" t="s">
        <v>60</v>
      </c>
      <c r="H2742" t="s">
        <v>110</v>
      </c>
      <c r="I2742">
        <v>2</v>
      </c>
      <c r="J2742" s="19">
        <f>WEEKNUM(tblRidershipData[[#This Row],[MeasurementDate]])</f>
        <v>3</v>
      </c>
      <c r="K2742" s="19">
        <f>MONTH(tblRidershipData[[#This Row],[MeasurementDate]])</f>
        <v>1</v>
      </c>
    </row>
    <row r="2743" spans="1:11" x14ac:dyDescent="0.25">
      <c r="A2743" s="31">
        <v>43847</v>
      </c>
      <c r="B2743" t="s">
        <v>6</v>
      </c>
      <c r="C2743" s="31">
        <v>8314</v>
      </c>
      <c r="D2743" t="s">
        <v>83</v>
      </c>
      <c r="E2743" t="s">
        <v>111</v>
      </c>
      <c r="F2743">
        <v>1</v>
      </c>
      <c r="G2743" t="s">
        <v>69</v>
      </c>
      <c r="H2743" t="s">
        <v>110</v>
      </c>
      <c r="I2743">
        <v>4</v>
      </c>
      <c r="J2743" s="19">
        <f>WEEKNUM(tblRidershipData[[#This Row],[MeasurementDate]])</f>
        <v>3</v>
      </c>
      <c r="K2743" s="19">
        <f>MONTH(tblRidershipData[[#This Row],[MeasurementDate]])</f>
        <v>1</v>
      </c>
    </row>
    <row r="2744" spans="1:11" x14ac:dyDescent="0.25">
      <c r="A2744" s="31">
        <v>43847</v>
      </c>
      <c r="B2744" t="s">
        <v>6</v>
      </c>
      <c r="C2744" s="31">
        <v>8314</v>
      </c>
      <c r="D2744" t="s">
        <v>83</v>
      </c>
      <c r="E2744" t="s">
        <v>111</v>
      </c>
      <c r="F2744">
        <v>1</v>
      </c>
      <c r="G2744" t="s">
        <v>70</v>
      </c>
      <c r="H2744" t="s">
        <v>110</v>
      </c>
      <c r="I2744">
        <v>4</v>
      </c>
      <c r="J2744" s="19">
        <f>WEEKNUM(tblRidershipData[[#This Row],[MeasurementDate]])</f>
        <v>3</v>
      </c>
      <c r="K2744" s="19">
        <f>MONTH(tblRidershipData[[#This Row],[MeasurementDate]])</f>
        <v>1</v>
      </c>
    </row>
    <row r="2745" spans="1:11" x14ac:dyDescent="0.25">
      <c r="A2745" s="31">
        <v>43847</v>
      </c>
      <c r="B2745" t="s">
        <v>6</v>
      </c>
      <c r="C2745" s="31">
        <v>8314</v>
      </c>
      <c r="D2745" t="s">
        <v>83</v>
      </c>
      <c r="E2745" t="s">
        <v>111</v>
      </c>
      <c r="F2745">
        <v>1</v>
      </c>
      <c r="G2745" t="s">
        <v>76</v>
      </c>
      <c r="H2745" t="s">
        <v>110</v>
      </c>
      <c r="I2745">
        <v>1</v>
      </c>
      <c r="J2745" s="19">
        <f>WEEKNUM(tblRidershipData[[#This Row],[MeasurementDate]])</f>
        <v>3</v>
      </c>
      <c r="K2745" s="19">
        <f>MONTH(tblRidershipData[[#This Row],[MeasurementDate]])</f>
        <v>1</v>
      </c>
    </row>
    <row r="2746" spans="1:11" x14ac:dyDescent="0.25">
      <c r="A2746" s="31">
        <v>43847</v>
      </c>
      <c r="B2746" t="s">
        <v>6</v>
      </c>
      <c r="C2746" s="31">
        <v>8314</v>
      </c>
      <c r="D2746" t="s">
        <v>83</v>
      </c>
      <c r="E2746" t="s">
        <v>111</v>
      </c>
      <c r="F2746">
        <v>2</v>
      </c>
      <c r="G2746" t="s">
        <v>44</v>
      </c>
      <c r="H2746" t="s">
        <v>110</v>
      </c>
      <c r="I2746">
        <v>1</v>
      </c>
      <c r="J2746" s="19">
        <f>WEEKNUM(tblRidershipData[[#This Row],[MeasurementDate]])</f>
        <v>3</v>
      </c>
      <c r="K2746" s="19">
        <f>MONTH(tblRidershipData[[#This Row],[MeasurementDate]])</f>
        <v>1</v>
      </c>
    </row>
    <row r="2747" spans="1:11" x14ac:dyDescent="0.25">
      <c r="A2747" s="31">
        <v>43847</v>
      </c>
      <c r="B2747" t="s">
        <v>6</v>
      </c>
      <c r="C2747" s="31">
        <v>8314</v>
      </c>
      <c r="D2747" t="s">
        <v>83</v>
      </c>
      <c r="E2747" t="s">
        <v>111</v>
      </c>
      <c r="F2747">
        <v>2</v>
      </c>
      <c r="G2747" t="s">
        <v>59</v>
      </c>
      <c r="H2747" t="s">
        <v>110</v>
      </c>
      <c r="I2747">
        <v>1</v>
      </c>
      <c r="J2747" s="19">
        <f>WEEKNUM(tblRidershipData[[#This Row],[MeasurementDate]])</f>
        <v>3</v>
      </c>
      <c r="K2747" s="19">
        <f>MONTH(tblRidershipData[[#This Row],[MeasurementDate]])</f>
        <v>1</v>
      </c>
    </row>
    <row r="2748" spans="1:11" x14ac:dyDescent="0.25">
      <c r="A2748" s="31">
        <v>43847</v>
      </c>
      <c r="B2748" t="s">
        <v>6</v>
      </c>
      <c r="C2748" s="31">
        <v>8314</v>
      </c>
      <c r="D2748" t="s">
        <v>83</v>
      </c>
      <c r="E2748" t="s">
        <v>111</v>
      </c>
      <c r="F2748">
        <v>2</v>
      </c>
      <c r="G2748" t="s">
        <v>60</v>
      </c>
      <c r="H2748" t="s">
        <v>110</v>
      </c>
      <c r="I2748">
        <v>3</v>
      </c>
      <c r="J2748" s="19">
        <f>WEEKNUM(tblRidershipData[[#This Row],[MeasurementDate]])</f>
        <v>3</v>
      </c>
      <c r="K2748" s="19">
        <f>MONTH(tblRidershipData[[#This Row],[MeasurementDate]])</f>
        <v>1</v>
      </c>
    </row>
    <row r="2749" spans="1:11" x14ac:dyDescent="0.25">
      <c r="A2749" s="31">
        <v>43847</v>
      </c>
      <c r="B2749" t="s">
        <v>6</v>
      </c>
      <c r="C2749" s="31">
        <v>8314</v>
      </c>
      <c r="D2749" t="s">
        <v>83</v>
      </c>
      <c r="E2749" t="s">
        <v>111</v>
      </c>
      <c r="F2749">
        <v>2</v>
      </c>
      <c r="G2749" t="s">
        <v>70</v>
      </c>
      <c r="H2749" t="s">
        <v>110</v>
      </c>
      <c r="I2749">
        <v>3</v>
      </c>
      <c r="J2749" s="19">
        <f>WEEKNUM(tblRidershipData[[#This Row],[MeasurementDate]])</f>
        <v>3</v>
      </c>
      <c r="K2749" s="19">
        <f>MONTH(tblRidershipData[[#This Row],[MeasurementDate]])</f>
        <v>1</v>
      </c>
    </row>
    <row r="2750" spans="1:11" x14ac:dyDescent="0.25">
      <c r="A2750" s="31">
        <v>43847</v>
      </c>
      <c r="B2750" t="s">
        <v>6</v>
      </c>
      <c r="C2750" s="31">
        <v>8314</v>
      </c>
      <c r="D2750" t="s">
        <v>83</v>
      </c>
      <c r="E2750" t="s">
        <v>111</v>
      </c>
      <c r="F2750">
        <v>2</v>
      </c>
      <c r="G2750" t="s">
        <v>76</v>
      </c>
      <c r="H2750" t="s">
        <v>110</v>
      </c>
      <c r="I2750">
        <v>8</v>
      </c>
      <c r="J2750" s="19">
        <f>WEEKNUM(tblRidershipData[[#This Row],[MeasurementDate]])</f>
        <v>3</v>
      </c>
      <c r="K2750" s="19">
        <f>MONTH(tblRidershipData[[#This Row],[MeasurementDate]])</f>
        <v>1</v>
      </c>
    </row>
    <row r="2751" spans="1:11" x14ac:dyDescent="0.25">
      <c r="A2751" s="31">
        <v>43847</v>
      </c>
      <c r="B2751" t="s">
        <v>6</v>
      </c>
      <c r="C2751" s="31">
        <v>8314</v>
      </c>
      <c r="D2751" t="s">
        <v>83</v>
      </c>
      <c r="E2751" t="s">
        <v>109</v>
      </c>
      <c r="F2751">
        <v>1</v>
      </c>
      <c r="G2751" t="s">
        <v>72</v>
      </c>
      <c r="H2751" t="s">
        <v>110</v>
      </c>
      <c r="I2751">
        <v>18</v>
      </c>
      <c r="J2751" s="19">
        <f>WEEKNUM(tblRidershipData[[#This Row],[MeasurementDate]])</f>
        <v>3</v>
      </c>
      <c r="K2751" s="19">
        <f>MONTH(tblRidershipData[[#This Row],[MeasurementDate]])</f>
        <v>1</v>
      </c>
    </row>
    <row r="2752" spans="1:11" x14ac:dyDescent="0.25">
      <c r="A2752" s="31">
        <v>43847</v>
      </c>
      <c r="B2752" t="s">
        <v>6</v>
      </c>
      <c r="C2752" s="31">
        <v>8314</v>
      </c>
      <c r="D2752" t="s">
        <v>83</v>
      </c>
      <c r="E2752" t="s">
        <v>109</v>
      </c>
      <c r="F2752">
        <v>1</v>
      </c>
      <c r="G2752" t="s">
        <v>74</v>
      </c>
      <c r="H2752" t="s">
        <v>110</v>
      </c>
      <c r="I2752">
        <v>33</v>
      </c>
      <c r="J2752" s="19">
        <f>WEEKNUM(tblRidershipData[[#This Row],[MeasurementDate]])</f>
        <v>3</v>
      </c>
      <c r="K2752" s="19">
        <f>MONTH(tblRidershipData[[#This Row],[MeasurementDate]])</f>
        <v>1</v>
      </c>
    </row>
    <row r="2753" spans="1:11" x14ac:dyDescent="0.25">
      <c r="A2753" s="31">
        <v>43847</v>
      </c>
      <c r="B2753" t="s">
        <v>6</v>
      </c>
      <c r="C2753" s="31">
        <v>8314</v>
      </c>
      <c r="D2753" t="s">
        <v>83</v>
      </c>
      <c r="E2753" t="s">
        <v>109</v>
      </c>
      <c r="F2753">
        <v>1</v>
      </c>
      <c r="G2753" t="s">
        <v>75</v>
      </c>
      <c r="H2753" t="s">
        <v>110</v>
      </c>
      <c r="I2753">
        <v>13</v>
      </c>
      <c r="J2753" s="19">
        <f>WEEKNUM(tblRidershipData[[#This Row],[MeasurementDate]])</f>
        <v>3</v>
      </c>
      <c r="K2753" s="19">
        <f>MONTH(tblRidershipData[[#This Row],[MeasurementDate]])</f>
        <v>1</v>
      </c>
    </row>
    <row r="2754" spans="1:11" x14ac:dyDescent="0.25">
      <c r="A2754" s="31">
        <v>43847</v>
      </c>
      <c r="B2754" t="s">
        <v>6</v>
      </c>
      <c r="C2754" s="31">
        <v>9308</v>
      </c>
      <c r="D2754" t="s">
        <v>87</v>
      </c>
      <c r="E2754" t="s">
        <v>111</v>
      </c>
      <c r="F2754">
        <v>1</v>
      </c>
      <c r="G2754" t="s">
        <v>43</v>
      </c>
      <c r="H2754" t="s">
        <v>110</v>
      </c>
      <c r="I2754">
        <v>15</v>
      </c>
      <c r="J2754" s="19">
        <f>WEEKNUM(tblRidershipData[[#This Row],[MeasurementDate]])</f>
        <v>3</v>
      </c>
      <c r="K2754" s="19">
        <f>MONTH(tblRidershipData[[#This Row],[MeasurementDate]])</f>
        <v>1</v>
      </c>
    </row>
    <row r="2755" spans="1:11" x14ac:dyDescent="0.25">
      <c r="A2755" s="31">
        <v>43847</v>
      </c>
      <c r="B2755" t="s">
        <v>6</v>
      </c>
      <c r="C2755" s="31">
        <v>9308</v>
      </c>
      <c r="D2755" t="s">
        <v>87</v>
      </c>
      <c r="E2755" t="s">
        <v>111</v>
      </c>
      <c r="F2755">
        <v>1</v>
      </c>
      <c r="G2755" t="s">
        <v>46</v>
      </c>
      <c r="H2755" t="s">
        <v>110</v>
      </c>
      <c r="I2755">
        <v>3</v>
      </c>
      <c r="J2755" s="19">
        <f>WEEKNUM(tblRidershipData[[#This Row],[MeasurementDate]])</f>
        <v>3</v>
      </c>
      <c r="K2755" s="19">
        <f>MONTH(tblRidershipData[[#This Row],[MeasurementDate]])</f>
        <v>1</v>
      </c>
    </row>
    <row r="2756" spans="1:11" x14ac:dyDescent="0.25">
      <c r="A2756" s="31">
        <v>43847</v>
      </c>
      <c r="B2756" t="s">
        <v>6</v>
      </c>
      <c r="C2756" s="31">
        <v>9308</v>
      </c>
      <c r="D2756" t="s">
        <v>87</v>
      </c>
      <c r="E2756" t="s">
        <v>111</v>
      </c>
      <c r="F2756">
        <v>1</v>
      </c>
      <c r="G2756" t="s">
        <v>57</v>
      </c>
      <c r="H2756" t="s">
        <v>110</v>
      </c>
      <c r="I2756">
        <v>5</v>
      </c>
      <c r="J2756" s="19">
        <f>WEEKNUM(tblRidershipData[[#This Row],[MeasurementDate]])</f>
        <v>3</v>
      </c>
      <c r="K2756" s="19">
        <f>MONTH(tblRidershipData[[#This Row],[MeasurementDate]])</f>
        <v>1</v>
      </c>
    </row>
    <row r="2757" spans="1:11" x14ac:dyDescent="0.25">
      <c r="A2757" s="31">
        <v>43847</v>
      </c>
      <c r="B2757" t="s">
        <v>6</v>
      </c>
      <c r="C2757" s="31">
        <v>9308</v>
      </c>
      <c r="D2757" t="s">
        <v>87</v>
      </c>
      <c r="E2757" t="s">
        <v>111</v>
      </c>
      <c r="F2757">
        <v>1</v>
      </c>
      <c r="G2757" t="s">
        <v>59</v>
      </c>
      <c r="H2757" t="s">
        <v>110</v>
      </c>
      <c r="I2757">
        <v>1</v>
      </c>
      <c r="J2757" s="19">
        <f>WEEKNUM(tblRidershipData[[#This Row],[MeasurementDate]])</f>
        <v>3</v>
      </c>
      <c r="K2757" s="19">
        <f>MONTH(tblRidershipData[[#This Row],[MeasurementDate]])</f>
        <v>1</v>
      </c>
    </row>
    <row r="2758" spans="1:11" x14ac:dyDescent="0.25">
      <c r="A2758" s="31">
        <v>43847</v>
      </c>
      <c r="B2758" t="s">
        <v>6</v>
      </c>
      <c r="C2758" s="31">
        <v>9308</v>
      </c>
      <c r="D2758" t="s">
        <v>87</v>
      </c>
      <c r="E2758" t="s">
        <v>111</v>
      </c>
      <c r="F2758">
        <v>1</v>
      </c>
      <c r="G2758" t="s">
        <v>65</v>
      </c>
      <c r="H2758" t="s">
        <v>110</v>
      </c>
      <c r="I2758">
        <v>2</v>
      </c>
      <c r="J2758" s="19">
        <f>WEEKNUM(tblRidershipData[[#This Row],[MeasurementDate]])</f>
        <v>3</v>
      </c>
      <c r="K2758" s="19">
        <f>MONTH(tblRidershipData[[#This Row],[MeasurementDate]])</f>
        <v>1</v>
      </c>
    </row>
    <row r="2759" spans="1:11" x14ac:dyDescent="0.25">
      <c r="A2759" s="31">
        <v>43847</v>
      </c>
      <c r="B2759" t="s">
        <v>6</v>
      </c>
      <c r="C2759" s="31">
        <v>9308</v>
      </c>
      <c r="D2759" t="s">
        <v>87</v>
      </c>
      <c r="E2759" t="s">
        <v>111</v>
      </c>
      <c r="F2759">
        <v>1</v>
      </c>
      <c r="G2759" t="s">
        <v>66</v>
      </c>
      <c r="H2759" t="s">
        <v>110</v>
      </c>
      <c r="I2759">
        <v>11</v>
      </c>
      <c r="J2759" s="19">
        <f>WEEKNUM(tblRidershipData[[#This Row],[MeasurementDate]])</f>
        <v>3</v>
      </c>
      <c r="K2759" s="19">
        <f>MONTH(tblRidershipData[[#This Row],[MeasurementDate]])</f>
        <v>1</v>
      </c>
    </row>
    <row r="2760" spans="1:11" x14ac:dyDescent="0.25">
      <c r="A2760" s="31">
        <v>43847</v>
      </c>
      <c r="B2760" t="s">
        <v>6</v>
      </c>
      <c r="C2760" s="31">
        <v>9308</v>
      </c>
      <c r="D2760" t="s">
        <v>87</v>
      </c>
      <c r="E2760" t="s">
        <v>111</v>
      </c>
      <c r="F2760">
        <v>1</v>
      </c>
      <c r="G2760" t="s">
        <v>70</v>
      </c>
      <c r="H2760" t="s">
        <v>110</v>
      </c>
      <c r="I2760">
        <v>2</v>
      </c>
      <c r="J2760" s="19">
        <f>WEEKNUM(tblRidershipData[[#This Row],[MeasurementDate]])</f>
        <v>3</v>
      </c>
      <c r="K2760" s="19">
        <f>MONTH(tblRidershipData[[#This Row],[MeasurementDate]])</f>
        <v>1</v>
      </c>
    </row>
    <row r="2761" spans="1:11" x14ac:dyDescent="0.25">
      <c r="A2761" s="31">
        <v>43847</v>
      </c>
      <c r="B2761" t="s">
        <v>6</v>
      </c>
      <c r="C2761" s="31">
        <v>9308</v>
      </c>
      <c r="D2761" t="s">
        <v>87</v>
      </c>
      <c r="E2761" t="s">
        <v>111</v>
      </c>
      <c r="F2761">
        <v>1</v>
      </c>
      <c r="G2761" t="s">
        <v>71</v>
      </c>
      <c r="H2761" t="s">
        <v>110</v>
      </c>
      <c r="I2761">
        <v>3</v>
      </c>
      <c r="J2761" s="19">
        <f>WEEKNUM(tblRidershipData[[#This Row],[MeasurementDate]])</f>
        <v>3</v>
      </c>
      <c r="K2761" s="19">
        <f>MONTH(tblRidershipData[[#This Row],[MeasurementDate]])</f>
        <v>1</v>
      </c>
    </row>
    <row r="2762" spans="1:11" x14ac:dyDescent="0.25">
      <c r="A2762" s="31">
        <v>43847</v>
      </c>
      <c r="B2762" t="s">
        <v>6</v>
      </c>
      <c r="C2762" s="31">
        <v>9308</v>
      </c>
      <c r="D2762" t="s">
        <v>87</v>
      </c>
      <c r="E2762" t="s">
        <v>111</v>
      </c>
      <c r="F2762">
        <v>1</v>
      </c>
      <c r="G2762" t="s">
        <v>76</v>
      </c>
      <c r="H2762" t="s">
        <v>110</v>
      </c>
      <c r="I2762">
        <v>2</v>
      </c>
      <c r="J2762" s="19">
        <f>WEEKNUM(tblRidershipData[[#This Row],[MeasurementDate]])</f>
        <v>3</v>
      </c>
      <c r="K2762" s="19">
        <f>MONTH(tblRidershipData[[#This Row],[MeasurementDate]])</f>
        <v>1</v>
      </c>
    </row>
    <row r="2763" spans="1:11" x14ac:dyDescent="0.25">
      <c r="A2763" s="31">
        <v>43847</v>
      </c>
      <c r="B2763" t="s">
        <v>6</v>
      </c>
      <c r="C2763" s="31">
        <v>9308</v>
      </c>
      <c r="D2763" t="s">
        <v>87</v>
      </c>
      <c r="E2763" t="s">
        <v>111</v>
      </c>
      <c r="F2763">
        <v>2</v>
      </c>
      <c r="G2763" t="s">
        <v>59</v>
      </c>
      <c r="H2763" t="s">
        <v>110</v>
      </c>
      <c r="I2763">
        <v>1</v>
      </c>
      <c r="J2763" s="19">
        <f>WEEKNUM(tblRidershipData[[#This Row],[MeasurementDate]])</f>
        <v>3</v>
      </c>
      <c r="K2763" s="19">
        <f>MONTH(tblRidershipData[[#This Row],[MeasurementDate]])</f>
        <v>1</v>
      </c>
    </row>
    <row r="2764" spans="1:11" x14ac:dyDescent="0.25">
      <c r="A2764" s="31">
        <v>43847</v>
      </c>
      <c r="B2764" t="s">
        <v>6</v>
      </c>
      <c r="C2764" s="31">
        <v>9308</v>
      </c>
      <c r="D2764" t="s">
        <v>87</v>
      </c>
      <c r="E2764" t="s">
        <v>111</v>
      </c>
      <c r="F2764">
        <v>2</v>
      </c>
      <c r="G2764" t="s">
        <v>71</v>
      </c>
      <c r="H2764" t="s">
        <v>110</v>
      </c>
      <c r="I2764">
        <v>2</v>
      </c>
      <c r="J2764" s="19">
        <f>WEEKNUM(tblRidershipData[[#This Row],[MeasurementDate]])</f>
        <v>3</v>
      </c>
      <c r="K2764" s="19">
        <f>MONTH(tblRidershipData[[#This Row],[MeasurementDate]])</f>
        <v>1</v>
      </c>
    </row>
    <row r="2765" spans="1:11" x14ac:dyDescent="0.25">
      <c r="A2765" s="31">
        <v>43847</v>
      </c>
      <c r="B2765" t="s">
        <v>6</v>
      </c>
      <c r="C2765" s="31">
        <v>9308</v>
      </c>
      <c r="D2765" t="s">
        <v>87</v>
      </c>
      <c r="E2765" t="s">
        <v>111</v>
      </c>
      <c r="F2765">
        <v>2</v>
      </c>
      <c r="G2765" t="s">
        <v>76</v>
      </c>
      <c r="H2765" t="s">
        <v>110</v>
      </c>
      <c r="I2765">
        <v>7</v>
      </c>
      <c r="J2765" s="19">
        <f>WEEKNUM(tblRidershipData[[#This Row],[MeasurementDate]])</f>
        <v>3</v>
      </c>
      <c r="K2765" s="19">
        <f>MONTH(tblRidershipData[[#This Row],[MeasurementDate]])</f>
        <v>1</v>
      </c>
    </row>
    <row r="2766" spans="1:11" x14ac:dyDescent="0.25">
      <c r="A2766" s="31">
        <v>43847</v>
      </c>
      <c r="B2766" t="s">
        <v>6</v>
      </c>
      <c r="C2766" s="31">
        <v>9308</v>
      </c>
      <c r="D2766" t="s">
        <v>87</v>
      </c>
      <c r="E2766" t="s">
        <v>109</v>
      </c>
      <c r="F2766">
        <v>1</v>
      </c>
      <c r="G2766" t="s">
        <v>43</v>
      </c>
      <c r="H2766" t="s">
        <v>110</v>
      </c>
      <c r="I2766">
        <v>1</v>
      </c>
      <c r="J2766" s="19">
        <f>WEEKNUM(tblRidershipData[[#This Row],[MeasurementDate]])</f>
        <v>3</v>
      </c>
      <c r="K2766" s="19">
        <f>MONTH(tblRidershipData[[#This Row],[MeasurementDate]])</f>
        <v>1</v>
      </c>
    </row>
    <row r="2767" spans="1:11" x14ac:dyDescent="0.25">
      <c r="A2767" s="31">
        <v>43847</v>
      </c>
      <c r="B2767" t="s">
        <v>6</v>
      </c>
      <c r="C2767" s="31">
        <v>9308</v>
      </c>
      <c r="D2767" t="s">
        <v>87</v>
      </c>
      <c r="E2767" t="s">
        <v>109</v>
      </c>
      <c r="F2767">
        <v>1</v>
      </c>
      <c r="G2767" t="s">
        <v>44</v>
      </c>
      <c r="H2767" t="s">
        <v>110</v>
      </c>
      <c r="I2767">
        <v>16</v>
      </c>
      <c r="J2767" s="19">
        <f>WEEKNUM(tblRidershipData[[#This Row],[MeasurementDate]])</f>
        <v>3</v>
      </c>
      <c r="K2767" s="19">
        <f>MONTH(tblRidershipData[[#This Row],[MeasurementDate]])</f>
        <v>1</v>
      </c>
    </row>
    <row r="2768" spans="1:11" x14ac:dyDescent="0.25">
      <c r="A2768" s="31">
        <v>43847</v>
      </c>
      <c r="B2768" t="s">
        <v>6</v>
      </c>
      <c r="C2768" s="31">
        <v>9308</v>
      </c>
      <c r="D2768" t="s">
        <v>87</v>
      </c>
      <c r="E2768" t="s">
        <v>109</v>
      </c>
      <c r="F2768">
        <v>1</v>
      </c>
      <c r="G2768" t="s">
        <v>51</v>
      </c>
      <c r="H2768" t="s">
        <v>110</v>
      </c>
      <c r="I2768">
        <v>3</v>
      </c>
      <c r="J2768" s="19">
        <f>WEEKNUM(tblRidershipData[[#This Row],[MeasurementDate]])</f>
        <v>3</v>
      </c>
      <c r="K2768" s="19">
        <f>MONTH(tblRidershipData[[#This Row],[MeasurementDate]])</f>
        <v>1</v>
      </c>
    </row>
    <row r="2769" spans="1:11" x14ac:dyDescent="0.25">
      <c r="A2769" s="31">
        <v>43847</v>
      </c>
      <c r="B2769" t="s">
        <v>6</v>
      </c>
      <c r="C2769" s="31">
        <v>9308</v>
      </c>
      <c r="D2769" t="s">
        <v>87</v>
      </c>
      <c r="E2769" t="s">
        <v>109</v>
      </c>
      <c r="F2769">
        <v>1</v>
      </c>
      <c r="G2769" t="s">
        <v>59</v>
      </c>
      <c r="H2769" t="s">
        <v>110</v>
      </c>
      <c r="I2769">
        <v>47</v>
      </c>
      <c r="J2769" s="19">
        <f>WEEKNUM(tblRidershipData[[#This Row],[MeasurementDate]])</f>
        <v>3</v>
      </c>
      <c r="K2769" s="19">
        <f>MONTH(tblRidershipData[[#This Row],[MeasurementDate]])</f>
        <v>1</v>
      </c>
    </row>
    <row r="2770" spans="1:11" x14ac:dyDescent="0.25">
      <c r="A2770" s="31">
        <v>43847</v>
      </c>
      <c r="B2770" t="s">
        <v>6</v>
      </c>
      <c r="C2770" s="31">
        <v>9308</v>
      </c>
      <c r="D2770" t="s">
        <v>87</v>
      </c>
      <c r="E2770" t="s">
        <v>109</v>
      </c>
      <c r="F2770">
        <v>1</v>
      </c>
      <c r="G2770" t="s">
        <v>65</v>
      </c>
      <c r="H2770" t="s">
        <v>110</v>
      </c>
      <c r="I2770">
        <v>31</v>
      </c>
      <c r="J2770" s="19">
        <f>WEEKNUM(tblRidershipData[[#This Row],[MeasurementDate]])</f>
        <v>3</v>
      </c>
      <c r="K2770" s="19">
        <f>MONTH(tblRidershipData[[#This Row],[MeasurementDate]])</f>
        <v>1</v>
      </c>
    </row>
    <row r="2771" spans="1:11" x14ac:dyDescent="0.25">
      <c r="A2771" s="31">
        <v>43847</v>
      </c>
      <c r="B2771" t="s">
        <v>6</v>
      </c>
      <c r="C2771" s="31">
        <v>9308</v>
      </c>
      <c r="D2771" t="s">
        <v>87</v>
      </c>
      <c r="E2771" t="s">
        <v>109</v>
      </c>
      <c r="F2771">
        <v>1</v>
      </c>
      <c r="G2771" t="s">
        <v>66</v>
      </c>
      <c r="H2771" t="s">
        <v>110</v>
      </c>
      <c r="I2771">
        <v>2</v>
      </c>
      <c r="J2771" s="19">
        <f>WEEKNUM(tblRidershipData[[#This Row],[MeasurementDate]])</f>
        <v>3</v>
      </c>
      <c r="K2771" s="19">
        <f>MONTH(tblRidershipData[[#This Row],[MeasurementDate]])</f>
        <v>1</v>
      </c>
    </row>
    <row r="2772" spans="1:11" x14ac:dyDescent="0.25">
      <c r="A2772" s="31">
        <v>43847</v>
      </c>
      <c r="B2772" t="s">
        <v>6</v>
      </c>
      <c r="C2772" s="31">
        <v>9308</v>
      </c>
      <c r="D2772" t="s">
        <v>87</v>
      </c>
      <c r="E2772" t="s">
        <v>109</v>
      </c>
      <c r="F2772">
        <v>1</v>
      </c>
      <c r="G2772" t="s">
        <v>69</v>
      </c>
      <c r="H2772" t="s">
        <v>110</v>
      </c>
      <c r="I2772">
        <v>19</v>
      </c>
      <c r="J2772" s="19">
        <f>WEEKNUM(tblRidershipData[[#This Row],[MeasurementDate]])</f>
        <v>3</v>
      </c>
      <c r="K2772" s="19">
        <f>MONTH(tblRidershipData[[#This Row],[MeasurementDate]])</f>
        <v>1</v>
      </c>
    </row>
    <row r="2773" spans="1:11" x14ac:dyDescent="0.25">
      <c r="A2773" s="31">
        <v>43847</v>
      </c>
      <c r="B2773" t="s">
        <v>6</v>
      </c>
      <c r="C2773" s="31">
        <v>9308</v>
      </c>
      <c r="D2773" t="s">
        <v>87</v>
      </c>
      <c r="E2773" t="s">
        <v>109</v>
      </c>
      <c r="F2773">
        <v>1</v>
      </c>
      <c r="G2773" t="s">
        <v>70</v>
      </c>
      <c r="H2773" t="s">
        <v>110</v>
      </c>
      <c r="I2773">
        <v>6</v>
      </c>
      <c r="J2773" s="19">
        <f>WEEKNUM(tblRidershipData[[#This Row],[MeasurementDate]])</f>
        <v>3</v>
      </c>
      <c r="K2773" s="19">
        <f>MONTH(tblRidershipData[[#This Row],[MeasurementDate]])</f>
        <v>1</v>
      </c>
    </row>
    <row r="2774" spans="1:11" x14ac:dyDescent="0.25">
      <c r="A2774" s="31">
        <v>43847</v>
      </c>
      <c r="B2774" t="s">
        <v>6</v>
      </c>
      <c r="C2774" s="31">
        <v>9308</v>
      </c>
      <c r="D2774" t="s">
        <v>87</v>
      </c>
      <c r="E2774" t="s">
        <v>111</v>
      </c>
      <c r="F2774">
        <v>1</v>
      </c>
      <c r="G2774" t="s">
        <v>52</v>
      </c>
      <c r="H2774" t="s">
        <v>112</v>
      </c>
      <c r="I2774">
        <v>33</v>
      </c>
      <c r="J2774" s="19">
        <f>WEEKNUM(tblRidershipData[[#This Row],[MeasurementDate]])</f>
        <v>3</v>
      </c>
      <c r="K2774" s="19">
        <f>MONTH(tblRidershipData[[#This Row],[MeasurementDate]])</f>
        <v>1</v>
      </c>
    </row>
    <row r="2775" spans="1:11" x14ac:dyDescent="0.25">
      <c r="A2775" s="31">
        <v>43847</v>
      </c>
      <c r="B2775" t="s">
        <v>6</v>
      </c>
      <c r="C2775" s="31">
        <v>9308</v>
      </c>
      <c r="D2775" t="s">
        <v>87</v>
      </c>
      <c r="E2775" t="s">
        <v>111</v>
      </c>
      <c r="F2775">
        <v>1</v>
      </c>
      <c r="G2775" t="s">
        <v>55</v>
      </c>
      <c r="H2775" t="s">
        <v>112</v>
      </c>
      <c r="I2775">
        <v>1</v>
      </c>
      <c r="J2775" s="19">
        <f>WEEKNUM(tblRidershipData[[#This Row],[MeasurementDate]])</f>
        <v>3</v>
      </c>
      <c r="K2775" s="19">
        <f>MONTH(tblRidershipData[[#This Row],[MeasurementDate]])</f>
        <v>1</v>
      </c>
    </row>
    <row r="2776" spans="1:11" x14ac:dyDescent="0.25">
      <c r="A2776" s="31">
        <v>43847</v>
      </c>
      <c r="B2776" t="s">
        <v>6</v>
      </c>
      <c r="C2776" s="31">
        <v>9308</v>
      </c>
      <c r="D2776" t="s">
        <v>87</v>
      </c>
      <c r="E2776" t="s">
        <v>111</v>
      </c>
      <c r="F2776">
        <v>1</v>
      </c>
      <c r="G2776" t="s">
        <v>59</v>
      </c>
      <c r="H2776" t="s">
        <v>112</v>
      </c>
      <c r="I2776">
        <v>4</v>
      </c>
      <c r="J2776" s="19">
        <f>WEEKNUM(tblRidershipData[[#This Row],[MeasurementDate]])</f>
        <v>3</v>
      </c>
      <c r="K2776" s="19">
        <f>MONTH(tblRidershipData[[#This Row],[MeasurementDate]])</f>
        <v>1</v>
      </c>
    </row>
    <row r="2777" spans="1:11" x14ac:dyDescent="0.25">
      <c r="A2777" s="31">
        <v>43847</v>
      </c>
      <c r="B2777" t="s">
        <v>6</v>
      </c>
      <c r="C2777" s="31">
        <v>9308</v>
      </c>
      <c r="D2777" t="s">
        <v>87</v>
      </c>
      <c r="E2777" t="s">
        <v>111</v>
      </c>
      <c r="F2777">
        <v>2</v>
      </c>
      <c r="G2777" t="s">
        <v>52</v>
      </c>
      <c r="H2777" t="s">
        <v>112</v>
      </c>
      <c r="I2777">
        <v>13</v>
      </c>
      <c r="J2777" s="19">
        <f>WEEKNUM(tblRidershipData[[#This Row],[MeasurementDate]])</f>
        <v>3</v>
      </c>
      <c r="K2777" s="19">
        <f>MONTH(tblRidershipData[[#This Row],[MeasurementDate]])</f>
        <v>1</v>
      </c>
    </row>
    <row r="2778" spans="1:11" x14ac:dyDescent="0.25">
      <c r="A2778" s="31">
        <v>43847</v>
      </c>
      <c r="B2778" t="s">
        <v>6</v>
      </c>
      <c r="C2778" s="31">
        <v>9308</v>
      </c>
      <c r="D2778" t="s">
        <v>87</v>
      </c>
      <c r="E2778" t="s">
        <v>111</v>
      </c>
      <c r="F2778">
        <v>2</v>
      </c>
      <c r="G2778" t="s">
        <v>57</v>
      </c>
      <c r="H2778" t="s">
        <v>112</v>
      </c>
      <c r="I2778">
        <v>4</v>
      </c>
      <c r="J2778" s="19">
        <f>WEEKNUM(tblRidershipData[[#This Row],[MeasurementDate]])</f>
        <v>3</v>
      </c>
      <c r="K2778" s="19">
        <f>MONTH(tblRidershipData[[#This Row],[MeasurementDate]])</f>
        <v>1</v>
      </c>
    </row>
    <row r="2779" spans="1:11" x14ac:dyDescent="0.25">
      <c r="A2779" s="31">
        <v>43847</v>
      </c>
      <c r="B2779" t="s">
        <v>6</v>
      </c>
      <c r="C2779" s="31">
        <v>9308</v>
      </c>
      <c r="D2779" t="s">
        <v>87</v>
      </c>
      <c r="E2779" t="s">
        <v>109</v>
      </c>
      <c r="F2779">
        <v>1</v>
      </c>
      <c r="G2779" t="s">
        <v>43</v>
      </c>
      <c r="H2779" t="s">
        <v>112</v>
      </c>
      <c r="I2779">
        <v>13</v>
      </c>
      <c r="J2779" s="19">
        <f>WEEKNUM(tblRidershipData[[#This Row],[MeasurementDate]])</f>
        <v>3</v>
      </c>
      <c r="K2779" s="19">
        <f>MONTH(tblRidershipData[[#This Row],[MeasurementDate]])</f>
        <v>1</v>
      </c>
    </row>
    <row r="2780" spans="1:11" x14ac:dyDescent="0.25">
      <c r="A2780" s="31">
        <v>43847</v>
      </c>
      <c r="B2780" t="s">
        <v>6</v>
      </c>
      <c r="C2780" s="31">
        <v>9308</v>
      </c>
      <c r="D2780" t="s">
        <v>87</v>
      </c>
      <c r="E2780" t="s">
        <v>109</v>
      </c>
      <c r="F2780">
        <v>1</v>
      </c>
      <c r="G2780" t="s">
        <v>51</v>
      </c>
      <c r="H2780" t="s">
        <v>112</v>
      </c>
      <c r="I2780">
        <v>8</v>
      </c>
      <c r="J2780" s="19">
        <f>WEEKNUM(tblRidershipData[[#This Row],[MeasurementDate]])</f>
        <v>3</v>
      </c>
      <c r="K2780" s="19">
        <f>MONTH(tblRidershipData[[#This Row],[MeasurementDate]])</f>
        <v>1</v>
      </c>
    </row>
    <row r="2781" spans="1:11" x14ac:dyDescent="0.25">
      <c r="A2781" s="31">
        <v>43847</v>
      </c>
      <c r="B2781" t="s">
        <v>6</v>
      </c>
      <c r="C2781" s="31">
        <v>9308</v>
      </c>
      <c r="D2781" t="s">
        <v>87</v>
      </c>
      <c r="E2781" t="s">
        <v>109</v>
      </c>
      <c r="F2781">
        <v>1</v>
      </c>
      <c r="G2781" t="s">
        <v>60</v>
      </c>
      <c r="H2781" t="s">
        <v>112</v>
      </c>
      <c r="I2781">
        <v>9</v>
      </c>
      <c r="J2781" s="19">
        <f>WEEKNUM(tblRidershipData[[#This Row],[MeasurementDate]])</f>
        <v>3</v>
      </c>
      <c r="K2781" s="19">
        <f>MONTH(tblRidershipData[[#This Row],[MeasurementDate]])</f>
        <v>1</v>
      </c>
    </row>
    <row r="2782" spans="1:11" x14ac:dyDescent="0.25">
      <c r="A2782" s="31">
        <v>43847</v>
      </c>
      <c r="B2782" t="s">
        <v>6</v>
      </c>
      <c r="C2782" s="31">
        <v>9308</v>
      </c>
      <c r="D2782" t="s">
        <v>87</v>
      </c>
      <c r="E2782" t="s">
        <v>109</v>
      </c>
      <c r="F2782">
        <v>1</v>
      </c>
      <c r="G2782" t="s">
        <v>66</v>
      </c>
      <c r="H2782" t="s">
        <v>112</v>
      </c>
      <c r="I2782">
        <v>25</v>
      </c>
      <c r="J2782" s="19">
        <f>WEEKNUM(tblRidershipData[[#This Row],[MeasurementDate]])</f>
        <v>3</v>
      </c>
      <c r="K2782" s="19">
        <f>MONTH(tblRidershipData[[#This Row],[MeasurementDate]])</f>
        <v>1</v>
      </c>
    </row>
    <row r="2783" spans="1:11" x14ac:dyDescent="0.25">
      <c r="A2783" s="31">
        <v>43847</v>
      </c>
      <c r="B2783" t="s">
        <v>6</v>
      </c>
      <c r="C2783" s="31">
        <v>9308</v>
      </c>
      <c r="D2783" t="s">
        <v>87</v>
      </c>
      <c r="E2783" t="s">
        <v>109</v>
      </c>
      <c r="F2783">
        <v>1</v>
      </c>
      <c r="G2783" t="s">
        <v>69</v>
      </c>
      <c r="H2783" t="s">
        <v>112</v>
      </c>
      <c r="I2783">
        <v>4</v>
      </c>
      <c r="J2783" s="19">
        <f>WEEKNUM(tblRidershipData[[#This Row],[MeasurementDate]])</f>
        <v>3</v>
      </c>
      <c r="K2783" s="19">
        <f>MONTH(tblRidershipData[[#This Row],[MeasurementDate]])</f>
        <v>1</v>
      </c>
    </row>
    <row r="2784" spans="1:11" x14ac:dyDescent="0.25">
      <c r="A2784" s="31">
        <v>43847</v>
      </c>
      <c r="B2784" t="s">
        <v>6</v>
      </c>
      <c r="C2784" s="31">
        <v>9308</v>
      </c>
      <c r="D2784" t="s">
        <v>87</v>
      </c>
      <c r="E2784" t="s">
        <v>109</v>
      </c>
      <c r="F2784">
        <v>1</v>
      </c>
      <c r="G2784" t="s">
        <v>70</v>
      </c>
      <c r="H2784" t="s">
        <v>112</v>
      </c>
      <c r="I2784">
        <v>2</v>
      </c>
      <c r="J2784" s="19">
        <f>WEEKNUM(tblRidershipData[[#This Row],[MeasurementDate]])</f>
        <v>3</v>
      </c>
      <c r="K2784" s="19">
        <f>MONTH(tblRidershipData[[#This Row],[MeasurementDate]])</f>
        <v>1</v>
      </c>
    </row>
    <row r="2785" spans="1:11" x14ac:dyDescent="0.25">
      <c r="A2785" s="31">
        <v>43847</v>
      </c>
      <c r="B2785" t="s">
        <v>6</v>
      </c>
      <c r="C2785" s="31">
        <v>9308</v>
      </c>
      <c r="D2785" t="s">
        <v>87</v>
      </c>
      <c r="E2785" t="s">
        <v>109</v>
      </c>
      <c r="F2785">
        <v>1</v>
      </c>
      <c r="G2785" t="s">
        <v>71</v>
      </c>
      <c r="H2785" t="s">
        <v>112</v>
      </c>
      <c r="I2785">
        <v>4</v>
      </c>
      <c r="J2785" s="19">
        <f>WEEKNUM(tblRidershipData[[#This Row],[MeasurementDate]])</f>
        <v>3</v>
      </c>
      <c r="K2785" s="19">
        <f>MONTH(tblRidershipData[[#This Row],[MeasurementDate]])</f>
        <v>1</v>
      </c>
    </row>
    <row r="2786" spans="1:11" x14ac:dyDescent="0.25">
      <c r="A2786" s="31">
        <v>43847</v>
      </c>
      <c r="B2786" t="s">
        <v>6</v>
      </c>
      <c r="C2786" s="31">
        <v>9308</v>
      </c>
      <c r="D2786" t="s">
        <v>87</v>
      </c>
      <c r="E2786" t="s">
        <v>109</v>
      </c>
      <c r="F2786">
        <v>1</v>
      </c>
      <c r="G2786" t="s">
        <v>76</v>
      </c>
      <c r="H2786" t="s">
        <v>112</v>
      </c>
      <c r="I2786">
        <v>7</v>
      </c>
      <c r="J2786" s="19">
        <f>WEEKNUM(tblRidershipData[[#This Row],[MeasurementDate]])</f>
        <v>3</v>
      </c>
      <c r="K2786" s="19">
        <f>MONTH(tblRidershipData[[#This Row],[MeasurementDate]])</f>
        <v>1</v>
      </c>
    </row>
    <row r="2787" spans="1:11" x14ac:dyDescent="0.25">
      <c r="A2787" s="31">
        <v>43847</v>
      </c>
      <c r="B2787" t="s">
        <v>6</v>
      </c>
      <c r="C2787" s="31">
        <v>9308</v>
      </c>
      <c r="D2787" t="s">
        <v>87</v>
      </c>
      <c r="E2787" t="s">
        <v>109</v>
      </c>
      <c r="F2787">
        <v>2</v>
      </c>
      <c r="G2787" t="s">
        <v>43</v>
      </c>
      <c r="H2787" t="s">
        <v>112</v>
      </c>
      <c r="I2787">
        <v>10</v>
      </c>
      <c r="J2787" s="19">
        <f>WEEKNUM(tblRidershipData[[#This Row],[MeasurementDate]])</f>
        <v>3</v>
      </c>
      <c r="K2787" s="19">
        <f>MONTH(tblRidershipData[[#This Row],[MeasurementDate]])</f>
        <v>1</v>
      </c>
    </row>
    <row r="2788" spans="1:11" x14ac:dyDescent="0.25">
      <c r="A2788" s="31">
        <v>43847</v>
      </c>
      <c r="B2788" t="s">
        <v>6</v>
      </c>
      <c r="C2788" s="31">
        <v>9308</v>
      </c>
      <c r="D2788" t="s">
        <v>87</v>
      </c>
      <c r="E2788" t="s">
        <v>109</v>
      </c>
      <c r="F2788">
        <v>2</v>
      </c>
      <c r="G2788" t="s">
        <v>44</v>
      </c>
      <c r="H2788" t="s">
        <v>112</v>
      </c>
      <c r="I2788">
        <v>10</v>
      </c>
      <c r="J2788" s="19">
        <f>WEEKNUM(tblRidershipData[[#This Row],[MeasurementDate]])</f>
        <v>3</v>
      </c>
      <c r="K2788" s="19">
        <f>MONTH(tblRidershipData[[#This Row],[MeasurementDate]])</f>
        <v>1</v>
      </c>
    </row>
    <row r="2789" spans="1:11" x14ac:dyDescent="0.25">
      <c r="A2789" s="31">
        <v>43847</v>
      </c>
      <c r="B2789" t="s">
        <v>6</v>
      </c>
      <c r="C2789" s="31">
        <v>9308</v>
      </c>
      <c r="D2789" t="s">
        <v>87</v>
      </c>
      <c r="E2789" t="s">
        <v>109</v>
      </c>
      <c r="F2789">
        <v>2</v>
      </c>
      <c r="G2789" t="s">
        <v>46</v>
      </c>
      <c r="H2789" t="s">
        <v>112</v>
      </c>
      <c r="I2789">
        <v>12</v>
      </c>
      <c r="J2789" s="19">
        <f>WEEKNUM(tblRidershipData[[#This Row],[MeasurementDate]])</f>
        <v>3</v>
      </c>
      <c r="K2789" s="19">
        <f>MONTH(tblRidershipData[[#This Row],[MeasurementDate]])</f>
        <v>1</v>
      </c>
    </row>
    <row r="2790" spans="1:11" x14ac:dyDescent="0.25">
      <c r="A2790" s="31">
        <v>43847</v>
      </c>
      <c r="B2790" t="s">
        <v>6</v>
      </c>
      <c r="C2790" s="31">
        <v>9308</v>
      </c>
      <c r="D2790" t="s">
        <v>87</v>
      </c>
      <c r="E2790" t="s">
        <v>109</v>
      </c>
      <c r="F2790">
        <v>2</v>
      </c>
      <c r="G2790" t="s">
        <v>55</v>
      </c>
      <c r="H2790" t="s">
        <v>112</v>
      </c>
      <c r="I2790">
        <v>5</v>
      </c>
      <c r="J2790" s="19">
        <f>WEEKNUM(tblRidershipData[[#This Row],[MeasurementDate]])</f>
        <v>3</v>
      </c>
      <c r="K2790" s="19">
        <f>MONTH(tblRidershipData[[#This Row],[MeasurementDate]])</f>
        <v>1</v>
      </c>
    </row>
    <row r="2791" spans="1:11" x14ac:dyDescent="0.25">
      <c r="A2791" s="31">
        <v>43847</v>
      </c>
      <c r="B2791" t="s">
        <v>6</v>
      </c>
      <c r="C2791" s="31">
        <v>9308</v>
      </c>
      <c r="D2791" t="s">
        <v>87</v>
      </c>
      <c r="E2791" t="s">
        <v>109</v>
      </c>
      <c r="F2791">
        <v>2</v>
      </c>
      <c r="G2791" t="s">
        <v>69</v>
      </c>
      <c r="H2791" t="s">
        <v>112</v>
      </c>
      <c r="I2791">
        <v>5</v>
      </c>
      <c r="J2791" s="19">
        <f>WEEKNUM(tblRidershipData[[#This Row],[MeasurementDate]])</f>
        <v>3</v>
      </c>
      <c r="K2791" s="19">
        <f>MONTH(tblRidershipData[[#This Row],[MeasurementDate]])</f>
        <v>1</v>
      </c>
    </row>
    <row r="2792" spans="1:11" x14ac:dyDescent="0.25">
      <c r="A2792" s="31">
        <v>43847</v>
      </c>
      <c r="B2792" t="s">
        <v>6</v>
      </c>
      <c r="C2792" s="31">
        <v>9308</v>
      </c>
      <c r="D2792" t="s">
        <v>87</v>
      </c>
      <c r="E2792" t="s">
        <v>109</v>
      </c>
      <c r="F2792">
        <v>2</v>
      </c>
      <c r="G2792" t="s">
        <v>70</v>
      </c>
      <c r="H2792" t="s">
        <v>112</v>
      </c>
      <c r="I2792">
        <v>11</v>
      </c>
      <c r="J2792" s="19">
        <f>WEEKNUM(tblRidershipData[[#This Row],[MeasurementDate]])</f>
        <v>3</v>
      </c>
      <c r="K2792" s="19">
        <f>MONTH(tblRidershipData[[#This Row],[MeasurementDate]])</f>
        <v>1</v>
      </c>
    </row>
    <row r="2793" spans="1:11" x14ac:dyDescent="0.25">
      <c r="A2793" s="31">
        <v>44029</v>
      </c>
      <c r="B2793" t="s">
        <v>6</v>
      </c>
      <c r="C2793" s="31">
        <v>9311</v>
      </c>
      <c r="D2793" t="s">
        <v>90</v>
      </c>
      <c r="E2793" t="s">
        <v>111</v>
      </c>
      <c r="F2793">
        <v>1</v>
      </c>
      <c r="G2793" t="s">
        <v>46</v>
      </c>
      <c r="H2793" t="s">
        <v>110</v>
      </c>
      <c r="I2793">
        <v>6</v>
      </c>
      <c r="J2793" s="19">
        <f>WEEKNUM(tblRidershipData[[#This Row],[MeasurementDate]])</f>
        <v>29</v>
      </c>
      <c r="K2793" s="19">
        <f>MONTH(tblRidershipData[[#This Row],[MeasurementDate]])</f>
        <v>7</v>
      </c>
    </row>
    <row r="2794" spans="1:11" x14ac:dyDescent="0.25">
      <c r="A2794" s="31">
        <v>44029</v>
      </c>
      <c r="B2794" t="s">
        <v>6</v>
      </c>
      <c r="C2794" s="31">
        <v>9311</v>
      </c>
      <c r="D2794" t="s">
        <v>90</v>
      </c>
      <c r="E2794" t="s">
        <v>111</v>
      </c>
      <c r="F2794">
        <v>1</v>
      </c>
      <c r="G2794" t="s">
        <v>55</v>
      </c>
      <c r="H2794" t="s">
        <v>110</v>
      </c>
      <c r="I2794">
        <v>4</v>
      </c>
      <c r="J2794" s="19">
        <f>WEEKNUM(tblRidershipData[[#This Row],[MeasurementDate]])</f>
        <v>29</v>
      </c>
      <c r="K2794" s="19">
        <f>MONTH(tblRidershipData[[#This Row],[MeasurementDate]])</f>
        <v>7</v>
      </c>
    </row>
    <row r="2795" spans="1:11" x14ac:dyDescent="0.25">
      <c r="A2795" s="31">
        <v>44029</v>
      </c>
      <c r="B2795" t="s">
        <v>6</v>
      </c>
      <c r="C2795" s="31">
        <v>9311</v>
      </c>
      <c r="D2795" t="s">
        <v>90</v>
      </c>
      <c r="E2795" t="s">
        <v>111</v>
      </c>
      <c r="F2795">
        <v>1</v>
      </c>
      <c r="G2795" t="s">
        <v>69</v>
      </c>
      <c r="H2795" t="s">
        <v>110</v>
      </c>
      <c r="I2795">
        <v>5</v>
      </c>
      <c r="J2795" s="19">
        <f>WEEKNUM(tblRidershipData[[#This Row],[MeasurementDate]])</f>
        <v>29</v>
      </c>
      <c r="K2795" s="19">
        <f>MONTH(tblRidershipData[[#This Row],[MeasurementDate]])</f>
        <v>7</v>
      </c>
    </row>
    <row r="2796" spans="1:11" x14ac:dyDescent="0.25">
      <c r="A2796" s="31">
        <v>44029</v>
      </c>
      <c r="B2796" t="s">
        <v>6</v>
      </c>
      <c r="C2796" s="31">
        <v>9311</v>
      </c>
      <c r="D2796" t="s">
        <v>90</v>
      </c>
      <c r="E2796" t="s">
        <v>111</v>
      </c>
      <c r="F2796">
        <v>1</v>
      </c>
      <c r="G2796" t="s">
        <v>70</v>
      </c>
      <c r="H2796" t="s">
        <v>110</v>
      </c>
      <c r="I2796">
        <v>12</v>
      </c>
      <c r="J2796" s="19">
        <f>WEEKNUM(tblRidershipData[[#This Row],[MeasurementDate]])</f>
        <v>29</v>
      </c>
      <c r="K2796" s="19">
        <f>MONTH(tblRidershipData[[#This Row],[MeasurementDate]])</f>
        <v>7</v>
      </c>
    </row>
    <row r="2797" spans="1:11" x14ac:dyDescent="0.25">
      <c r="A2797" s="31">
        <v>44029</v>
      </c>
      <c r="B2797" t="s">
        <v>6</v>
      </c>
      <c r="C2797" s="31">
        <v>9311</v>
      </c>
      <c r="D2797" t="s">
        <v>90</v>
      </c>
      <c r="E2797" t="s">
        <v>111</v>
      </c>
      <c r="F2797">
        <v>1</v>
      </c>
      <c r="G2797" t="s">
        <v>71</v>
      </c>
      <c r="H2797" t="s">
        <v>110</v>
      </c>
      <c r="I2797">
        <v>3</v>
      </c>
      <c r="J2797" s="19">
        <f>WEEKNUM(tblRidershipData[[#This Row],[MeasurementDate]])</f>
        <v>29</v>
      </c>
      <c r="K2797" s="19">
        <f>MONTH(tblRidershipData[[#This Row],[MeasurementDate]])</f>
        <v>7</v>
      </c>
    </row>
    <row r="2798" spans="1:11" x14ac:dyDescent="0.25">
      <c r="A2798" s="31">
        <v>44029</v>
      </c>
      <c r="B2798" t="s">
        <v>6</v>
      </c>
      <c r="C2798" s="31">
        <v>9311</v>
      </c>
      <c r="D2798" t="s">
        <v>90</v>
      </c>
      <c r="E2798" t="s">
        <v>111</v>
      </c>
      <c r="F2798">
        <v>2</v>
      </c>
      <c r="G2798" t="s">
        <v>52</v>
      </c>
      <c r="H2798" t="s">
        <v>110</v>
      </c>
      <c r="I2798">
        <v>8</v>
      </c>
      <c r="J2798" s="19">
        <f>WEEKNUM(tblRidershipData[[#This Row],[MeasurementDate]])</f>
        <v>29</v>
      </c>
      <c r="K2798" s="19">
        <f>MONTH(tblRidershipData[[#This Row],[MeasurementDate]])</f>
        <v>7</v>
      </c>
    </row>
    <row r="2799" spans="1:11" x14ac:dyDescent="0.25">
      <c r="A2799" s="31">
        <v>44029</v>
      </c>
      <c r="B2799" t="s">
        <v>6</v>
      </c>
      <c r="C2799" s="31">
        <v>9311</v>
      </c>
      <c r="D2799" t="s">
        <v>90</v>
      </c>
      <c r="E2799" t="s">
        <v>109</v>
      </c>
      <c r="F2799">
        <v>1</v>
      </c>
      <c r="G2799" t="s">
        <v>55</v>
      </c>
      <c r="H2799" t="s">
        <v>110</v>
      </c>
      <c r="I2799">
        <v>10</v>
      </c>
      <c r="J2799" s="19">
        <f>WEEKNUM(tblRidershipData[[#This Row],[MeasurementDate]])</f>
        <v>29</v>
      </c>
      <c r="K2799" s="19">
        <f>MONTH(tblRidershipData[[#This Row],[MeasurementDate]])</f>
        <v>7</v>
      </c>
    </row>
    <row r="2800" spans="1:11" x14ac:dyDescent="0.25">
      <c r="A2800" s="31">
        <v>44029</v>
      </c>
      <c r="B2800" t="s">
        <v>6</v>
      </c>
      <c r="C2800" s="31">
        <v>9311</v>
      </c>
      <c r="D2800" t="s">
        <v>90</v>
      </c>
      <c r="E2800" t="s">
        <v>109</v>
      </c>
      <c r="F2800">
        <v>1</v>
      </c>
      <c r="G2800" t="s">
        <v>67</v>
      </c>
      <c r="H2800" t="s">
        <v>110</v>
      </c>
      <c r="I2800">
        <v>38</v>
      </c>
      <c r="J2800" s="19">
        <f>WEEKNUM(tblRidershipData[[#This Row],[MeasurementDate]])</f>
        <v>29</v>
      </c>
      <c r="K2800" s="19">
        <f>MONTH(tblRidershipData[[#This Row],[MeasurementDate]])</f>
        <v>7</v>
      </c>
    </row>
    <row r="2801" spans="1:11" x14ac:dyDescent="0.25">
      <c r="A2801" s="31">
        <v>44029</v>
      </c>
      <c r="B2801" t="s">
        <v>6</v>
      </c>
      <c r="C2801" s="31">
        <v>9311</v>
      </c>
      <c r="D2801" t="s">
        <v>90</v>
      </c>
      <c r="E2801" t="s">
        <v>109</v>
      </c>
      <c r="F2801">
        <v>1</v>
      </c>
      <c r="G2801" t="s">
        <v>70</v>
      </c>
      <c r="H2801" t="s">
        <v>110</v>
      </c>
      <c r="I2801">
        <v>10</v>
      </c>
      <c r="J2801" s="19">
        <f>WEEKNUM(tblRidershipData[[#This Row],[MeasurementDate]])</f>
        <v>29</v>
      </c>
      <c r="K2801" s="19">
        <f>MONTH(tblRidershipData[[#This Row],[MeasurementDate]])</f>
        <v>7</v>
      </c>
    </row>
    <row r="2802" spans="1:11" x14ac:dyDescent="0.25">
      <c r="A2802" s="31">
        <v>44029</v>
      </c>
      <c r="B2802" t="s">
        <v>6</v>
      </c>
      <c r="C2802" s="31">
        <v>9311</v>
      </c>
      <c r="D2802" t="s">
        <v>90</v>
      </c>
      <c r="E2802" t="s">
        <v>109</v>
      </c>
      <c r="F2802">
        <v>2</v>
      </c>
      <c r="G2802" t="s">
        <v>70</v>
      </c>
      <c r="H2802" t="s">
        <v>110</v>
      </c>
      <c r="I2802">
        <v>5</v>
      </c>
      <c r="J2802" s="19">
        <f>WEEKNUM(tblRidershipData[[#This Row],[MeasurementDate]])</f>
        <v>29</v>
      </c>
      <c r="K2802" s="19">
        <f>MONTH(tblRidershipData[[#This Row],[MeasurementDate]])</f>
        <v>7</v>
      </c>
    </row>
    <row r="2803" spans="1:11" x14ac:dyDescent="0.25">
      <c r="A2803" s="31">
        <v>43847</v>
      </c>
      <c r="B2803" t="s">
        <v>6</v>
      </c>
      <c r="C2803" s="31">
        <v>9311</v>
      </c>
      <c r="D2803" t="s">
        <v>90</v>
      </c>
      <c r="E2803" t="s">
        <v>111</v>
      </c>
      <c r="F2803">
        <v>1</v>
      </c>
      <c r="G2803" t="s">
        <v>42</v>
      </c>
      <c r="H2803" t="s">
        <v>112</v>
      </c>
      <c r="I2803">
        <v>1</v>
      </c>
      <c r="J2803" s="19">
        <f>WEEKNUM(tblRidershipData[[#This Row],[MeasurementDate]])</f>
        <v>3</v>
      </c>
      <c r="K2803" s="19">
        <f>MONTH(tblRidershipData[[#This Row],[MeasurementDate]])</f>
        <v>1</v>
      </c>
    </row>
    <row r="2804" spans="1:11" x14ac:dyDescent="0.25">
      <c r="A2804" s="31">
        <v>43847</v>
      </c>
      <c r="B2804" t="s">
        <v>6</v>
      </c>
      <c r="C2804" s="31">
        <v>9311</v>
      </c>
      <c r="D2804" t="s">
        <v>90</v>
      </c>
      <c r="E2804" t="s">
        <v>111</v>
      </c>
      <c r="F2804">
        <v>1</v>
      </c>
      <c r="G2804" t="s">
        <v>51</v>
      </c>
      <c r="H2804" t="s">
        <v>112</v>
      </c>
      <c r="I2804">
        <v>20</v>
      </c>
      <c r="J2804" s="19">
        <f>WEEKNUM(tblRidershipData[[#This Row],[MeasurementDate]])</f>
        <v>3</v>
      </c>
      <c r="K2804" s="19">
        <f>MONTH(tblRidershipData[[#This Row],[MeasurementDate]])</f>
        <v>1</v>
      </c>
    </row>
    <row r="2805" spans="1:11" x14ac:dyDescent="0.25">
      <c r="A2805" s="31">
        <v>43847</v>
      </c>
      <c r="B2805" t="s">
        <v>6</v>
      </c>
      <c r="C2805" s="31">
        <v>9311</v>
      </c>
      <c r="D2805" t="s">
        <v>90</v>
      </c>
      <c r="E2805" t="s">
        <v>111</v>
      </c>
      <c r="F2805">
        <v>1</v>
      </c>
      <c r="G2805" t="s">
        <v>57</v>
      </c>
      <c r="H2805" t="s">
        <v>112</v>
      </c>
      <c r="I2805">
        <v>3</v>
      </c>
      <c r="J2805" s="19">
        <f>WEEKNUM(tblRidershipData[[#This Row],[MeasurementDate]])</f>
        <v>3</v>
      </c>
      <c r="K2805" s="19">
        <f>MONTH(tblRidershipData[[#This Row],[MeasurementDate]])</f>
        <v>1</v>
      </c>
    </row>
    <row r="2806" spans="1:11" x14ac:dyDescent="0.25">
      <c r="A2806" s="31">
        <v>43847</v>
      </c>
      <c r="B2806" t="s">
        <v>6</v>
      </c>
      <c r="C2806" s="31">
        <v>9311</v>
      </c>
      <c r="D2806" t="s">
        <v>90</v>
      </c>
      <c r="E2806" t="s">
        <v>111</v>
      </c>
      <c r="F2806">
        <v>1</v>
      </c>
      <c r="G2806" t="s">
        <v>59</v>
      </c>
      <c r="H2806" t="s">
        <v>112</v>
      </c>
      <c r="I2806">
        <v>3</v>
      </c>
      <c r="J2806" s="19">
        <f>WEEKNUM(tblRidershipData[[#This Row],[MeasurementDate]])</f>
        <v>3</v>
      </c>
      <c r="K2806" s="19">
        <f>MONTH(tblRidershipData[[#This Row],[MeasurementDate]])</f>
        <v>1</v>
      </c>
    </row>
    <row r="2807" spans="1:11" x14ac:dyDescent="0.25">
      <c r="A2807" s="31">
        <v>43847</v>
      </c>
      <c r="B2807" t="s">
        <v>6</v>
      </c>
      <c r="C2807" s="31">
        <v>9311</v>
      </c>
      <c r="D2807" t="s">
        <v>90</v>
      </c>
      <c r="E2807" t="s">
        <v>111</v>
      </c>
      <c r="F2807">
        <v>1</v>
      </c>
      <c r="G2807" t="s">
        <v>71</v>
      </c>
      <c r="H2807" t="s">
        <v>112</v>
      </c>
      <c r="I2807">
        <v>1</v>
      </c>
      <c r="J2807" s="19">
        <f>WEEKNUM(tblRidershipData[[#This Row],[MeasurementDate]])</f>
        <v>3</v>
      </c>
      <c r="K2807" s="19">
        <f>MONTH(tblRidershipData[[#This Row],[MeasurementDate]])</f>
        <v>1</v>
      </c>
    </row>
    <row r="2808" spans="1:11" x14ac:dyDescent="0.25">
      <c r="A2808" s="31">
        <v>43847</v>
      </c>
      <c r="B2808" t="s">
        <v>6</v>
      </c>
      <c r="C2808" s="31">
        <v>9311</v>
      </c>
      <c r="D2808" t="s">
        <v>90</v>
      </c>
      <c r="E2808" t="s">
        <v>111</v>
      </c>
      <c r="F2808">
        <v>2</v>
      </c>
      <c r="G2808" t="s">
        <v>44</v>
      </c>
      <c r="H2808" t="s">
        <v>112</v>
      </c>
      <c r="I2808">
        <v>3</v>
      </c>
      <c r="J2808" s="19">
        <f>WEEKNUM(tblRidershipData[[#This Row],[MeasurementDate]])</f>
        <v>3</v>
      </c>
      <c r="K2808" s="19">
        <f>MONTH(tblRidershipData[[#This Row],[MeasurementDate]])</f>
        <v>1</v>
      </c>
    </row>
    <row r="2809" spans="1:11" x14ac:dyDescent="0.25">
      <c r="A2809" s="31">
        <v>43847</v>
      </c>
      <c r="B2809" t="s">
        <v>6</v>
      </c>
      <c r="C2809" s="31">
        <v>9311</v>
      </c>
      <c r="D2809" t="s">
        <v>90</v>
      </c>
      <c r="E2809" t="s">
        <v>111</v>
      </c>
      <c r="F2809">
        <v>2</v>
      </c>
      <c r="G2809" t="s">
        <v>55</v>
      </c>
      <c r="H2809" t="s">
        <v>112</v>
      </c>
      <c r="I2809">
        <v>2</v>
      </c>
      <c r="J2809" s="19">
        <f>WEEKNUM(tblRidershipData[[#This Row],[MeasurementDate]])</f>
        <v>3</v>
      </c>
      <c r="K2809" s="19">
        <f>MONTH(tblRidershipData[[#This Row],[MeasurementDate]])</f>
        <v>1</v>
      </c>
    </row>
    <row r="2810" spans="1:11" x14ac:dyDescent="0.25">
      <c r="A2810" s="31">
        <v>43847</v>
      </c>
      <c r="B2810" t="s">
        <v>6</v>
      </c>
      <c r="C2810" s="31">
        <v>9311</v>
      </c>
      <c r="D2810" t="s">
        <v>90</v>
      </c>
      <c r="E2810" t="s">
        <v>111</v>
      </c>
      <c r="F2810">
        <v>2</v>
      </c>
      <c r="G2810" t="s">
        <v>57</v>
      </c>
      <c r="H2810" t="s">
        <v>112</v>
      </c>
      <c r="I2810">
        <v>2</v>
      </c>
      <c r="J2810" s="19">
        <f>WEEKNUM(tblRidershipData[[#This Row],[MeasurementDate]])</f>
        <v>3</v>
      </c>
      <c r="K2810" s="19">
        <f>MONTH(tblRidershipData[[#This Row],[MeasurementDate]])</f>
        <v>1</v>
      </c>
    </row>
    <row r="2811" spans="1:11" x14ac:dyDescent="0.25">
      <c r="A2811" s="31">
        <v>43847</v>
      </c>
      <c r="B2811" t="s">
        <v>6</v>
      </c>
      <c r="C2811" s="31">
        <v>9311</v>
      </c>
      <c r="D2811" t="s">
        <v>90</v>
      </c>
      <c r="E2811" t="s">
        <v>111</v>
      </c>
      <c r="F2811">
        <v>2</v>
      </c>
      <c r="G2811" t="s">
        <v>66</v>
      </c>
      <c r="H2811" t="s">
        <v>112</v>
      </c>
      <c r="I2811">
        <v>2</v>
      </c>
      <c r="J2811" s="19">
        <f>WEEKNUM(tblRidershipData[[#This Row],[MeasurementDate]])</f>
        <v>3</v>
      </c>
      <c r="K2811" s="19">
        <f>MONTH(tblRidershipData[[#This Row],[MeasurementDate]])</f>
        <v>1</v>
      </c>
    </row>
    <row r="2812" spans="1:11" x14ac:dyDescent="0.25">
      <c r="A2812" s="31">
        <v>43847</v>
      </c>
      <c r="B2812" t="s">
        <v>6</v>
      </c>
      <c r="C2812" s="31">
        <v>9311</v>
      </c>
      <c r="D2812" t="s">
        <v>90</v>
      </c>
      <c r="E2812" t="s">
        <v>109</v>
      </c>
      <c r="F2812">
        <v>1</v>
      </c>
      <c r="G2812" t="s">
        <v>43</v>
      </c>
      <c r="H2812" t="s">
        <v>112</v>
      </c>
      <c r="I2812">
        <v>3</v>
      </c>
      <c r="J2812" s="19">
        <f>WEEKNUM(tblRidershipData[[#This Row],[MeasurementDate]])</f>
        <v>3</v>
      </c>
      <c r="K2812" s="19">
        <f>MONTH(tblRidershipData[[#This Row],[MeasurementDate]])</f>
        <v>1</v>
      </c>
    </row>
    <row r="2813" spans="1:11" x14ac:dyDescent="0.25">
      <c r="A2813" s="31">
        <v>43847</v>
      </c>
      <c r="B2813" t="s">
        <v>6</v>
      </c>
      <c r="C2813" s="31">
        <v>9311</v>
      </c>
      <c r="D2813" t="s">
        <v>90</v>
      </c>
      <c r="E2813" t="s">
        <v>109</v>
      </c>
      <c r="F2813">
        <v>1</v>
      </c>
      <c r="G2813" t="s">
        <v>44</v>
      </c>
      <c r="H2813" t="s">
        <v>112</v>
      </c>
      <c r="I2813">
        <v>18</v>
      </c>
      <c r="J2813" s="19">
        <f>WEEKNUM(tblRidershipData[[#This Row],[MeasurementDate]])</f>
        <v>3</v>
      </c>
      <c r="K2813" s="19">
        <f>MONTH(tblRidershipData[[#This Row],[MeasurementDate]])</f>
        <v>1</v>
      </c>
    </row>
    <row r="2814" spans="1:11" x14ac:dyDescent="0.25">
      <c r="A2814" s="31">
        <v>43847</v>
      </c>
      <c r="B2814" t="s">
        <v>6</v>
      </c>
      <c r="C2814" s="31">
        <v>9311</v>
      </c>
      <c r="D2814" t="s">
        <v>90</v>
      </c>
      <c r="E2814" t="s">
        <v>109</v>
      </c>
      <c r="F2814">
        <v>1</v>
      </c>
      <c r="G2814" t="s">
        <v>46</v>
      </c>
      <c r="H2814" t="s">
        <v>112</v>
      </c>
      <c r="I2814">
        <v>2</v>
      </c>
      <c r="J2814" s="19">
        <f>WEEKNUM(tblRidershipData[[#This Row],[MeasurementDate]])</f>
        <v>3</v>
      </c>
      <c r="K2814" s="19">
        <f>MONTH(tblRidershipData[[#This Row],[MeasurementDate]])</f>
        <v>1</v>
      </c>
    </row>
    <row r="2815" spans="1:11" x14ac:dyDescent="0.25">
      <c r="A2815" s="31">
        <v>43847</v>
      </c>
      <c r="B2815" t="s">
        <v>6</v>
      </c>
      <c r="C2815" s="31">
        <v>9311</v>
      </c>
      <c r="D2815" t="s">
        <v>90</v>
      </c>
      <c r="E2815" t="s">
        <v>109</v>
      </c>
      <c r="F2815">
        <v>1</v>
      </c>
      <c r="G2815" t="s">
        <v>55</v>
      </c>
      <c r="H2815" t="s">
        <v>112</v>
      </c>
      <c r="I2815">
        <v>18</v>
      </c>
      <c r="J2815" s="19">
        <f>WEEKNUM(tblRidershipData[[#This Row],[MeasurementDate]])</f>
        <v>3</v>
      </c>
      <c r="K2815" s="19">
        <f>MONTH(tblRidershipData[[#This Row],[MeasurementDate]])</f>
        <v>1</v>
      </c>
    </row>
    <row r="2816" spans="1:11" x14ac:dyDescent="0.25">
      <c r="A2816" s="31">
        <v>43847</v>
      </c>
      <c r="B2816" t="s">
        <v>6</v>
      </c>
      <c r="C2816" s="31">
        <v>9311</v>
      </c>
      <c r="D2816" t="s">
        <v>90</v>
      </c>
      <c r="E2816" t="s">
        <v>109</v>
      </c>
      <c r="F2816">
        <v>1</v>
      </c>
      <c r="G2816" t="s">
        <v>59</v>
      </c>
      <c r="H2816" t="s">
        <v>112</v>
      </c>
      <c r="I2816">
        <v>2</v>
      </c>
      <c r="J2816" s="19">
        <f>WEEKNUM(tblRidershipData[[#This Row],[MeasurementDate]])</f>
        <v>3</v>
      </c>
      <c r="K2816" s="19">
        <f>MONTH(tblRidershipData[[#This Row],[MeasurementDate]])</f>
        <v>1</v>
      </c>
    </row>
    <row r="2817" spans="1:11" x14ac:dyDescent="0.25">
      <c r="A2817" s="31">
        <v>43847</v>
      </c>
      <c r="B2817" t="s">
        <v>6</v>
      </c>
      <c r="C2817" s="31">
        <v>9311</v>
      </c>
      <c r="D2817" t="s">
        <v>90</v>
      </c>
      <c r="E2817" t="s">
        <v>109</v>
      </c>
      <c r="F2817">
        <v>1</v>
      </c>
      <c r="G2817" t="s">
        <v>60</v>
      </c>
      <c r="H2817" t="s">
        <v>112</v>
      </c>
      <c r="I2817">
        <v>5</v>
      </c>
      <c r="J2817" s="19">
        <f>WEEKNUM(tblRidershipData[[#This Row],[MeasurementDate]])</f>
        <v>3</v>
      </c>
      <c r="K2817" s="19">
        <f>MONTH(tblRidershipData[[#This Row],[MeasurementDate]])</f>
        <v>1</v>
      </c>
    </row>
    <row r="2818" spans="1:11" x14ac:dyDescent="0.25">
      <c r="A2818" s="31">
        <v>43847</v>
      </c>
      <c r="B2818" t="s">
        <v>6</v>
      </c>
      <c r="C2818" s="31">
        <v>9311</v>
      </c>
      <c r="D2818" t="s">
        <v>90</v>
      </c>
      <c r="E2818" t="s">
        <v>109</v>
      </c>
      <c r="F2818">
        <v>1</v>
      </c>
      <c r="G2818" t="s">
        <v>66</v>
      </c>
      <c r="H2818" t="s">
        <v>112</v>
      </c>
      <c r="I2818">
        <v>8</v>
      </c>
      <c r="J2818" s="19">
        <f>WEEKNUM(tblRidershipData[[#This Row],[MeasurementDate]])</f>
        <v>3</v>
      </c>
      <c r="K2818" s="19">
        <f>MONTH(tblRidershipData[[#This Row],[MeasurementDate]])</f>
        <v>1</v>
      </c>
    </row>
    <row r="2819" spans="1:11" x14ac:dyDescent="0.25">
      <c r="A2819" s="31">
        <v>43847</v>
      </c>
      <c r="B2819" t="s">
        <v>6</v>
      </c>
      <c r="C2819" s="31">
        <v>9311</v>
      </c>
      <c r="D2819" t="s">
        <v>90</v>
      </c>
      <c r="E2819" t="s">
        <v>109</v>
      </c>
      <c r="F2819">
        <v>1</v>
      </c>
      <c r="G2819" t="s">
        <v>70</v>
      </c>
      <c r="H2819" t="s">
        <v>112</v>
      </c>
      <c r="I2819">
        <v>2</v>
      </c>
      <c r="J2819" s="19">
        <f>WEEKNUM(tblRidershipData[[#This Row],[MeasurementDate]])</f>
        <v>3</v>
      </c>
      <c r="K2819" s="19">
        <f>MONTH(tblRidershipData[[#This Row],[MeasurementDate]])</f>
        <v>1</v>
      </c>
    </row>
    <row r="2820" spans="1:11" x14ac:dyDescent="0.25">
      <c r="A2820" s="31">
        <v>43847</v>
      </c>
      <c r="B2820" t="s">
        <v>6</v>
      </c>
      <c r="C2820" s="31">
        <v>9311</v>
      </c>
      <c r="D2820" t="s">
        <v>90</v>
      </c>
      <c r="E2820" t="s">
        <v>109</v>
      </c>
      <c r="F2820">
        <v>1</v>
      </c>
      <c r="G2820" t="s">
        <v>71</v>
      </c>
      <c r="H2820" t="s">
        <v>112</v>
      </c>
      <c r="I2820">
        <v>2</v>
      </c>
      <c r="J2820" s="19">
        <f>WEEKNUM(tblRidershipData[[#This Row],[MeasurementDate]])</f>
        <v>3</v>
      </c>
      <c r="K2820" s="19">
        <f>MONTH(tblRidershipData[[#This Row],[MeasurementDate]])</f>
        <v>1</v>
      </c>
    </row>
    <row r="2821" spans="1:11" x14ac:dyDescent="0.25">
      <c r="A2821" s="31">
        <v>43847</v>
      </c>
      <c r="B2821" t="s">
        <v>6</v>
      </c>
      <c r="C2821" s="31">
        <v>9311</v>
      </c>
      <c r="D2821" t="s">
        <v>90</v>
      </c>
      <c r="E2821" t="s">
        <v>109</v>
      </c>
      <c r="F2821">
        <v>1</v>
      </c>
      <c r="G2821" t="s">
        <v>76</v>
      </c>
      <c r="H2821" t="s">
        <v>112</v>
      </c>
      <c r="I2821">
        <v>2</v>
      </c>
      <c r="J2821" s="19">
        <f>WEEKNUM(tblRidershipData[[#This Row],[MeasurementDate]])</f>
        <v>3</v>
      </c>
      <c r="K2821" s="19">
        <f>MONTH(tblRidershipData[[#This Row],[MeasurementDate]])</f>
        <v>1</v>
      </c>
    </row>
    <row r="2822" spans="1:11" x14ac:dyDescent="0.25">
      <c r="A2822" s="31">
        <v>43847</v>
      </c>
      <c r="B2822" t="s">
        <v>6</v>
      </c>
      <c r="C2822" s="31">
        <v>9311</v>
      </c>
      <c r="D2822" t="s">
        <v>90</v>
      </c>
      <c r="E2822" t="s">
        <v>109</v>
      </c>
      <c r="F2822">
        <v>2</v>
      </c>
      <c r="G2822" t="s">
        <v>46</v>
      </c>
      <c r="H2822" t="s">
        <v>112</v>
      </c>
      <c r="I2822">
        <v>1</v>
      </c>
      <c r="J2822" s="19">
        <f>WEEKNUM(tblRidershipData[[#This Row],[MeasurementDate]])</f>
        <v>3</v>
      </c>
      <c r="K2822" s="19">
        <f>MONTH(tblRidershipData[[#This Row],[MeasurementDate]])</f>
        <v>1</v>
      </c>
    </row>
    <row r="2823" spans="1:11" x14ac:dyDescent="0.25">
      <c r="A2823" s="31">
        <v>43847</v>
      </c>
      <c r="B2823" t="s">
        <v>6</v>
      </c>
      <c r="C2823" s="31">
        <v>9313</v>
      </c>
      <c r="D2823" t="s">
        <v>89</v>
      </c>
      <c r="E2823" t="s">
        <v>111</v>
      </c>
      <c r="F2823">
        <v>1</v>
      </c>
      <c r="G2823" t="s">
        <v>45</v>
      </c>
      <c r="H2823" t="s">
        <v>110</v>
      </c>
      <c r="I2823">
        <v>1</v>
      </c>
      <c r="J2823" s="19">
        <f>WEEKNUM(tblRidershipData[[#This Row],[MeasurementDate]])</f>
        <v>3</v>
      </c>
      <c r="K2823" s="19">
        <f>MONTH(tblRidershipData[[#This Row],[MeasurementDate]])</f>
        <v>1</v>
      </c>
    </row>
    <row r="2824" spans="1:11" x14ac:dyDescent="0.25">
      <c r="A2824" s="31">
        <v>43847</v>
      </c>
      <c r="B2824" t="s">
        <v>6</v>
      </c>
      <c r="C2824" s="31">
        <v>9313</v>
      </c>
      <c r="D2824" t="s">
        <v>89</v>
      </c>
      <c r="E2824" t="s">
        <v>111</v>
      </c>
      <c r="F2824">
        <v>1</v>
      </c>
      <c r="G2824" t="s">
        <v>46</v>
      </c>
      <c r="H2824" t="s">
        <v>110</v>
      </c>
      <c r="I2824">
        <v>1</v>
      </c>
      <c r="J2824" s="19">
        <f>WEEKNUM(tblRidershipData[[#This Row],[MeasurementDate]])</f>
        <v>3</v>
      </c>
      <c r="K2824" s="19">
        <f>MONTH(tblRidershipData[[#This Row],[MeasurementDate]])</f>
        <v>1</v>
      </c>
    </row>
    <row r="2825" spans="1:11" x14ac:dyDescent="0.25">
      <c r="A2825" s="31">
        <v>43847</v>
      </c>
      <c r="B2825" t="s">
        <v>6</v>
      </c>
      <c r="C2825" s="31">
        <v>9313</v>
      </c>
      <c r="D2825" t="s">
        <v>89</v>
      </c>
      <c r="E2825" t="s">
        <v>111</v>
      </c>
      <c r="F2825">
        <v>1</v>
      </c>
      <c r="G2825" t="s">
        <v>47</v>
      </c>
      <c r="H2825" t="s">
        <v>110</v>
      </c>
      <c r="I2825">
        <v>2</v>
      </c>
      <c r="J2825" s="19">
        <f>WEEKNUM(tblRidershipData[[#This Row],[MeasurementDate]])</f>
        <v>3</v>
      </c>
      <c r="K2825" s="19">
        <f>MONTH(tblRidershipData[[#This Row],[MeasurementDate]])</f>
        <v>1</v>
      </c>
    </row>
    <row r="2826" spans="1:11" x14ac:dyDescent="0.25">
      <c r="A2826" s="31">
        <v>43847</v>
      </c>
      <c r="B2826" t="s">
        <v>6</v>
      </c>
      <c r="C2826" s="31">
        <v>9313</v>
      </c>
      <c r="D2826" t="s">
        <v>89</v>
      </c>
      <c r="E2826" t="s">
        <v>111</v>
      </c>
      <c r="F2826">
        <v>1</v>
      </c>
      <c r="G2826" t="s">
        <v>49</v>
      </c>
      <c r="H2826" t="s">
        <v>110</v>
      </c>
      <c r="I2826">
        <v>7</v>
      </c>
      <c r="J2826" s="19">
        <f>WEEKNUM(tblRidershipData[[#This Row],[MeasurementDate]])</f>
        <v>3</v>
      </c>
      <c r="K2826" s="19">
        <f>MONTH(tblRidershipData[[#This Row],[MeasurementDate]])</f>
        <v>1</v>
      </c>
    </row>
    <row r="2827" spans="1:11" x14ac:dyDescent="0.25">
      <c r="A2827" s="31">
        <v>43847</v>
      </c>
      <c r="B2827" t="s">
        <v>6</v>
      </c>
      <c r="C2827" s="31">
        <v>9313</v>
      </c>
      <c r="D2827" t="s">
        <v>89</v>
      </c>
      <c r="E2827" t="s">
        <v>111</v>
      </c>
      <c r="F2827">
        <v>1</v>
      </c>
      <c r="G2827" t="s">
        <v>55</v>
      </c>
      <c r="H2827" t="s">
        <v>110</v>
      </c>
      <c r="I2827">
        <v>1</v>
      </c>
      <c r="J2827" s="19">
        <f>WEEKNUM(tblRidershipData[[#This Row],[MeasurementDate]])</f>
        <v>3</v>
      </c>
      <c r="K2827" s="19">
        <f>MONTH(tblRidershipData[[#This Row],[MeasurementDate]])</f>
        <v>1</v>
      </c>
    </row>
    <row r="2828" spans="1:11" x14ac:dyDescent="0.25">
      <c r="A2828" s="31">
        <v>43847</v>
      </c>
      <c r="B2828" t="s">
        <v>6</v>
      </c>
      <c r="C2828" s="31">
        <v>9313</v>
      </c>
      <c r="D2828" t="s">
        <v>89</v>
      </c>
      <c r="E2828" t="s">
        <v>111</v>
      </c>
      <c r="F2828">
        <v>1</v>
      </c>
      <c r="G2828" t="s">
        <v>58</v>
      </c>
      <c r="H2828" t="s">
        <v>110</v>
      </c>
      <c r="I2828">
        <v>2</v>
      </c>
      <c r="J2828" s="19">
        <f>WEEKNUM(tblRidershipData[[#This Row],[MeasurementDate]])</f>
        <v>3</v>
      </c>
      <c r="K2828" s="19">
        <f>MONTH(tblRidershipData[[#This Row],[MeasurementDate]])</f>
        <v>1</v>
      </c>
    </row>
    <row r="2829" spans="1:11" x14ac:dyDescent="0.25">
      <c r="A2829" s="31">
        <v>43847</v>
      </c>
      <c r="B2829" t="s">
        <v>6</v>
      </c>
      <c r="C2829" s="31">
        <v>9313</v>
      </c>
      <c r="D2829" t="s">
        <v>89</v>
      </c>
      <c r="E2829" t="s">
        <v>111</v>
      </c>
      <c r="F2829">
        <v>1</v>
      </c>
      <c r="G2829" t="s">
        <v>69</v>
      </c>
      <c r="H2829" t="s">
        <v>110</v>
      </c>
      <c r="I2829">
        <v>1</v>
      </c>
      <c r="J2829" s="19">
        <f>WEEKNUM(tblRidershipData[[#This Row],[MeasurementDate]])</f>
        <v>3</v>
      </c>
      <c r="K2829" s="19">
        <f>MONTH(tblRidershipData[[#This Row],[MeasurementDate]])</f>
        <v>1</v>
      </c>
    </row>
    <row r="2830" spans="1:11" x14ac:dyDescent="0.25">
      <c r="A2830" s="31">
        <v>43847</v>
      </c>
      <c r="B2830" t="s">
        <v>6</v>
      </c>
      <c r="C2830" s="31">
        <v>9313</v>
      </c>
      <c r="D2830" t="s">
        <v>89</v>
      </c>
      <c r="E2830" t="s">
        <v>111</v>
      </c>
      <c r="F2830">
        <v>1</v>
      </c>
      <c r="G2830" t="s">
        <v>70</v>
      </c>
      <c r="H2830" t="s">
        <v>110</v>
      </c>
      <c r="I2830">
        <v>4</v>
      </c>
      <c r="J2830" s="19">
        <f>WEEKNUM(tblRidershipData[[#This Row],[MeasurementDate]])</f>
        <v>3</v>
      </c>
      <c r="K2830" s="19">
        <f>MONTH(tblRidershipData[[#This Row],[MeasurementDate]])</f>
        <v>1</v>
      </c>
    </row>
    <row r="2831" spans="1:11" x14ac:dyDescent="0.25">
      <c r="A2831" s="31">
        <v>43847</v>
      </c>
      <c r="B2831" t="s">
        <v>6</v>
      </c>
      <c r="C2831" s="31">
        <v>9313</v>
      </c>
      <c r="D2831" t="s">
        <v>89</v>
      </c>
      <c r="E2831" t="s">
        <v>111</v>
      </c>
      <c r="F2831">
        <v>1</v>
      </c>
      <c r="G2831" t="s">
        <v>72</v>
      </c>
      <c r="H2831" t="s">
        <v>110</v>
      </c>
      <c r="I2831">
        <v>5</v>
      </c>
      <c r="J2831" s="19">
        <f>WEEKNUM(tblRidershipData[[#This Row],[MeasurementDate]])</f>
        <v>3</v>
      </c>
      <c r="K2831" s="19">
        <f>MONTH(tblRidershipData[[#This Row],[MeasurementDate]])</f>
        <v>1</v>
      </c>
    </row>
    <row r="2832" spans="1:11" x14ac:dyDescent="0.25">
      <c r="A2832" s="31">
        <v>43847</v>
      </c>
      <c r="B2832" t="s">
        <v>6</v>
      </c>
      <c r="C2832" s="31">
        <v>9313</v>
      </c>
      <c r="D2832" t="s">
        <v>89</v>
      </c>
      <c r="E2832" t="s">
        <v>111</v>
      </c>
      <c r="F2832">
        <v>1</v>
      </c>
      <c r="G2832" t="s">
        <v>77</v>
      </c>
      <c r="H2832" t="s">
        <v>110</v>
      </c>
      <c r="I2832">
        <v>4</v>
      </c>
      <c r="J2832" s="19">
        <f>WEEKNUM(tblRidershipData[[#This Row],[MeasurementDate]])</f>
        <v>3</v>
      </c>
      <c r="K2832" s="19">
        <f>MONTH(tblRidershipData[[#This Row],[MeasurementDate]])</f>
        <v>1</v>
      </c>
    </row>
    <row r="2833" spans="1:11" x14ac:dyDescent="0.25">
      <c r="A2833" s="31">
        <v>43847</v>
      </c>
      <c r="B2833" t="s">
        <v>6</v>
      </c>
      <c r="C2833" s="31">
        <v>9313</v>
      </c>
      <c r="D2833" t="s">
        <v>89</v>
      </c>
      <c r="E2833" t="s">
        <v>109</v>
      </c>
      <c r="F2833">
        <v>1</v>
      </c>
      <c r="G2833" t="s">
        <v>52</v>
      </c>
      <c r="H2833" t="s">
        <v>110</v>
      </c>
      <c r="I2833">
        <v>61</v>
      </c>
      <c r="J2833" s="19">
        <f>WEEKNUM(tblRidershipData[[#This Row],[MeasurementDate]])</f>
        <v>3</v>
      </c>
      <c r="K2833" s="19">
        <f>MONTH(tblRidershipData[[#This Row],[MeasurementDate]])</f>
        <v>1</v>
      </c>
    </row>
    <row r="2834" spans="1:11" x14ac:dyDescent="0.25">
      <c r="A2834" s="31">
        <v>43847</v>
      </c>
      <c r="B2834" t="s">
        <v>6</v>
      </c>
      <c r="C2834" s="31">
        <v>9318</v>
      </c>
      <c r="D2834" t="s">
        <v>123</v>
      </c>
      <c r="E2834" t="s">
        <v>111</v>
      </c>
      <c r="F2834">
        <v>1</v>
      </c>
      <c r="G2834" t="s">
        <v>43</v>
      </c>
      <c r="H2834" t="s">
        <v>110</v>
      </c>
      <c r="I2834">
        <v>6</v>
      </c>
      <c r="J2834" s="19">
        <f>WEEKNUM(tblRidershipData[[#This Row],[MeasurementDate]])</f>
        <v>3</v>
      </c>
      <c r="K2834" s="19">
        <f>MONTH(tblRidershipData[[#This Row],[MeasurementDate]])</f>
        <v>1</v>
      </c>
    </row>
    <row r="2835" spans="1:11" x14ac:dyDescent="0.25">
      <c r="A2835" s="31">
        <v>43847</v>
      </c>
      <c r="B2835" t="s">
        <v>6</v>
      </c>
      <c r="C2835" s="31">
        <v>9318</v>
      </c>
      <c r="D2835" t="s">
        <v>123</v>
      </c>
      <c r="E2835" t="s">
        <v>111</v>
      </c>
      <c r="F2835">
        <v>1</v>
      </c>
      <c r="G2835" t="s">
        <v>54</v>
      </c>
      <c r="H2835" t="s">
        <v>110</v>
      </c>
      <c r="I2835">
        <v>1</v>
      </c>
      <c r="J2835" s="19">
        <f>WEEKNUM(tblRidershipData[[#This Row],[MeasurementDate]])</f>
        <v>3</v>
      </c>
      <c r="K2835" s="19">
        <f>MONTH(tblRidershipData[[#This Row],[MeasurementDate]])</f>
        <v>1</v>
      </c>
    </row>
    <row r="2836" spans="1:11" x14ac:dyDescent="0.25">
      <c r="A2836" s="31">
        <v>43847</v>
      </c>
      <c r="B2836" t="s">
        <v>6</v>
      </c>
      <c r="C2836" s="31">
        <v>9318</v>
      </c>
      <c r="D2836" t="s">
        <v>123</v>
      </c>
      <c r="E2836" t="s">
        <v>111</v>
      </c>
      <c r="F2836">
        <v>1</v>
      </c>
      <c r="G2836" t="s">
        <v>66</v>
      </c>
      <c r="H2836" t="s">
        <v>110</v>
      </c>
      <c r="I2836">
        <v>2</v>
      </c>
      <c r="J2836" s="19">
        <f>WEEKNUM(tblRidershipData[[#This Row],[MeasurementDate]])</f>
        <v>3</v>
      </c>
      <c r="K2836" s="19">
        <f>MONTH(tblRidershipData[[#This Row],[MeasurementDate]])</f>
        <v>1</v>
      </c>
    </row>
    <row r="2837" spans="1:11" x14ac:dyDescent="0.25">
      <c r="A2837" s="31">
        <v>43847</v>
      </c>
      <c r="B2837" t="s">
        <v>6</v>
      </c>
      <c r="C2837" s="31">
        <v>9318</v>
      </c>
      <c r="D2837" t="s">
        <v>123</v>
      </c>
      <c r="E2837" t="s">
        <v>111</v>
      </c>
      <c r="F2837">
        <v>1</v>
      </c>
      <c r="G2837" t="s">
        <v>67</v>
      </c>
      <c r="H2837" t="s">
        <v>110</v>
      </c>
      <c r="I2837">
        <v>6</v>
      </c>
      <c r="J2837" s="19">
        <f>WEEKNUM(tblRidershipData[[#This Row],[MeasurementDate]])</f>
        <v>3</v>
      </c>
      <c r="K2837" s="19">
        <f>MONTH(tblRidershipData[[#This Row],[MeasurementDate]])</f>
        <v>1</v>
      </c>
    </row>
    <row r="2838" spans="1:11" x14ac:dyDescent="0.25">
      <c r="A2838" s="31">
        <v>43847</v>
      </c>
      <c r="B2838" t="s">
        <v>6</v>
      </c>
      <c r="C2838" s="31">
        <v>9318</v>
      </c>
      <c r="D2838" t="s">
        <v>123</v>
      </c>
      <c r="E2838" t="s">
        <v>111</v>
      </c>
      <c r="F2838">
        <v>1</v>
      </c>
      <c r="G2838" t="s">
        <v>69</v>
      </c>
      <c r="H2838" t="s">
        <v>110</v>
      </c>
      <c r="I2838">
        <v>5</v>
      </c>
      <c r="J2838" s="19">
        <f>WEEKNUM(tblRidershipData[[#This Row],[MeasurementDate]])</f>
        <v>3</v>
      </c>
      <c r="K2838" s="19">
        <f>MONTH(tblRidershipData[[#This Row],[MeasurementDate]])</f>
        <v>1</v>
      </c>
    </row>
    <row r="2839" spans="1:11" x14ac:dyDescent="0.25">
      <c r="A2839" s="31">
        <v>43847</v>
      </c>
      <c r="B2839" t="s">
        <v>6</v>
      </c>
      <c r="C2839" s="31">
        <v>9318</v>
      </c>
      <c r="D2839" t="s">
        <v>123</v>
      </c>
      <c r="E2839" t="s">
        <v>109</v>
      </c>
      <c r="F2839">
        <v>1</v>
      </c>
      <c r="G2839" t="s">
        <v>61</v>
      </c>
      <c r="H2839" t="s">
        <v>110</v>
      </c>
      <c r="I2839">
        <v>13</v>
      </c>
      <c r="J2839" s="19">
        <f>WEEKNUM(tblRidershipData[[#This Row],[MeasurementDate]])</f>
        <v>3</v>
      </c>
      <c r="K2839" s="19">
        <f>MONTH(tblRidershipData[[#This Row],[MeasurementDate]])</f>
        <v>1</v>
      </c>
    </row>
    <row r="2840" spans="1:11" x14ac:dyDescent="0.25">
      <c r="A2840" s="31">
        <v>43847</v>
      </c>
      <c r="B2840" t="s">
        <v>6</v>
      </c>
      <c r="C2840" s="31">
        <v>9318</v>
      </c>
      <c r="D2840" t="s">
        <v>123</v>
      </c>
      <c r="E2840" t="s">
        <v>109</v>
      </c>
      <c r="F2840">
        <v>1</v>
      </c>
      <c r="G2840" t="s">
        <v>68</v>
      </c>
      <c r="H2840" t="s">
        <v>110</v>
      </c>
      <c r="I2840">
        <v>10</v>
      </c>
      <c r="J2840" s="19">
        <f>WEEKNUM(tblRidershipData[[#This Row],[MeasurementDate]])</f>
        <v>3</v>
      </c>
      <c r="K2840" s="19">
        <f>MONTH(tblRidershipData[[#This Row],[MeasurementDate]])</f>
        <v>1</v>
      </c>
    </row>
    <row r="2841" spans="1:11" x14ac:dyDescent="0.25">
      <c r="A2841" s="31">
        <v>43847</v>
      </c>
      <c r="B2841" t="s">
        <v>6</v>
      </c>
      <c r="C2841" s="31">
        <v>9318</v>
      </c>
      <c r="D2841" t="s">
        <v>86</v>
      </c>
      <c r="E2841" t="s">
        <v>111</v>
      </c>
      <c r="F2841">
        <v>1</v>
      </c>
      <c r="G2841" t="s">
        <v>46</v>
      </c>
      <c r="H2841" t="s">
        <v>112</v>
      </c>
      <c r="I2841">
        <v>2</v>
      </c>
      <c r="J2841" s="19">
        <f>WEEKNUM(tblRidershipData[[#This Row],[MeasurementDate]])</f>
        <v>3</v>
      </c>
      <c r="K2841" s="19">
        <f>MONTH(tblRidershipData[[#This Row],[MeasurementDate]])</f>
        <v>1</v>
      </c>
    </row>
    <row r="2842" spans="1:11" x14ac:dyDescent="0.25">
      <c r="A2842" s="31">
        <v>43847</v>
      </c>
      <c r="B2842" t="s">
        <v>6</v>
      </c>
      <c r="C2842" s="31">
        <v>9318</v>
      </c>
      <c r="D2842" t="s">
        <v>86</v>
      </c>
      <c r="E2842" t="s">
        <v>111</v>
      </c>
      <c r="F2842">
        <v>1</v>
      </c>
      <c r="G2842" t="s">
        <v>61</v>
      </c>
      <c r="H2842" t="s">
        <v>112</v>
      </c>
      <c r="I2842">
        <v>14</v>
      </c>
      <c r="J2842" s="19">
        <f>WEEKNUM(tblRidershipData[[#This Row],[MeasurementDate]])</f>
        <v>3</v>
      </c>
      <c r="K2842" s="19">
        <f>MONTH(tblRidershipData[[#This Row],[MeasurementDate]])</f>
        <v>1</v>
      </c>
    </row>
    <row r="2843" spans="1:11" x14ac:dyDescent="0.25">
      <c r="A2843" s="31">
        <v>43847</v>
      </c>
      <c r="B2843" t="s">
        <v>6</v>
      </c>
      <c r="C2843" s="31">
        <v>9318</v>
      </c>
      <c r="D2843" t="s">
        <v>86</v>
      </c>
      <c r="E2843" t="s">
        <v>111</v>
      </c>
      <c r="F2843">
        <v>1</v>
      </c>
      <c r="G2843" t="s">
        <v>67</v>
      </c>
      <c r="H2843" t="s">
        <v>112</v>
      </c>
      <c r="I2843">
        <v>2</v>
      </c>
      <c r="J2843" s="19">
        <f>WEEKNUM(tblRidershipData[[#This Row],[MeasurementDate]])</f>
        <v>3</v>
      </c>
      <c r="K2843" s="19">
        <f>MONTH(tblRidershipData[[#This Row],[MeasurementDate]])</f>
        <v>1</v>
      </c>
    </row>
    <row r="2844" spans="1:11" x14ac:dyDescent="0.25">
      <c r="A2844" s="31">
        <v>43847</v>
      </c>
      <c r="B2844" t="s">
        <v>6</v>
      </c>
      <c r="C2844" s="31">
        <v>9318</v>
      </c>
      <c r="D2844" t="s">
        <v>86</v>
      </c>
      <c r="E2844" t="s">
        <v>111</v>
      </c>
      <c r="F2844">
        <v>1</v>
      </c>
      <c r="G2844" t="s">
        <v>70</v>
      </c>
      <c r="H2844" t="s">
        <v>112</v>
      </c>
      <c r="I2844">
        <v>3</v>
      </c>
      <c r="J2844" s="19">
        <f>WEEKNUM(tblRidershipData[[#This Row],[MeasurementDate]])</f>
        <v>3</v>
      </c>
      <c r="K2844" s="19">
        <f>MONTH(tblRidershipData[[#This Row],[MeasurementDate]])</f>
        <v>1</v>
      </c>
    </row>
    <row r="2845" spans="1:11" x14ac:dyDescent="0.25">
      <c r="A2845" s="31">
        <v>43847</v>
      </c>
      <c r="B2845" t="s">
        <v>6</v>
      </c>
      <c r="C2845" s="31">
        <v>9318</v>
      </c>
      <c r="D2845" t="s">
        <v>86</v>
      </c>
      <c r="E2845" t="s">
        <v>109</v>
      </c>
      <c r="F2845">
        <v>1</v>
      </c>
      <c r="G2845" t="s">
        <v>43</v>
      </c>
      <c r="H2845" t="s">
        <v>112</v>
      </c>
      <c r="I2845">
        <v>6</v>
      </c>
      <c r="J2845" s="19">
        <f>WEEKNUM(tblRidershipData[[#This Row],[MeasurementDate]])</f>
        <v>3</v>
      </c>
      <c r="K2845" s="19">
        <f>MONTH(tblRidershipData[[#This Row],[MeasurementDate]])</f>
        <v>1</v>
      </c>
    </row>
    <row r="2846" spans="1:11" x14ac:dyDescent="0.25">
      <c r="A2846" s="31">
        <v>43847</v>
      </c>
      <c r="B2846" t="s">
        <v>6</v>
      </c>
      <c r="C2846" s="31">
        <v>9318</v>
      </c>
      <c r="D2846" t="s">
        <v>86</v>
      </c>
      <c r="E2846" t="s">
        <v>109</v>
      </c>
      <c r="F2846">
        <v>1</v>
      </c>
      <c r="G2846" t="s">
        <v>44</v>
      </c>
      <c r="H2846" t="s">
        <v>112</v>
      </c>
      <c r="I2846">
        <v>1</v>
      </c>
      <c r="J2846" s="19">
        <f>WEEKNUM(tblRidershipData[[#This Row],[MeasurementDate]])</f>
        <v>3</v>
      </c>
      <c r="K2846" s="19">
        <f>MONTH(tblRidershipData[[#This Row],[MeasurementDate]])</f>
        <v>1</v>
      </c>
    </row>
    <row r="2847" spans="1:11" x14ac:dyDescent="0.25">
      <c r="A2847" s="31">
        <v>43847</v>
      </c>
      <c r="B2847" t="s">
        <v>6</v>
      </c>
      <c r="C2847" s="31">
        <v>9318</v>
      </c>
      <c r="D2847" t="s">
        <v>86</v>
      </c>
      <c r="E2847" t="s">
        <v>109</v>
      </c>
      <c r="F2847">
        <v>1</v>
      </c>
      <c r="G2847" t="s">
        <v>46</v>
      </c>
      <c r="H2847" t="s">
        <v>112</v>
      </c>
      <c r="I2847">
        <v>1</v>
      </c>
      <c r="J2847" s="19">
        <f>WEEKNUM(tblRidershipData[[#This Row],[MeasurementDate]])</f>
        <v>3</v>
      </c>
      <c r="K2847" s="19">
        <f>MONTH(tblRidershipData[[#This Row],[MeasurementDate]])</f>
        <v>1</v>
      </c>
    </row>
    <row r="2848" spans="1:11" x14ac:dyDescent="0.25">
      <c r="A2848" s="31">
        <v>43847</v>
      </c>
      <c r="B2848" t="s">
        <v>6</v>
      </c>
      <c r="C2848" s="31">
        <v>9318</v>
      </c>
      <c r="D2848" t="s">
        <v>86</v>
      </c>
      <c r="E2848" t="s">
        <v>109</v>
      </c>
      <c r="F2848">
        <v>1</v>
      </c>
      <c r="G2848" t="s">
        <v>54</v>
      </c>
      <c r="H2848" t="s">
        <v>112</v>
      </c>
      <c r="I2848">
        <v>1</v>
      </c>
      <c r="J2848" s="19">
        <f>WEEKNUM(tblRidershipData[[#This Row],[MeasurementDate]])</f>
        <v>3</v>
      </c>
      <c r="K2848" s="19">
        <f>MONTH(tblRidershipData[[#This Row],[MeasurementDate]])</f>
        <v>1</v>
      </c>
    </row>
    <row r="2849" spans="1:11" x14ac:dyDescent="0.25">
      <c r="A2849" s="31">
        <v>43847</v>
      </c>
      <c r="B2849" t="s">
        <v>6</v>
      </c>
      <c r="C2849" s="31">
        <v>9318</v>
      </c>
      <c r="D2849" t="s">
        <v>86</v>
      </c>
      <c r="E2849" t="s">
        <v>109</v>
      </c>
      <c r="F2849">
        <v>1</v>
      </c>
      <c r="G2849" t="s">
        <v>57</v>
      </c>
      <c r="H2849" t="s">
        <v>112</v>
      </c>
      <c r="I2849">
        <v>3</v>
      </c>
      <c r="J2849" s="19">
        <f>WEEKNUM(tblRidershipData[[#This Row],[MeasurementDate]])</f>
        <v>3</v>
      </c>
      <c r="K2849" s="19">
        <f>MONTH(tblRidershipData[[#This Row],[MeasurementDate]])</f>
        <v>1</v>
      </c>
    </row>
    <row r="2850" spans="1:11" x14ac:dyDescent="0.25">
      <c r="A2850" s="31">
        <v>43847</v>
      </c>
      <c r="B2850" t="s">
        <v>6</v>
      </c>
      <c r="C2850" s="31">
        <v>9318</v>
      </c>
      <c r="D2850" t="s">
        <v>86</v>
      </c>
      <c r="E2850" t="s">
        <v>109</v>
      </c>
      <c r="F2850">
        <v>1</v>
      </c>
      <c r="G2850" t="s">
        <v>60</v>
      </c>
      <c r="H2850" t="s">
        <v>112</v>
      </c>
      <c r="I2850">
        <v>1</v>
      </c>
      <c r="J2850" s="19">
        <f>WEEKNUM(tblRidershipData[[#This Row],[MeasurementDate]])</f>
        <v>3</v>
      </c>
      <c r="K2850" s="19">
        <f>MONTH(tblRidershipData[[#This Row],[MeasurementDate]])</f>
        <v>1</v>
      </c>
    </row>
    <row r="2851" spans="1:11" x14ac:dyDescent="0.25">
      <c r="A2851" s="31">
        <v>43847</v>
      </c>
      <c r="B2851" t="s">
        <v>6</v>
      </c>
      <c r="C2851" s="31">
        <v>9318</v>
      </c>
      <c r="D2851" t="s">
        <v>86</v>
      </c>
      <c r="E2851" t="s">
        <v>109</v>
      </c>
      <c r="F2851">
        <v>1</v>
      </c>
      <c r="G2851" t="s">
        <v>66</v>
      </c>
      <c r="H2851" t="s">
        <v>112</v>
      </c>
      <c r="I2851">
        <v>3</v>
      </c>
      <c r="J2851" s="19">
        <f>WEEKNUM(tblRidershipData[[#This Row],[MeasurementDate]])</f>
        <v>3</v>
      </c>
      <c r="K2851" s="19">
        <f>MONTH(tblRidershipData[[#This Row],[MeasurementDate]])</f>
        <v>1</v>
      </c>
    </row>
    <row r="2852" spans="1:11" x14ac:dyDescent="0.25">
      <c r="A2852" s="31">
        <v>43847</v>
      </c>
      <c r="B2852" t="s">
        <v>6</v>
      </c>
      <c r="C2852" s="31">
        <v>9318</v>
      </c>
      <c r="D2852" t="s">
        <v>86</v>
      </c>
      <c r="E2852" t="s">
        <v>109</v>
      </c>
      <c r="F2852">
        <v>1</v>
      </c>
      <c r="G2852" t="s">
        <v>67</v>
      </c>
      <c r="H2852" t="s">
        <v>112</v>
      </c>
      <c r="I2852">
        <v>3</v>
      </c>
      <c r="J2852" s="19">
        <f>WEEKNUM(tblRidershipData[[#This Row],[MeasurementDate]])</f>
        <v>3</v>
      </c>
      <c r="K2852" s="19">
        <f>MONTH(tblRidershipData[[#This Row],[MeasurementDate]])</f>
        <v>1</v>
      </c>
    </row>
    <row r="2853" spans="1:11" x14ac:dyDescent="0.25">
      <c r="A2853" s="31">
        <v>43847</v>
      </c>
      <c r="B2853" t="s">
        <v>6</v>
      </c>
      <c r="C2853" s="31">
        <v>9318</v>
      </c>
      <c r="D2853" t="s">
        <v>86</v>
      </c>
      <c r="E2853" t="s">
        <v>109</v>
      </c>
      <c r="F2853">
        <v>1</v>
      </c>
      <c r="G2853" t="s">
        <v>69</v>
      </c>
      <c r="H2853" t="s">
        <v>112</v>
      </c>
      <c r="I2853">
        <v>1</v>
      </c>
      <c r="J2853" s="19">
        <f>WEEKNUM(tblRidershipData[[#This Row],[MeasurementDate]])</f>
        <v>3</v>
      </c>
      <c r="K2853" s="19">
        <f>MONTH(tblRidershipData[[#This Row],[MeasurementDate]])</f>
        <v>1</v>
      </c>
    </row>
    <row r="2854" spans="1:11" x14ac:dyDescent="0.25">
      <c r="A2854" s="31">
        <v>43847</v>
      </c>
      <c r="B2854" t="s">
        <v>6</v>
      </c>
      <c r="C2854" s="31">
        <v>9318</v>
      </c>
      <c r="D2854" t="s">
        <v>86</v>
      </c>
      <c r="E2854" t="s">
        <v>109</v>
      </c>
      <c r="F2854">
        <v>1</v>
      </c>
      <c r="G2854" t="s">
        <v>71</v>
      </c>
      <c r="H2854" t="s">
        <v>112</v>
      </c>
      <c r="I2854">
        <v>1</v>
      </c>
      <c r="J2854" s="19">
        <f>WEEKNUM(tblRidershipData[[#This Row],[MeasurementDate]])</f>
        <v>3</v>
      </c>
      <c r="K2854" s="19">
        <f>MONTH(tblRidershipData[[#This Row],[MeasurementDate]])</f>
        <v>1</v>
      </c>
    </row>
    <row r="2855" spans="1:11" x14ac:dyDescent="0.25">
      <c r="A2855" s="31">
        <v>43847</v>
      </c>
      <c r="B2855" t="s">
        <v>6</v>
      </c>
      <c r="C2855" s="31">
        <v>9318</v>
      </c>
      <c r="D2855" t="s">
        <v>86</v>
      </c>
      <c r="E2855" t="s">
        <v>109</v>
      </c>
      <c r="F2855">
        <v>1</v>
      </c>
      <c r="G2855" t="s">
        <v>73</v>
      </c>
      <c r="H2855" t="s">
        <v>112</v>
      </c>
      <c r="I2855">
        <v>2</v>
      </c>
      <c r="J2855" s="19">
        <f>WEEKNUM(tblRidershipData[[#This Row],[MeasurementDate]])</f>
        <v>3</v>
      </c>
      <c r="K2855" s="19">
        <f>MONTH(tblRidershipData[[#This Row],[MeasurementDate]])</f>
        <v>1</v>
      </c>
    </row>
    <row r="2856" spans="1:11" x14ac:dyDescent="0.25">
      <c r="A2856" s="31">
        <v>43847</v>
      </c>
      <c r="B2856" t="s">
        <v>6</v>
      </c>
      <c r="C2856" s="31">
        <v>1047</v>
      </c>
      <c r="D2856" t="s">
        <v>96</v>
      </c>
      <c r="E2856" t="s">
        <v>111</v>
      </c>
      <c r="F2856">
        <v>1</v>
      </c>
      <c r="G2856" t="s">
        <v>45</v>
      </c>
      <c r="H2856" t="s">
        <v>110</v>
      </c>
      <c r="I2856">
        <v>6</v>
      </c>
      <c r="J2856" s="19">
        <f>WEEKNUM(tblRidershipData[[#This Row],[MeasurementDate]])</f>
        <v>3</v>
      </c>
      <c r="K2856" s="19">
        <f>MONTH(tblRidershipData[[#This Row],[MeasurementDate]])</f>
        <v>1</v>
      </c>
    </row>
    <row r="2857" spans="1:11" x14ac:dyDescent="0.25">
      <c r="A2857" s="31">
        <v>43847</v>
      </c>
      <c r="B2857" t="s">
        <v>6</v>
      </c>
      <c r="C2857" s="31">
        <v>1047</v>
      </c>
      <c r="D2857" t="s">
        <v>96</v>
      </c>
      <c r="E2857" t="s">
        <v>111</v>
      </c>
      <c r="F2857">
        <v>1</v>
      </c>
      <c r="G2857" t="s">
        <v>47</v>
      </c>
      <c r="H2857" t="s">
        <v>110</v>
      </c>
      <c r="I2857">
        <v>13</v>
      </c>
      <c r="J2857" s="19">
        <f>WEEKNUM(tblRidershipData[[#This Row],[MeasurementDate]])</f>
        <v>3</v>
      </c>
      <c r="K2857" s="19">
        <f>MONTH(tblRidershipData[[#This Row],[MeasurementDate]])</f>
        <v>1</v>
      </c>
    </row>
    <row r="2858" spans="1:11" x14ac:dyDescent="0.25">
      <c r="A2858" s="31">
        <v>43847</v>
      </c>
      <c r="B2858" t="s">
        <v>6</v>
      </c>
      <c r="C2858" s="31">
        <v>1047</v>
      </c>
      <c r="D2858" t="s">
        <v>96</v>
      </c>
      <c r="E2858" t="s">
        <v>111</v>
      </c>
      <c r="F2858">
        <v>1</v>
      </c>
      <c r="G2858" t="s">
        <v>48</v>
      </c>
      <c r="H2858" t="s">
        <v>110</v>
      </c>
      <c r="I2858">
        <v>3</v>
      </c>
      <c r="J2858" s="19">
        <f>WEEKNUM(tblRidershipData[[#This Row],[MeasurementDate]])</f>
        <v>3</v>
      </c>
      <c r="K2858" s="19">
        <f>MONTH(tblRidershipData[[#This Row],[MeasurementDate]])</f>
        <v>1</v>
      </c>
    </row>
    <row r="2859" spans="1:11" x14ac:dyDescent="0.25">
      <c r="A2859" s="31">
        <v>43847</v>
      </c>
      <c r="B2859" t="s">
        <v>6</v>
      </c>
      <c r="C2859" s="31">
        <v>1047</v>
      </c>
      <c r="D2859" t="s">
        <v>96</v>
      </c>
      <c r="E2859" t="s">
        <v>111</v>
      </c>
      <c r="F2859">
        <v>1</v>
      </c>
      <c r="G2859" t="s">
        <v>50</v>
      </c>
      <c r="H2859" t="s">
        <v>110</v>
      </c>
      <c r="I2859">
        <v>1</v>
      </c>
      <c r="J2859" s="19">
        <f>WEEKNUM(tblRidershipData[[#This Row],[MeasurementDate]])</f>
        <v>3</v>
      </c>
      <c r="K2859" s="19">
        <f>MONTH(tblRidershipData[[#This Row],[MeasurementDate]])</f>
        <v>1</v>
      </c>
    </row>
    <row r="2860" spans="1:11" x14ac:dyDescent="0.25">
      <c r="A2860" s="31">
        <v>43847</v>
      </c>
      <c r="B2860" t="s">
        <v>6</v>
      </c>
      <c r="C2860" s="31">
        <v>1047</v>
      </c>
      <c r="D2860" t="s">
        <v>96</v>
      </c>
      <c r="E2860" t="s">
        <v>111</v>
      </c>
      <c r="F2860">
        <v>1</v>
      </c>
      <c r="G2860" t="s">
        <v>54</v>
      </c>
      <c r="H2860" t="s">
        <v>110</v>
      </c>
      <c r="I2860">
        <v>1</v>
      </c>
      <c r="J2860" s="19">
        <f>WEEKNUM(tblRidershipData[[#This Row],[MeasurementDate]])</f>
        <v>3</v>
      </c>
      <c r="K2860" s="19">
        <f>MONTH(tblRidershipData[[#This Row],[MeasurementDate]])</f>
        <v>1</v>
      </c>
    </row>
    <row r="2861" spans="1:11" x14ac:dyDescent="0.25">
      <c r="A2861" s="31">
        <v>43847</v>
      </c>
      <c r="B2861" t="s">
        <v>6</v>
      </c>
      <c r="C2861" s="31">
        <v>1047</v>
      </c>
      <c r="D2861" t="s">
        <v>96</v>
      </c>
      <c r="E2861" t="s">
        <v>111</v>
      </c>
      <c r="F2861">
        <v>1</v>
      </c>
      <c r="G2861" t="s">
        <v>58</v>
      </c>
      <c r="H2861" t="s">
        <v>110</v>
      </c>
      <c r="I2861">
        <v>5</v>
      </c>
      <c r="J2861" s="19">
        <f>WEEKNUM(tblRidershipData[[#This Row],[MeasurementDate]])</f>
        <v>3</v>
      </c>
      <c r="K2861" s="19">
        <f>MONTH(tblRidershipData[[#This Row],[MeasurementDate]])</f>
        <v>1</v>
      </c>
    </row>
    <row r="2862" spans="1:11" x14ac:dyDescent="0.25">
      <c r="A2862" s="31">
        <v>43847</v>
      </c>
      <c r="B2862" t="s">
        <v>6</v>
      </c>
      <c r="C2862" s="31">
        <v>1047</v>
      </c>
      <c r="D2862" t="s">
        <v>96</v>
      </c>
      <c r="E2862" t="s">
        <v>111</v>
      </c>
      <c r="F2862">
        <v>1</v>
      </c>
      <c r="G2862" t="s">
        <v>62</v>
      </c>
      <c r="H2862" t="s">
        <v>110</v>
      </c>
      <c r="I2862">
        <v>11</v>
      </c>
      <c r="J2862" s="19">
        <f>WEEKNUM(tblRidershipData[[#This Row],[MeasurementDate]])</f>
        <v>3</v>
      </c>
      <c r="K2862" s="19">
        <f>MONTH(tblRidershipData[[#This Row],[MeasurementDate]])</f>
        <v>1</v>
      </c>
    </row>
    <row r="2863" spans="1:11" x14ac:dyDescent="0.25">
      <c r="A2863" s="31">
        <v>43847</v>
      </c>
      <c r="B2863" t="s">
        <v>6</v>
      </c>
      <c r="C2863" s="31">
        <v>1047</v>
      </c>
      <c r="D2863" t="s">
        <v>96</v>
      </c>
      <c r="E2863" t="s">
        <v>111</v>
      </c>
      <c r="F2863">
        <v>1</v>
      </c>
      <c r="G2863" t="s">
        <v>73</v>
      </c>
      <c r="H2863" t="s">
        <v>110</v>
      </c>
      <c r="I2863">
        <v>4</v>
      </c>
      <c r="J2863" s="19">
        <f>WEEKNUM(tblRidershipData[[#This Row],[MeasurementDate]])</f>
        <v>3</v>
      </c>
      <c r="K2863" s="19">
        <f>MONTH(tblRidershipData[[#This Row],[MeasurementDate]])</f>
        <v>1</v>
      </c>
    </row>
    <row r="2864" spans="1:11" x14ac:dyDescent="0.25">
      <c r="A2864" s="31">
        <v>43847</v>
      </c>
      <c r="B2864" t="s">
        <v>6</v>
      </c>
      <c r="C2864" s="31">
        <v>1047</v>
      </c>
      <c r="D2864" t="s">
        <v>96</v>
      </c>
      <c r="E2864" t="s">
        <v>111</v>
      </c>
      <c r="F2864">
        <v>1</v>
      </c>
      <c r="G2864" t="s">
        <v>77</v>
      </c>
      <c r="H2864" t="s">
        <v>110</v>
      </c>
      <c r="I2864">
        <v>1</v>
      </c>
      <c r="J2864" s="19">
        <f>WEEKNUM(tblRidershipData[[#This Row],[MeasurementDate]])</f>
        <v>3</v>
      </c>
      <c r="K2864" s="19">
        <f>MONTH(tblRidershipData[[#This Row],[MeasurementDate]])</f>
        <v>1</v>
      </c>
    </row>
    <row r="2865" spans="1:11" x14ac:dyDescent="0.25">
      <c r="A2865" s="31">
        <v>43847</v>
      </c>
      <c r="B2865" t="s">
        <v>6</v>
      </c>
      <c r="C2865" s="31">
        <v>1047</v>
      </c>
      <c r="D2865" t="s">
        <v>96</v>
      </c>
      <c r="E2865" t="s">
        <v>109</v>
      </c>
      <c r="F2865">
        <v>1</v>
      </c>
      <c r="G2865" t="s">
        <v>56</v>
      </c>
      <c r="H2865" t="s">
        <v>110</v>
      </c>
      <c r="I2865">
        <v>16</v>
      </c>
      <c r="J2865" s="19">
        <f>WEEKNUM(tblRidershipData[[#This Row],[MeasurementDate]])</f>
        <v>3</v>
      </c>
      <c r="K2865" s="19">
        <f>MONTH(tblRidershipData[[#This Row],[MeasurementDate]])</f>
        <v>1</v>
      </c>
    </row>
    <row r="2866" spans="1:11" x14ac:dyDescent="0.25">
      <c r="A2866" s="31">
        <v>43847</v>
      </c>
      <c r="B2866" t="s">
        <v>6</v>
      </c>
      <c r="C2866" s="31">
        <v>1047</v>
      </c>
      <c r="D2866" t="s">
        <v>96</v>
      </c>
      <c r="E2866" t="s">
        <v>109</v>
      </c>
      <c r="F2866">
        <v>1</v>
      </c>
      <c r="G2866" t="s">
        <v>59</v>
      </c>
      <c r="H2866" t="s">
        <v>110</v>
      </c>
      <c r="I2866">
        <v>12</v>
      </c>
      <c r="J2866" s="19">
        <f>WEEKNUM(tblRidershipData[[#This Row],[MeasurementDate]])</f>
        <v>3</v>
      </c>
      <c r="K2866" s="19">
        <f>MONTH(tblRidershipData[[#This Row],[MeasurementDate]])</f>
        <v>1</v>
      </c>
    </row>
    <row r="2867" spans="1:11" x14ac:dyDescent="0.25">
      <c r="A2867" s="31">
        <v>43847</v>
      </c>
      <c r="B2867" t="s">
        <v>6</v>
      </c>
      <c r="C2867" s="31">
        <v>1047</v>
      </c>
      <c r="D2867" t="s">
        <v>96</v>
      </c>
      <c r="E2867" t="s">
        <v>109</v>
      </c>
      <c r="F2867">
        <v>1</v>
      </c>
      <c r="G2867" t="s">
        <v>63</v>
      </c>
      <c r="H2867" t="s">
        <v>110</v>
      </c>
      <c r="I2867">
        <v>6</v>
      </c>
      <c r="J2867" s="19">
        <f>WEEKNUM(tblRidershipData[[#This Row],[MeasurementDate]])</f>
        <v>3</v>
      </c>
      <c r="K2867" s="19">
        <f>MONTH(tblRidershipData[[#This Row],[MeasurementDate]])</f>
        <v>1</v>
      </c>
    </row>
    <row r="2868" spans="1:11" x14ac:dyDescent="0.25">
      <c r="A2868" s="31">
        <v>43847</v>
      </c>
      <c r="B2868" t="s">
        <v>6</v>
      </c>
      <c r="C2868" s="31">
        <v>1047</v>
      </c>
      <c r="D2868" t="s">
        <v>96</v>
      </c>
      <c r="E2868" t="s">
        <v>109</v>
      </c>
      <c r="F2868">
        <v>1</v>
      </c>
      <c r="G2868" t="s">
        <v>72</v>
      </c>
      <c r="H2868" t="s">
        <v>110</v>
      </c>
      <c r="I2868">
        <v>1</v>
      </c>
      <c r="J2868" s="19">
        <f>WEEKNUM(tblRidershipData[[#This Row],[MeasurementDate]])</f>
        <v>3</v>
      </c>
      <c r="K2868" s="19">
        <f>MONTH(tblRidershipData[[#This Row],[MeasurementDate]])</f>
        <v>1</v>
      </c>
    </row>
    <row r="2869" spans="1:11" x14ac:dyDescent="0.25">
      <c r="A2869" s="31">
        <v>43847</v>
      </c>
      <c r="B2869" t="s">
        <v>6</v>
      </c>
      <c r="C2869" s="31">
        <v>1751</v>
      </c>
      <c r="D2869" t="s">
        <v>124</v>
      </c>
      <c r="E2869" t="s">
        <v>109</v>
      </c>
      <c r="F2869">
        <v>1</v>
      </c>
      <c r="G2869" t="s">
        <v>44</v>
      </c>
      <c r="H2869" t="s">
        <v>112</v>
      </c>
      <c r="I2869">
        <v>2</v>
      </c>
      <c r="J2869" s="19">
        <f>WEEKNUM(tblRidershipData[[#This Row],[MeasurementDate]])</f>
        <v>3</v>
      </c>
      <c r="K2869" s="19">
        <f>MONTH(tblRidershipData[[#This Row],[MeasurementDate]])</f>
        <v>1</v>
      </c>
    </row>
    <row r="2870" spans="1:11" x14ac:dyDescent="0.25">
      <c r="A2870" s="31">
        <v>43847</v>
      </c>
      <c r="B2870" t="s">
        <v>6</v>
      </c>
      <c r="C2870" s="31">
        <v>1751</v>
      </c>
      <c r="D2870" t="s">
        <v>124</v>
      </c>
      <c r="E2870" t="s">
        <v>109</v>
      </c>
      <c r="F2870">
        <v>1</v>
      </c>
      <c r="G2870" t="s">
        <v>59</v>
      </c>
      <c r="H2870" t="s">
        <v>112</v>
      </c>
      <c r="I2870">
        <v>13</v>
      </c>
      <c r="J2870" s="19">
        <f>WEEKNUM(tblRidershipData[[#This Row],[MeasurementDate]])</f>
        <v>3</v>
      </c>
      <c r="K2870" s="19">
        <f>MONTH(tblRidershipData[[#This Row],[MeasurementDate]])</f>
        <v>1</v>
      </c>
    </row>
    <row r="2871" spans="1:11" x14ac:dyDescent="0.25">
      <c r="A2871" s="31">
        <v>43847</v>
      </c>
      <c r="B2871" t="s">
        <v>6</v>
      </c>
      <c r="C2871" s="31">
        <v>1751</v>
      </c>
      <c r="D2871" t="s">
        <v>124</v>
      </c>
      <c r="E2871" t="s">
        <v>109</v>
      </c>
      <c r="F2871">
        <v>1</v>
      </c>
      <c r="G2871" t="s">
        <v>67</v>
      </c>
      <c r="H2871" t="s">
        <v>112</v>
      </c>
      <c r="I2871">
        <v>18</v>
      </c>
      <c r="J2871" s="19">
        <f>WEEKNUM(tblRidershipData[[#This Row],[MeasurementDate]])</f>
        <v>3</v>
      </c>
      <c r="K2871" s="19">
        <f>MONTH(tblRidershipData[[#This Row],[MeasurementDate]])</f>
        <v>1</v>
      </c>
    </row>
    <row r="2872" spans="1:11" x14ac:dyDescent="0.25">
      <c r="A2872" s="31">
        <v>43847</v>
      </c>
      <c r="B2872" t="s">
        <v>6</v>
      </c>
      <c r="C2872" s="31">
        <v>1751</v>
      </c>
      <c r="D2872" t="s">
        <v>124</v>
      </c>
      <c r="E2872" t="s">
        <v>109</v>
      </c>
      <c r="F2872">
        <v>1</v>
      </c>
      <c r="G2872" t="s">
        <v>68</v>
      </c>
      <c r="H2872" t="s">
        <v>112</v>
      </c>
      <c r="I2872">
        <v>15</v>
      </c>
      <c r="J2872" s="19">
        <f>WEEKNUM(tblRidershipData[[#This Row],[MeasurementDate]])</f>
        <v>3</v>
      </c>
      <c r="K2872" s="19">
        <f>MONTH(tblRidershipData[[#This Row],[MeasurementDate]])</f>
        <v>1</v>
      </c>
    </row>
    <row r="2873" spans="1:11" x14ac:dyDescent="0.25">
      <c r="A2873" s="31">
        <v>43847</v>
      </c>
      <c r="B2873" t="s">
        <v>6</v>
      </c>
      <c r="C2873" s="31">
        <v>1751</v>
      </c>
      <c r="D2873" t="s">
        <v>102</v>
      </c>
      <c r="E2873" t="s">
        <v>111</v>
      </c>
      <c r="F2873">
        <v>1</v>
      </c>
      <c r="G2873" t="s">
        <v>58</v>
      </c>
      <c r="H2873" t="s">
        <v>112</v>
      </c>
      <c r="I2873">
        <v>5</v>
      </c>
      <c r="J2873" s="19">
        <f>WEEKNUM(tblRidershipData[[#This Row],[MeasurementDate]])</f>
        <v>3</v>
      </c>
      <c r="K2873" s="19">
        <f>MONTH(tblRidershipData[[#This Row],[MeasurementDate]])</f>
        <v>1</v>
      </c>
    </row>
    <row r="2874" spans="1:11" x14ac:dyDescent="0.25">
      <c r="A2874" s="31">
        <v>43847</v>
      </c>
      <c r="B2874" t="s">
        <v>6</v>
      </c>
      <c r="C2874" s="31">
        <v>1751</v>
      </c>
      <c r="D2874" t="s">
        <v>102</v>
      </c>
      <c r="E2874" t="s">
        <v>111</v>
      </c>
      <c r="F2874">
        <v>1</v>
      </c>
      <c r="G2874" t="s">
        <v>67</v>
      </c>
      <c r="H2874" t="s">
        <v>112</v>
      </c>
      <c r="I2874">
        <v>4</v>
      </c>
      <c r="J2874" s="19">
        <f>WEEKNUM(tblRidershipData[[#This Row],[MeasurementDate]])</f>
        <v>3</v>
      </c>
      <c r="K2874" s="19">
        <f>MONTH(tblRidershipData[[#This Row],[MeasurementDate]])</f>
        <v>1</v>
      </c>
    </row>
    <row r="2875" spans="1:11" x14ac:dyDescent="0.25">
      <c r="A2875" s="31">
        <v>43847</v>
      </c>
      <c r="B2875" t="s">
        <v>6</v>
      </c>
      <c r="C2875" s="31">
        <v>1751</v>
      </c>
      <c r="D2875" t="s">
        <v>102</v>
      </c>
      <c r="E2875" t="s">
        <v>111</v>
      </c>
      <c r="F2875">
        <v>1</v>
      </c>
      <c r="G2875" t="s">
        <v>69</v>
      </c>
      <c r="H2875" t="s">
        <v>112</v>
      </c>
      <c r="I2875">
        <v>16</v>
      </c>
      <c r="J2875" s="19">
        <f>WEEKNUM(tblRidershipData[[#This Row],[MeasurementDate]])</f>
        <v>3</v>
      </c>
      <c r="K2875" s="19">
        <f>MONTH(tblRidershipData[[#This Row],[MeasurementDate]])</f>
        <v>1</v>
      </c>
    </row>
    <row r="2876" spans="1:11" x14ac:dyDescent="0.25">
      <c r="A2876" s="31">
        <v>43847</v>
      </c>
      <c r="B2876" t="s">
        <v>6</v>
      </c>
      <c r="C2876" s="31">
        <v>1751</v>
      </c>
      <c r="D2876" t="s">
        <v>102</v>
      </c>
      <c r="E2876" t="s">
        <v>111</v>
      </c>
      <c r="F2876">
        <v>1</v>
      </c>
      <c r="G2876" t="s">
        <v>70</v>
      </c>
      <c r="H2876" t="s">
        <v>112</v>
      </c>
      <c r="I2876">
        <v>24</v>
      </c>
      <c r="J2876" s="19">
        <f>WEEKNUM(tblRidershipData[[#This Row],[MeasurementDate]])</f>
        <v>3</v>
      </c>
      <c r="K2876" s="19">
        <f>MONTH(tblRidershipData[[#This Row],[MeasurementDate]])</f>
        <v>1</v>
      </c>
    </row>
    <row r="2877" spans="1:11" x14ac:dyDescent="0.25">
      <c r="A2877" s="31">
        <v>43847</v>
      </c>
      <c r="B2877" t="s">
        <v>6</v>
      </c>
      <c r="C2877" s="31">
        <v>1751</v>
      </c>
      <c r="D2877" t="s">
        <v>102</v>
      </c>
      <c r="E2877" t="s">
        <v>109</v>
      </c>
      <c r="F2877">
        <v>1</v>
      </c>
      <c r="G2877" t="s">
        <v>44</v>
      </c>
      <c r="H2877" t="s">
        <v>112</v>
      </c>
      <c r="I2877">
        <v>5</v>
      </c>
      <c r="J2877" s="19">
        <f>WEEKNUM(tblRidershipData[[#This Row],[MeasurementDate]])</f>
        <v>3</v>
      </c>
      <c r="K2877" s="19">
        <f>MONTH(tblRidershipData[[#This Row],[MeasurementDate]])</f>
        <v>1</v>
      </c>
    </row>
    <row r="2878" spans="1:11" x14ac:dyDescent="0.25">
      <c r="A2878" s="31">
        <v>43847</v>
      </c>
      <c r="B2878" t="s">
        <v>6</v>
      </c>
      <c r="C2878" s="31">
        <v>1751</v>
      </c>
      <c r="D2878" t="s">
        <v>102</v>
      </c>
      <c r="E2878" t="s">
        <v>109</v>
      </c>
      <c r="F2878">
        <v>1</v>
      </c>
      <c r="G2878" t="s">
        <v>45</v>
      </c>
      <c r="H2878" t="s">
        <v>112</v>
      </c>
      <c r="I2878">
        <v>1</v>
      </c>
      <c r="J2878" s="19">
        <f>WEEKNUM(tblRidershipData[[#This Row],[MeasurementDate]])</f>
        <v>3</v>
      </c>
      <c r="K2878" s="19">
        <f>MONTH(tblRidershipData[[#This Row],[MeasurementDate]])</f>
        <v>1</v>
      </c>
    </row>
    <row r="2879" spans="1:11" x14ac:dyDescent="0.25">
      <c r="A2879" s="31">
        <v>43847</v>
      </c>
      <c r="B2879" t="s">
        <v>6</v>
      </c>
      <c r="C2879" s="31">
        <v>1751</v>
      </c>
      <c r="D2879" t="s">
        <v>102</v>
      </c>
      <c r="E2879" t="s">
        <v>109</v>
      </c>
      <c r="F2879">
        <v>1</v>
      </c>
      <c r="G2879" t="s">
        <v>46</v>
      </c>
      <c r="H2879" t="s">
        <v>112</v>
      </c>
      <c r="I2879">
        <v>5</v>
      </c>
      <c r="J2879" s="19">
        <f>WEEKNUM(tblRidershipData[[#This Row],[MeasurementDate]])</f>
        <v>3</v>
      </c>
      <c r="K2879" s="19">
        <f>MONTH(tblRidershipData[[#This Row],[MeasurementDate]])</f>
        <v>1</v>
      </c>
    </row>
    <row r="2880" spans="1:11" x14ac:dyDescent="0.25">
      <c r="A2880" s="31">
        <v>43847</v>
      </c>
      <c r="B2880" t="s">
        <v>6</v>
      </c>
      <c r="C2880" s="31">
        <v>1751</v>
      </c>
      <c r="D2880" t="s">
        <v>102</v>
      </c>
      <c r="E2880" t="s">
        <v>109</v>
      </c>
      <c r="F2880">
        <v>1</v>
      </c>
      <c r="G2880" t="s">
        <v>47</v>
      </c>
      <c r="H2880" t="s">
        <v>112</v>
      </c>
      <c r="I2880">
        <v>3</v>
      </c>
      <c r="J2880" s="19">
        <f>WEEKNUM(tblRidershipData[[#This Row],[MeasurementDate]])</f>
        <v>3</v>
      </c>
      <c r="K2880" s="19">
        <f>MONTH(tblRidershipData[[#This Row],[MeasurementDate]])</f>
        <v>1</v>
      </c>
    </row>
    <row r="2881" spans="1:11" x14ac:dyDescent="0.25">
      <c r="A2881" s="31">
        <v>43847</v>
      </c>
      <c r="B2881" t="s">
        <v>6</v>
      </c>
      <c r="C2881" s="31">
        <v>1751</v>
      </c>
      <c r="D2881" t="s">
        <v>102</v>
      </c>
      <c r="E2881" t="s">
        <v>109</v>
      </c>
      <c r="F2881">
        <v>1</v>
      </c>
      <c r="G2881" t="s">
        <v>48</v>
      </c>
      <c r="H2881" t="s">
        <v>112</v>
      </c>
      <c r="I2881">
        <v>1</v>
      </c>
      <c r="J2881" s="19">
        <f>WEEKNUM(tblRidershipData[[#This Row],[MeasurementDate]])</f>
        <v>3</v>
      </c>
      <c r="K2881" s="19">
        <f>MONTH(tblRidershipData[[#This Row],[MeasurementDate]])</f>
        <v>1</v>
      </c>
    </row>
    <row r="2882" spans="1:11" x14ac:dyDescent="0.25">
      <c r="A2882" s="31">
        <v>43847</v>
      </c>
      <c r="B2882" t="s">
        <v>6</v>
      </c>
      <c r="C2882" s="31">
        <v>1751</v>
      </c>
      <c r="D2882" t="s">
        <v>102</v>
      </c>
      <c r="E2882" t="s">
        <v>109</v>
      </c>
      <c r="F2882">
        <v>1</v>
      </c>
      <c r="G2882" t="s">
        <v>50</v>
      </c>
      <c r="H2882" t="s">
        <v>112</v>
      </c>
      <c r="I2882">
        <v>3</v>
      </c>
      <c r="J2882" s="19">
        <f>WEEKNUM(tblRidershipData[[#This Row],[MeasurementDate]])</f>
        <v>3</v>
      </c>
      <c r="K2882" s="19">
        <f>MONTH(tblRidershipData[[#This Row],[MeasurementDate]])</f>
        <v>1</v>
      </c>
    </row>
    <row r="2883" spans="1:11" x14ac:dyDescent="0.25">
      <c r="A2883" s="31">
        <v>43847</v>
      </c>
      <c r="B2883" t="s">
        <v>6</v>
      </c>
      <c r="C2883" s="31">
        <v>1751</v>
      </c>
      <c r="D2883" t="s">
        <v>102</v>
      </c>
      <c r="E2883" t="s">
        <v>109</v>
      </c>
      <c r="F2883">
        <v>1</v>
      </c>
      <c r="G2883" t="s">
        <v>54</v>
      </c>
      <c r="H2883" t="s">
        <v>112</v>
      </c>
      <c r="I2883">
        <v>2</v>
      </c>
      <c r="J2883" s="19">
        <f>WEEKNUM(tblRidershipData[[#This Row],[MeasurementDate]])</f>
        <v>3</v>
      </c>
      <c r="K2883" s="19">
        <f>MONTH(tblRidershipData[[#This Row],[MeasurementDate]])</f>
        <v>1</v>
      </c>
    </row>
    <row r="2884" spans="1:11" x14ac:dyDescent="0.25">
      <c r="A2884" s="31">
        <v>43847</v>
      </c>
      <c r="B2884" t="s">
        <v>6</v>
      </c>
      <c r="C2884" s="31">
        <v>1751</v>
      </c>
      <c r="D2884" t="s">
        <v>102</v>
      </c>
      <c r="E2884" t="s">
        <v>109</v>
      </c>
      <c r="F2884">
        <v>1</v>
      </c>
      <c r="G2884" t="s">
        <v>56</v>
      </c>
      <c r="H2884" t="s">
        <v>112</v>
      </c>
      <c r="I2884">
        <v>3</v>
      </c>
      <c r="J2884" s="19">
        <f>WEEKNUM(tblRidershipData[[#This Row],[MeasurementDate]])</f>
        <v>3</v>
      </c>
      <c r="K2884" s="19">
        <f>MONTH(tblRidershipData[[#This Row],[MeasurementDate]])</f>
        <v>1</v>
      </c>
    </row>
    <row r="2885" spans="1:11" x14ac:dyDescent="0.25">
      <c r="A2885" s="31">
        <v>43847</v>
      </c>
      <c r="B2885" t="s">
        <v>6</v>
      </c>
      <c r="C2885" s="31">
        <v>1751</v>
      </c>
      <c r="D2885" t="s">
        <v>102</v>
      </c>
      <c r="E2885" t="s">
        <v>109</v>
      </c>
      <c r="F2885">
        <v>1</v>
      </c>
      <c r="G2885" t="s">
        <v>57</v>
      </c>
      <c r="H2885" t="s">
        <v>112</v>
      </c>
      <c r="I2885">
        <v>1</v>
      </c>
      <c r="J2885" s="19">
        <f>WEEKNUM(tblRidershipData[[#This Row],[MeasurementDate]])</f>
        <v>3</v>
      </c>
      <c r="K2885" s="19">
        <f>MONTH(tblRidershipData[[#This Row],[MeasurementDate]])</f>
        <v>1</v>
      </c>
    </row>
    <row r="2886" spans="1:11" x14ac:dyDescent="0.25">
      <c r="A2886" s="31">
        <v>43847</v>
      </c>
      <c r="B2886" t="s">
        <v>6</v>
      </c>
      <c r="C2886" s="31">
        <v>1751</v>
      </c>
      <c r="D2886" t="s">
        <v>102</v>
      </c>
      <c r="E2886" t="s">
        <v>109</v>
      </c>
      <c r="F2886">
        <v>1</v>
      </c>
      <c r="G2886" t="s">
        <v>58</v>
      </c>
      <c r="H2886" t="s">
        <v>112</v>
      </c>
      <c r="I2886">
        <v>7</v>
      </c>
      <c r="J2886" s="19">
        <f>WEEKNUM(tblRidershipData[[#This Row],[MeasurementDate]])</f>
        <v>3</v>
      </c>
      <c r="K2886" s="19">
        <f>MONTH(tblRidershipData[[#This Row],[MeasurementDate]])</f>
        <v>1</v>
      </c>
    </row>
    <row r="2887" spans="1:11" x14ac:dyDescent="0.25">
      <c r="A2887" s="31">
        <v>43847</v>
      </c>
      <c r="B2887" t="s">
        <v>6</v>
      </c>
      <c r="C2887" s="31">
        <v>1751</v>
      </c>
      <c r="D2887" t="s">
        <v>102</v>
      </c>
      <c r="E2887" t="s">
        <v>109</v>
      </c>
      <c r="F2887">
        <v>1</v>
      </c>
      <c r="G2887" t="s">
        <v>69</v>
      </c>
      <c r="H2887" t="s">
        <v>112</v>
      </c>
      <c r="I2887">
        <v>3</v>
      </c>
      <c r="J2887" s="19">
        <f>WEEKNUM(tblRidershipData[[#This Row],[MeasurementDate]])</f>
        <v>3</v>
      </c>
      <c r="K2887" s="19">
        <f>MONTH(tblRidershipData[[#This Row],[MeasurementDate]])</f>
        <v>1</v>
      </c>
    </row>
    <row r="2888" spans="1:11" x14ac:dyDescent="0.25">
      <c r="A2888" s="31">
        <v>43847</v>
      </c>
      <c r="B2888" t="s">
        <v>6</v>
      </c>
      <c r="C2888" s="31">
        <v>1751</v>
      </c>
      <c r="D2888" t="s">
        <v>102</v>
      </c>
      <c r="E2888" t="s">
        <v>109</v>
      </c>
      <c r="F2888">
        <v>1</v>
      </c>
      <c r="G2888" t="s">
        <v>70</v>
      </c>
      <c r="H2888" t="s">
        <v>112</v>
      </c>
      <c r="I2888">
        <v>5</v>
      </c>
      <c r="J2888" s="19">
        <f>WEEKNUM(tblRidershipData[[#This Row],[MeasurementDate]])</f>
        <v>3</v>
      </c>
      <c r="K2888" s="19">
        <f>MONTH(tblRidershipData[[#This Row],[MeasurementDate]])</f>
        <v>1</v>
      </c>
    </row>
    <row r="2889" spans="1:11" x14ac:dyDescent="0.25">
      <c r="A2889" s="31">
        <v>43847</v>
      </c>
      <c r="B2889" t="s">
        <v>6</v>
      </c>
      <c r="C2889" s="31">
        <v>1751</v>
      </c>
      <c r="D2889" t="s">
        <v>102</v>
      </c>
      <c r="E2889" t="s">
        <v>109</v>
      </c>
      <c r="F2889">
        <v>1</v>
      </c>
      <c r="G2889" t="s">
        <v>71</v>
      </c>
      <c r="H2889" t="s">
        <v>112</v>
      </c>
      <c r="I2889">
        <v>3</v>
      </c>
      <c r="J2889" s="19">
        <f>WEEKNUM(tblRidershipData[[#This Row],[MeasurementDate]])</f>
        <v>3</v>
      </c>
      <c r="K2889" s="19">
        <f>MONTH(tblRidershipData[[#This Row],[MeasurementDate]])</f>
        <v>1</v>
      </c>
    </row>
    <row r="2890" spans="1:11" x14ac:dyDescent="0.25">
      <c r="A2890" s="31">
        <v>43847</v>
      </c>
      <c r="B2890" t="s">
        <v>6</v>
      </c>
      <c r="C2890" s="31">
        <v>1751</v>
      </c>
      <c r="D2890" t="s">
        <v>102</v>
      </c>
      <c r="E2890" t="s">
        <v>109</v>
      </c>
      <c r="F2890">
        <v>1</v>
      </c>
      <c r="G2890" t="s">
        <v>72</v>
      </c>
      <c r="H2890" t="s">
        <v>112</v>
      </c>
      <c r="I2890">
        <v>6</v>
      </c>
      <c r="J2890" s="19">
        <f>WEEKNUM(tblRidershipData[[#This Row],[MeasurementDate]])</f>
        <v>3</v>
      </c>
      <c r="K2890" s="19">
        <f>MONTH(tblRidershipData[[#This Row],[MeasurementDate]])</f>
        <v>1</v>
      </c>
    </row>
    <row r="2891" spans="1:11" x14ac:dyDescent="0.25">
      <c r="A2891" s="31">
        <v>43847</v>
      </c>
      <c r="B2891" t="s">
        <v>6</v>
      </c>
      <c r="C2891" s="31">
        <v>1754</v>
      </c>
      <c r="D2891" t="s">
        <v>101</v>
      </c>
      <c r="E2891" t="s">
        <v>111</v>
      </c>
      <c r="F2891">
        <v>1</v>
      </c>
      <c r="G2891" t="s">
        <v>45</v>
      </c>
      <c r="H2891" t="s">
        <v>110</v>
      </c>
      <c r="I2891">
        <v>3</v>
      </c>
      <c r="J2891" s="19">
        <f>WEEKNUM(tblRidershipData[[#This Row],[MeasurementDate]])</f>
        <v>3</v>
      </c>
      <c r="K2891" s="19">
        <f>MONTH(tblRidershipData[[#This Row],[MeasurementDate]])</f>
        <v>1</v>
      </c>
    </row>
    <row r="2892" spans="1:11" x14ac:dyDescent="0.25">
      <c r="A2892" s="31">
        <v>43847</v>
      </c>
      <c r="B2892" t="s">
        <v>6</v>
      </c>
      <c r="C2892" s="31">
        <v>1754</v>
      </c>
      <c r="D2892" t="s">
        <v>101</v>
      </c>
      <c r="E2892" t="s">
        <v>111</v>
      </c>
      <c r="F2892">
        <v>1</v>
      </c>
      <c r="G2892" t="s">
        <v>47</v>
      </c>
      <c r="H2892" t="s">
        <v>110</v>
      </c>
      <c r="I2892">
        <v>2</v>
      </c>
      <c r="J2892" s="19">
        <f>WEEKNUM(tblRidershipData[[#This Row],[MeasurementDate]])</f>
        <v>3</v>
      </c>
      <c r="K2892" s="19">
        <f>MONTH(tblRidershipData[[#This Row],[MeasurementDate]])</f>
        <v>1</v>
      </c>
    </row>
    <row r="2893" spans="1:11" x14ac:dyDescent="0.25">
      <c r="A2893" s="31">
        <v>43847</v>
      </c>
      <c r="B2893" t="s">
        <v>6</v>
      </c>
      <c r="C2893" s="31">
        <v>1754</v>
      </c>
      <c r="D2893" t="s">
        <v>101</v>
      </c>
      <c r="E2893" t="s">
        <v>111</v>
      </c>
      <c r="F2893">
        <v>1</v>
      </c>
      <c r="G2893" t="s">
        <v>48</v>
      </c>
      <c r="H2893" t="s">
        <v>110</v>
      </c>
      <c r="I2893">
        <v>6</v>
      </c>
      <c r="J2893" s="19">
        <f>WEEKNUM(tblRidershipData[[#This Row],[MeasurementDate]])</f>
        <v>3</v>
      </c>
      <c r="K2893" s="19">
        <f>MONTH(tblRidershipData[[#This Row],[MeasurementDate]])</f>
        <v>1</v>
      </c>
    </row>
    <row r="2894" spans="1:11" x14ac:dyDescent="0.25">
      <c r="A2894" s="31">
        <v>43847</v>
      </c>
      <c r="B2894" t="s">
        <v>6</v>
      </c>
      <c r="C2894" s="31">
        <v>1754</v>
      </c>
      <c r="D2894" t="s">
        <v>101</v>
      </c>
      <c r="E2894" t="s">
        <v>111</v>
      </c>
      <c r="F2894">
        <v>1</v>
      </c>
      <c r="G2894" t="s">
        <v>54</v>
      </c>
      <c r="H2894" t="s">
        <v>110</v>
      </c>
      <c r="I2894">
        <v>12</v>
      </c>
      <c r="J2894" s="19">
        <f>WEEKNUM(tblRidershipData[[#This Row],[MeasurementDate]])</f>
        <v>3</v>
      </c>
      <c r="K2894" s="19">
        <f>MONTH(tblRidershipData[[#This Row],[MeasurementDate]])</f>
        <v>1</v>
      </c>
    </row>
    <row r="2895" spans="1:11" x14ac:dyDescent="0.25">
      <c r="A2895" s="31">
        <v>43847</v>
      </c>
      <c r="B2895" t="s">
        <v>6</v>
      </c>
      <c r="C2895" s="31">
        <v>1754</v>
      </c>
      <c r="D2895" t="s">
        <v>101</v>
      </c>
      <c r="E2895" t="s">
        <v>111</v>
      </c>
      <c r="F2895">
        <v>1</v>
      </c>
      <c r="G2895" t="s">
        <v>56</v>
      </c>
      <c r="H2895" t="s">
        <v>110</v>
      </c>
      <c r="I2895">
        <v>1</v>
      </c>
      <c r="J2895" s="19">
        <f>WEEKNUM(tblRidershipData[[#This Row],[MeasurementDate]])</f>
        <v>3</v>
      </c>
      <c r="K2895" s="19">
        <f>MONTH(tblRidershipData[[#This Row],[MeasurementDate]])</f>
        <v>1</v>
      </c>
    </row>
    <row r="2896" spans="1:11" x14ac:dyDescent="0.25">
      <c r="A2896" s="31">
        <v>43847</v>
      </c>
      <c r="B2896" t="s">
        <v>6</v>
      </c>
      <c r="C2896" s="31">
        <v>1754</v>
      </c>
      <c r="D2896" t="s">
        <v>101</v>
      </c>
      <c r="E2896" t="s">
        <v>111</v>
      </c>
      <c r="F2896">
        <v>1</v>
      </c>
      <c r="G2896" t="s">
        <v>63</v>
      </c>
      <c r="H2896" t="s">
        <v>110</v>
      </c>
      <c r="I2896">
        <v>10</v>
      </c>
      <c r="J2896" s="19">
        <f>WEEKNUM(tblRidershipData[[#This Row],[MeasurementDate]])</f>
        <v>3</v>
      </c>
      <c r="K2896" s="19">
        <f>MONTH(tblRidershipData[[#This Row],[MeasurementDate]])</f>
        <v>1</v>
      </c>
    </row>
    <row r="2897" spans="1:11" x14ac:dyDescent="0.25">
      <c r="A2897" s="31">
        <v>43847</v>
      </c>
      <c r="B2897" t="s">
        <v>6</v>
      </c>
      <c r="C2897" s="31">
        <v>1754</v>
      </c>
      <c r="D2897" t="s">
        <v>101</v>
      </c>
      <c r="E2897" t="s">
        <v>111</v>
      </c>
      <c r="F2897">
        <v>1</v>
      </c>
      <c r="G2897" t="s">
        <v>64</v>
      </c>
      <c r="H2897" t="s">
        <v>110</v>
      </c>
      <c r="I2897">
        <v>3</v>
      </c>
      <c r="J2897" s="19">
        <f>WEEKNUM(tblRidershipData[[#This Row],[MeasurementDate]])</f>
        <v>3</v>
      </c>
      <c r="K2897" s="19">
        <f>MONTH(tblRidershipData[[#This Row],[MeasurementDate]])</f>
        <v>1</v>
      </c>
    </row>
    <row r="2898" spans="1:11" x14ac:dyDescent="0.25">
      <c r="A2898" s="31">
        <v>43847</v>
      </c>
      <c r="B2898" t="s">
        <v>6</v>
      </c>
      <c r="C2898" s="31">
        <v>1754</v>
      </c>
      <c r="D2898" t="s">
        <v>101</v>
      </c>
      <c r="E2898" t="s">
        <v>111</v>
      </c>
      <c r="F2898">
        <v>1</v>
      </c>
      <c r="G2898" t="s">
        <v>65</v>
      </c>
      <c r="H2898" t="s">
        <v>110</v>
      </c>
      <c r="I2898">
        <v>3</v>
      </c>
      <c r="J2898" s="19">
        <f>WEEKNUM(tblRidershipData[[#This Row],[MeasurementDate]])</f>
        <v>3</v>
      </c>
      <c r="K2898" s="19">
        <f>MONTH(tblRidershipData[[#This Row],[MeasurementDate]])</f>
        <v>1</v>
      </c>
    </row>
    <row r="2899" spans="1:11" x14ac:dyDescent="0.25">
      <c r="A2899" s="31">
        <v>43847</v>
      </c>
      <c r="B2899" t="s">
        <v>6</v>
      </c>
      <c r="C2899" s="31">
        <v>1754</v>
      </c>
      <c r="D2899" t="s">
        <v>101</v>
      </c>
      <c r="E2899" t="s">
        <v>111</v>
      </c>
      <c r="F2899">
        <v>2</v>
      </c>
      <c r="G2899" t="s">
        <v>52</v>
      </c>
      <c r="H2899" t="s">
        <v>110</v>
      </c>
      <c r="I2899">
        <v>17</v>
      </c>
      <c r="J2899" s="19">
        <f>WEEKNUM(tblRidershipData[[#This Row],[MeasurementDate]])</f>
        <v>3</v>
      </c>
      <c r="K2899" s="19">
        <f>MONTH(tblRidershipData[[#This Row],[MeasurementDate]])</f>
        <v>1</v>
      </c>
    </row>
    <row r="2900" spans="1:11" x14ac:dyDescent="0.25">
      <c r="A2900" s="31">
        <v>43847</v>
      </c>
      <c r="B2900" t="s">
        <v>6</v>
      </c>
      <c r="C2900" s="31">
        <v>1754</v>
      </c>
      <c r="D2900" t="s">
        <v>101</v>
      </c>
      <c r="E2900" t="s">
        <v>111</v>
      </c>
      <c r="F2900">
        <v>2</v>
      </c>
      <c r="G2900" t="s">
        <v>54</v>
      </c>
      <c r="H2900" t="s">
        <v>110</v>
      </c>
      <c r="I2900">
        <v>3</v>
      </c>
      <c r="J2900" s="19">
        <f>WEEKNUM(tblRidershipData[[#This Row],[MeasurementDate]])</f>
        <v>3</v>
      </c>
      <c r="K2900" s="19">
        <f>MONTH(tblRidershipData[[#This Row],[MeasurementDate]])</f>
        <v>1</v>
      </c>
    </row>
    <row r="2901" spans="1:11" x14ac:dyDescent="0.25">
      <c r="A2901" s="31">
        <v>43847</v>
      </c>
      <c r="B2901" t="s">
        <v>6</v>
      </c>
      <c r="C2901" s="31">
        <v>1754</v>
      </c>
      <c r="D2901" t="s">
        <v>101</v>
      </c>
      <c r="E2901" t="s">
        <v>111</v>
      </c>
      <c r="F2901">
        <v>2</v>
      </c>
      <c r="G2901" t="s">
        <v>55</v>
      </c>
      <c r="H2901" t="s">
        <v>110</v>
      </c>
      <c r="I2901">
        <v>1</v>
      </c>
      <c r="J2901" s="19">
        <f>WEEKNUM(tblRidershipData[[#This Row],[MeasurementDate]])</f>
        <v>3</v>
      </c>
      <c r="K2901" s="19">
        <f>MONTH(tblRidershipData[[#This Row],[MeasurementDate]])</f>
        <v>1</v>
      </c>
    </row>
    <row r="2902" spans="1:11" x14ac:dyDescent="0.25">
      <c r="A2902" s="31">
        <v>43847</v>
      </c>
      <c r="B2902" t="s">
        <v>6</v>
      </c>
      <c r="C2902" s="31">
        <v>1754</v>
      </c>
      <c r="D2902" t="s">
        <v>101</v>
      </c>
      <c r="E2902" t="s">
        <v>111</v>
      </c>
      <c r="F2902">
        <v>2</v>
      </c>
      <c r="G2902" t="s">
        <v>59</v>
      </c>
      <c r="H2902" t="s">
        <v>110</v>
      </c>
      <c r="I2902">
        <v>6</v>
      </c>
      <c r="J2902" s="19">
        <f>WEEKNUM(tblRidershipData[[#This Row],[MeasurementDate]])</f>
        <v>3</v>
      </c>
      <c r="K2902" s="19">
        <f>MONTH(tblRidershipData[[#This Row],[MeasurementDate]])</f>
        <v>1</v>
      </c>
    </row>
    <row r="2903" spans="1:11" x14ac:dyDescent="0.25">
      <c r="A2903" s="31">
        <v>43847</v>
      </c>
      <c r="B2903" t="s">
        <v>6</v>
      </c>
      <c r="C2903" s="31">
        <v>1754</v>
      </c>
      <c r="D2903" t="s">
        <v>101</v>
      </c>
      <c r="E2903" t="s">
        <v>111</v>
      </c>
      <c r="F2903">
        <v>2</v>
      </c>
      <c r="G2903" t="s">
        <v>65</v>
      </c>
      <c r="H2903" t="s">
        <v>110</v>
      </c>
      <c r="I2903">
        <v>1</v>
      </c>
      <c r="J2903" s="19">
        <f>WEEKNUM(tblRidershipData[[#This Row],[MeasurementDate]])</f>
        <v>3</v>
      </c>
      <c r="K2903" s="19">
        <f>MONTH(tblRidershipData[[#This Row],[MeasurementDate]])</f>
        <v>1</v>
      </c>
    </row>
    <row r="2904" spans="1:11" x14ac:dyDescent="0.25">
      <c r="A2904" s="31">
        <v>43847</v>
      </c>
      <c r="B2904" t="s">
        <v>6</v>
      </c>
      <c r="C2904" s="31">
        <v>1754</v>
      </c>
      <c r="D2904" t="s">
        <v>101</v>
      </c>
      <c r="E2904" t="s">
        <v>111</v>
      </c>
      <c r="F2904">
        <v>2</v>
      </c>
      <c r="G2904" t="s">
        <v>67</v>
      </c>
      <c r="H2904" t="s">
        <v>110</v>
      </c>
      <c r="I2904">
        <v>12</v>
      </c>
      <c r="J2904" s="19">
        <f>WEEKNUM(tblRidershipData[[#This Row],[MeasurementDate]])</f>
        <v>3</v>
      </c>
      <c r="K2904" s="19">
        <f>MONTH(tblRidershipData[[#This Row],[MeasurementDate]])</f>
        <v>1</v>
      </c>
    </row>
    <row r="2905" spans="1:11" x14ac:dyDescent="0.25">
      <c r="A2905" s="31">
        <v>43847</v>
      </c>
      <c r="B2905" t="s">
        <v>6</v>
      </c>
      <c r="C2905" s="31">
        <v>1754</v>
      </c>
      <c r="D2905" t="s">
        <v>101</v>
      </c>
      <c r="E2905" t="s">
        <v>109</v>
      </c>
      <c r="F2905">
        <v>1</v>
      </c>
      <c r="G2905" t="s">
        <v>51</v>
      </c>
      <c r="H2905" t="s">
        <v>110</v>
      </c>
      <c r="I2905">
        <v>4</v>
      </c>
      <c r="J2905" s="19">
        <f>WEEKNUM(tblRidershipData[[#This Row],[MeasurementDate]])</f>
        <v>3</v>
      </c>
      <c r="K2905" s="19">
        <f>MONTH(tblRidershipData[[#This Row],[MeasurementDate]])</f>
        <v>1</v>
      </c>
    </row>
    <row r="2906" spans="1:11" x14ac:dyDescent="0.25">
      <c r="A2906" s="31">
        <v>43847</v>
      </c>
      <c r="B2906" t="s">
        <v>6</v>
      </c>
      <c r="C2906" s="31">
        <v>1754</v>
      </c>
      <c r="D2906" t="s">
        <v>101</v>
      </c>
      <c r="E2906" t="s">
        <v>109</v>
      </c>
      <c r="F2906">
        <v>1</v>
      </c>
      <c r="G2906" t="s">
        <v>52</v>
      </c>
      <c r="H2906" t="s">
        <v>110</v>
      </c>
      <c r="I2906">
        <v>26</v>
      </c>
      <c r="J2906" s="19">
        <f>WEEKNUM(tblRidershipData[[#This Row],[MeasurementDate]])</f>
        <v>3</v>
      </c>
      <c r="K2906" s="19">
        <f>MONTH(tblRidershipData[[#This Row],[MeasurementDate]])</f>
        <v>1</v>
      </c>
    </row>
    <row r="2907" spans="1:11" x14ac:dyDescent="0.25">
      <c r="A2907" s="31">
        <v>43847</v>
      </c>
      <c r="B2907" t="s">
        <v>6</v>
      </c>
      <c r="C2907" s="31">
        <v>1754</v>
      </c>
      <c r="D2907" t="s">
        <v>101</v>
      </c>
      <c r="E2907" t="s">
        <v>109</v>
      </c>
      <c r="F2907">
        <v>1</v>
      </c>
      <c r="G2907" t="s">
        <v>65</v>
      </c>
      <c r="H2907" t="s">
        <v>110</v>
      </c>
      <c r="I2907">
        <v>1</v>
      </c>
      <c r="J2907" s="19">
        <f>WEEKNUM(tblRidershipData[[#This Row],[MeasurementDate]])</f>
        <v>3</v>
      </c>
      <c r="K2907" s="19">
        <f>MONTH(tblRidershipData[[#This Row],[MeasurementDate]])</f>
        <v>1</v>
      </c>
    </row>
    <row r="2908" spans="1:11" x14ac:dyDescent="0.25">
      <c r="A2908" s="31">
        <v>43847</v>
      </c>
      <c r="B2908" t="s">
        <v>6</v>
      </c>
      <c r="C2908" s="31">
        <v>1754</v>
      </c>
      <c r="D2908" t="s">
        <v>101</v>
      </c>
      <c r="E2908" t="s">
        <v>109</v>
      </c>
      <c r="F2908">
        <v>1</v>
      </c>
      <c r="G2908" t="s">
        <v>72</v>
      </c>
      <c r="H2908" t="s">
        <v>110</v>
      </c>
      <c r="I2908">
        <v>21</v>
      </c>
      <c r="J2908" s="19">
        <f>WEEKNUM(tblRidershipData[[#This Row],[MeasurementDate]])</f>
        <v>3</v>
      </c>
      <c r="K2908" s="19">
        <f>MONTH(tblRidershipData[[#This Row],[MeasurementDate]])</f>
        <v>1</v>
      </c>
    </row>
    <row r="2909" spans="1:11" x14ac:dyDescent="0.25">
      <c r="A2909" s="31">
        <v>43847</v>
      </c>
      <c r="B2909" t="s">
        <v>6</v>
      </c>
      <c r="C2909" s="31">
        <v>1754</v>
      </c>
      <c r="D2909" t="s">
        <v>101</v>
      </c>
      <c r="E2909" t="s">
        <v>109</v>
      </c>
      <c r="F2909">
        <v>2</v>
      </c>
      <c r="G2909" t="s">
        <v>54</v>
      </c>
      <c r="H2909" t="s">
        <v>110</v>
      </c>
      <c r="I2909">
        <v>20</v>
      </c>
      <c r="J2909" s="19">
        <f>WEEKNUM(tblRidershipData[[#This Row],[MeasurementDate]])</f>
        <v>3</v>
      </c>
      <c r="K2909" s="19">
        <f>MONTH(tblRidershipData[[#This Row],[MeasurementDate]])</f>
        <v>1</v>
      </c>
    </row>
    <row r="2910" spans="1:11" x14ac:dyDescent="0.25">
      <c r="A2910" s="31">
        <v>43847</v>
      </c>
      <c r="B2910" t="s">
        <v>6</v>
      </c>
      <c r="C2910" s="31">
        <v>1754</v>
      </c>
      <c r="D2910" t="s">
        <v>101</v>
      </c>
      <c r="E2910" t="s">
        <v>109</v>
      </c>
      <c r="F2910">
        <v>2</v>
      </c>
      <c r="G2910" t="s">
        <v>63</v>
      </c>
      <c r="H2910" t="s">
        <v>110</v>
      </c>
      <c r="I2910">
        <v>8</v>
      </c>
      <c r="J2910" s="19">
        <f>WEEKNUM(tblRidershipData[[#This Row],[MeasurementDate]])</f>
        <v>3</v>
      </c>
      <c r="K2910" s="19">
        <f>MONTH(tblRidershipData[[#This Row],[MeasurementDate]])</f>
        <v>1</v>
      </c>
    </row>
    <row r="2911" spans="1:11" x14ac:dyDescent="0.25">
      <c r="A2911" s="31">
        <v>43847</v>
      </c>
      <c r="B2911" t="s">
        <v>6</v>
      </c>
      <c r="C2911" s="31">
        <v>1754</v>
      </c>
      <c r="D2911" t="s">
        <v>101</v>
      </c>
      <c r="E2911" t="s">
        <v>109</v>
      </c>
      <c r="F2911">
        <v>2</v>
      </c>
      <c r="G2911" t="s">
        <v>64</v>
      </c>
      <c r="H2911" t="s">
        <v>110</v>
      </c>
      <c r="I2911">
        <v>14</v>
      </c>
      <c r="J2911" s="19">
        <f>WEEKNUM(tblRidershipData[[#This Row],[MeasurementDate]])</f>
        <v>3</v>
      </c>
      <c r="K2911" s="19">
        <f>MONTH(tblRidershipData[[#This Row],[MeasurementDate]])</f>
        <v>1</v>
      </c>
    </row>
    <row r="2912" spans="1:11" x14ac:dyDescent="0.25">
      <c r="A2912" s="31">
        <v>43847</v>
      </c>
      <c r="B2912" t="s">
        <v>6</v>
      </c>
      <c r="C2912" s="31">
        <v>1754</v>
      </c>
      <c r="D2912" t="s">
        <v>101</v>
      </c>
      <c r="E2912" t="s">
        <v>109</v>
      </c>
      <c r="F2912">
        <v>2</v>
      </c>
      <c r="G2912" t="s">
        <v>67</v>
      </c>
      <c r="H2912" t="s">
        <v>110</v>
      </c>
      <c r="I2912">
        <v>10</v>
      </c>
      <c r="J2912" s="19">
        <f>WEEKNUM(tblRidershipData[[#This Row],[MeasurementDate]])</f>
        <v>3</v>
      </c>
      <c r="K2912" s="19">
        <f>MONTH(tblRidershipData[[#This Row],[MeasurementDate]])</f>
        <v>1</v>
      </c>
    </row>
    <row r="2913" spans="1:11" x14ac:dyDescent="0.25">
      <c r="A2913" s="31">
        <v>43847</v>
      </c>
      <c r="B2913" t="s">
        <v>6</v>
      </c>
      <c r="C2913" s="31">
        <v>1754</v>
      </c>
      <c r="D2913" t="s">
        <v>101</v>
      </c>
      <c r="E2913" t="s">
        <v>111</v>
      </c>
      <c r="F2913">
        <v>1</v>
      </c>
      <c r="G2913" t="s">
        <v>45</v>
      </c>
      <c r="H2913" t="s">
        <v>112</v>
      </c>
      <c r="I2913">
        <v>3</v>
      </c>
      <c r="J2913" s="19">
        <f>WEEKNUM(tblRidershipData[[#This Row],[MeasurementDate]])</f>
        <v>3</v>
      </c>
      <c r="K2913" s="19">
        <f>MONTH(tblRidershipData[[#This Row],[MeasurementDate]])</f>
        <v>1</v>
      </c>
    </row>
    <row r="2914" spans="1:11" x14ac:dyDescent="0.25">
      <c r="A2914" s="31">
        <v>43847</v>
      </c>
      <c r="B2914" t="s">
        <v>6</v>
      </c>
      <c r="C2914" s="31">
        <v>1754</v>
      </c>
      <c r="D2914" t="s">
        <v>101</v>
      </c>
      <c r="E2914" t="s">
        <v>111</v>
      </c>
      <c r="F2914">
        <v>1</v>
      </c>
      <c r="G2914" t="s">
        <v>47</v>
      </c>
      <c r="H2914" t="s">
        <v>112</v>
      </c>
      <c r="I2914">
        <v>2</v>
      </c>
      <c r="J2914" s="19">
        <f>WEEKNUM(tblRidershipData[[#This Row],[MeasurementDate]])</f>
        <v>3</v>
      </c>
      <c r="K2914" s="19">
        <f>MONTH(tblRidershipData[[#This Row],[MeasurementDate]])</f>
        <v>1</v>
      </c>
    </row>
    <row r="2915" spans="1:11" x14ac:dyDescent="0.25">
      <c r="A2915" s="31">
        <v>43847</v>
      </c>
      <c r="B2915" t="s">
        <v>6</v>
      </c>
      <c r="C2915" s="31">
        <v>1754</v>
      </c>
      <c r="D2915" t="s">
        <v>101</v>
      </c>
      <c r="E2915" t="s">
        <v>111</v>
      </c>
      <c r="F2915">
        <v>1</v>
      </c>
      <c r="G2915" t="s">
        <v>48</v>
      </c>
      <c r="H2915" t="s">
        <v>112</v>
      </c>
      <c r="I2915">
        <v>6</v>
      </c>
      <c r="J2915" s="19">
        <f>WEEKNUM(tblRidershipData[[#This Row],[MeasurementDate]])</f>
        <v>3</v>
      </c>
      <c r="K2915" s="19">
        <f>MONTH(tblRidershipData[[#This Row],[MeasurementDate]])</f>
        <v>1</v>
      </c>
    </row>
    <row r="2916" spans="1:11" x14ac:dyDescent="0.25">
      <c r="A2916" s="31">
        <v>43847</v>
      </c>
      <c r="B2916" t="s">
        <v>6</v>
      </c>
      <c r="C2916" s="31">
        <v>1754</v>
      </c>
      <c r="D2916" t="s">
        <v>101</v>
      </c>
      <c r="E2916" t="s">
        <v>111</v>
      </c>
      <c r="F2916">
        <v>1</v>
      </c>
      <c r="G2916" t="s">
        <v>54</v>
      </c>
      <c r="H2916" t="s">
        <v>112</v>
      </c>
      <c r="I2916">
        <v>12</v>
      </c>
      <c r="J2916" s="19">
        <f>WEEKNUM(tblRidershipData[[#This Row],[MeasurementDate]])</f>
        <v>3</v>
      </c>
      <c r="K2916" s="19">
        <f>MONTH(tblRidershipData[[#This Row],[MeasurementDate]])</f>
        <v>1</v>
      </c>
    </row>
    <row r="2917" spans="1:11" x14ac:dyDescent="0.25">
      <c r="A2917" s="31">
        <v>43847</v>
      </c>
      <c r="B2917" t="s">
        <v>6</v>
      </c>
      <c r="C2917" s="31">
        <v>1754</v>
      </c>
      <c r="D2917" t="s">
        <v>101</v>
      </c>
      <c r="E2917" t="s">
        <v>111</v>
      </c>
      <c r="F2917">
        <v>1</v>
      </c>
      <c r="G2917" t="s">
        <v>56</v>
      </c>
      <c r="H2917" t="s">
        <v>112</v>
      </c>
      <c r="I2917">
        <v>1</v>
      </c>
      <c r="J2917" s="19">
        <f>WEEKNUM(tblRidershipData[[#This Row],[MeasurementDate]])</f>
        <v>3</v>
      </c>
      <c r="K2917" s="19">
        <f>MONTH(tblRidershipData[[#This Row],[MeasurementDate]])</f>
        <v>1</v>
      </c>
    </row>
    <row r="2918" spans="1:11" x14ac:dyDescent="0.25">
      <c r="A2918" s="31">
        <v>43847</v>
      </c>
      <c r="B2918" t="s">
        <v>6</v>
      </c>
      <c r="C2918" s="31">
        <v>1754</v>
      </c>
      <c r="D2918" t="s">
        <v>101</v>
      </c>
      <c r="E2918" t="s">
        <v>111</v>
      </c>
      <c r="F2918">
        <v>1</v>
      </c>
      <c r="G2918" t="s">
        <v>63</v>
      </c>
      <c r="H2918" t="s">
        <v>112</v>
      </c>
      <c r="I2918">
        <v>10</v>
      </c>
      <c r="J2918" s="19">
        <f>WEEKNUM(tblRidershipData[[#This Row],[MeasurementDate]])</f>
        <v>3</v>
      </c>
      <c r="K2918" s="19">
        <f>MONTH(tblRidershipData[[#This Row],[MeasurementDate]])</f>
        <v>1</v>
      </c>
    </row>
    <row r="2919" spans="1:11" x14ac:dyDescent="0.25">
      <c r="A2919" s="31">
        <v>43847</v>
      </c>
      <c r="B2919" t="s">
        <v>6</v>
      </c>
      <c r="C2919" s="31">
        <v>1754</v>
      </c>
      <c r="D2919" t="s">
        <v>101</v>
      </c>
      <c r="E2919" t="s">
        <v>111</v>
      </c>
      <c r="F2919">
        <v>1</v>
      </c>
      <c r="G2919" t="s">
        <v>64</v>
      </c>
      <c r="H2919" t="s">
        <v>112</v>
      </c>
      <c r="I2919">
        <v>4</v>
      </c>
      <c r="J2919" s="19">
        <f>WEEKNUM(tblRidershipData[[#This Row],[MeasurementDate]])</f>
        <v>3</v>
      </c>
      <c r="K2919" s="19">
        <f>MONTH(tblRidershipData[[#This Row],[MeasurementDate]])</f>
        <v>1</v>
      </c>
    </row>
    <row r="2920" spans="1:11" x14ac:dyDescent="0.25">
      <c r="A2920" s="31">
        <v>43847</v>
      </c>
      <c r="B2920" t="s">
        <v>6</v>
      </c>
      <c r="C2920" s="31">
        <v>1754</v>
      </c>
      <c r="D2920" t="s">
        <v>101</v>
      </c>
      <c r="E2920" t="s">
        <v>111</v>
      </c>
      <c r="F2920">
        <v>1</v>
      </c>
      <c r="G2920" t="s">
        <v>73</v>
      </c>
      <c r="H2920" t="s">
        <v>112</v>
      </c>
      <c r="I2920">
        <v>3</v>
      </c>
      <c r="J2920" s="19">
        <f>WEEKNUM(tblRidershipData[[#This Row],[MeasurementDate]])</f>
        <v>3</v>
      </c>
      <c r="K2920" s="19">
        <f>MONTH(tblRidershipData[[#This Row],[MeasurementDate]])</f>
        <v>1</v>
      </c>
    </row>
    <row r="2921" spans="1:11" x14ac:dyDescent="0.25">
      <c r="A2921" s="31">
        <v>43847</v>
      </c>
      <c r="B2921" t="s">
        <v>6</v>
      </c>
      <c r="C2921" s="31">
        <v>1754</v>
      </c>
      <c r="D2921" t="s">
        <v>101</v>
      </c>
      <c r="E2921" t="s">
        <v>111</v>
      </c>
      <c r="F2921">
        <v>2</v>
      </c>
      <c r="G2921" t="s">
        <v>47</v>
      </c>
      <c r="H2921" t="s">
        <v>112</v>
      </c>
      <c r="I2921">
        <v>2</v>
      </c>
      <c r="J2921" s="19">
        <f>WEEKNUM(tblRidershipData[[#This Row],[MeasurementDate]])</f>
        <v>3</v>
      </c>
      <c r="K2921" s="19">
        <f>MONTH(tblRidershipData[[#This Row],[MeasurementDate]])</f>
        <v>1</v>
      </c>
    </row>
    <row r="2922" spans="1:11" x14ac:dyDescent="0.25">
      <c r="A2922" s="31">
        <v>43847</v>
      </c>
      <c r="B2922" t="s">
        <v>6</v>
      </c>
      <c r="C2922" s="31">
        <v>1754</v>
      </c>
      <c r="D2922" t="s">
        <v>101</v>
      </c>
      <c r="E2922" t="s">
        <v>111</v>
      </c>
      <c r="F2922">
        <v>2</v>
      </c>
      <c r="G2922" t="s">
        <v>52</v>
      </c>
      <c r="H2922" t="s">
        <v>112</v>
      </c>
      <c r="I2922">
        <v>17</v>
      </c>
      <c r="J2922" s="19">
        <f>WEEKNUM(tblRidershipData[[#This Row],[MeasurementDate]])</f>
        <v>3</v>
      </c>
      <c r="K2922" s="19">
        <f>MONTH(tblRidershipData[[#This Row],[MeasurementDate]])</f>
        <v>1</v>
      </c>
    </row>
    <row r="2923" spans="1:11" x14ac:dyDescent="0.25">
      <c r="A2923" s="31">
        <v>43847</v>
      </c>
      <c r="B2923" t="s">
        <v>6</v>
      </c>
      <c r="C2923" s="31">
        <v>1754</v>
      </c>
      <c r="D2923" t="s">
        <v>101</v>
      </c>
      <c r="E2923" t="s">
        <v>111</v>
      </c>
      <c r="F2923">
        <v>2</v>
      </c>
      <c r="G2923" t="s">
        <v>54</v>
      </c>
      <c r="H2923" t="s">
        <v>112</v>
      </c>
      <c r="I2923">
        <v>3</v>
      </c>
      <c r="J2923" s="19">
        <f>WEEKNUM(tblRidershipData[[#This Row],[MeasurementDate]])</f>
        <v>3</v>
      </c>
      <c r="K2923" s="19">
        <f>MONTH(tblRidershipData[[#This Row],[MeasurementDate]])</f>
        <v>1</v>
      </c>
    </row>
    <row r="2924" spans="1:11" x14ac:dyDescent="0.25">
      <c r="A2924" s="31">
        <v>43847</v>
      </c>
      <c r="B2924" t="s">
        <v>6</v>
      </c>
      <c r="C2924" s="31">
        <v>1754</v>
      </c>
      <c r="D2924" t="s">
        <v>101</v>
      </c>
      <c r="E2924" t="s">
        <v>111</v>
      </c>
      <c r="F2924">
        <v>2</v>
      </c>
      <c r="G2924" t="s">
        <v>55</v>
      </c>
      <c r="H2924" t="s">
        <v>112</v>
      </c>
      <c r="I2924">
        <v>1</v>
      </c>
      <c r="J2924" s="19">
        <f>WEEKNUM(tblRidershipData[[#This Row],[MeasurementDate]])</f>
        <v>3</v>
      </c>
      <c r="K2924" s="19">
        <f>MONTH(tblRidershipData[[#This Row],[MeasurementDate]])</f>
        <v>1</v>
      </c>
    </row>
    <row r="2925" spans="1:11" x14ac:dyDescent="0.25">
      <c r="A2925" s="31">
        <v>43847</v>
      </c>
      <c r="B2925" t="s">
        <v>6</v>
      </c>
      <c r="C2925" s="31">
        <v>1754</v>
      </c>
      <c r="D2925" t="s">
        <v>101</v>
      </c>
      <c r="E2925" t="s">
        <v>111</v>
      </c>
      <c r="F2925">
        <v>2</v>
      </c>
      <c r="G2925" t="s">
        <v>59</v>
      </c>
      <c r="H2925" t="s">
        <v>112</v>
      </c>
      <c r="I2925">
        <v>6</v>
      </c>
      <c r="J2925" s="19">
        <f>WEEKNUM(tblRidershipData[[#This Row],[MeasurementDate]])</f>
        <v>3</v>
      </c>
      <c r="K2925" s="19">
        <f>MONTH(tblRidershipData[[#This Row],[MeasurementDate]])</f>
        <v>1</v>
      </c>
    </row>
    <row r="2926" spans="1:11" x14ac:dyDescent="0.25">
      <c r="A2926" s="31">
        <v>43847</v>
      </c>
      <c r="B2926" t="s">
        <v>6</v>
      </c>
      <c r="C2926" s="31">
        <v>1754</v>
      </c>
      <c r="D2926" t="s">
        <v>101</v>
      </c>
      <c r="E2926" t="s">
        <v>111</v>
      </c>
      <c r="F2926">
        <v>2</v>
      </c>
      <c r="G2926" t="s">
        <v>65</v>
      </c>
      <c r="H2926" t="s">
        <v>112</v>
      </c>
      <c r="I2926">
        <v>1</v>
      </c>
      <c r="J2926" s="19">
        <f>WEEKNUM(tblRidershipData[[#This Row],[MeasurementDate]])</f>
        <v>3</v>
      </c>
      <c r="K2926" s="19">
        <f>MONTH(tblRidershipData[[#This Row],[MeasurementDate]])</f>
        <v>1</v>
      </c>
    </row>
    <row r="2927" spans="1:11" x14ac:dyDescent="0.25">
      <c r="A2927" s="31">
        <v>43847</v>
      </c>
      <c r="B2927" t="s">
        <v>6</v>
      </c>
      <c r="C2927" s="31">
        <v>1754</v>
      </c>
      <c r="D2927" t="s">
        <v>101</v>
      </c>
      <c r="E2927" t="s">
        <v>111</v>
      </c>
      <c r="F2927">
        <v>2</v>
      </c>
      <c r="G2927" t="s">
        <v>67</v>
      </c>
      <c r="H2927" t="s">
        <v>112</v>
      </c>
      <c r="I2927">
        <v>12</v>
      </c>
      <c r="J2927" s="19">
        <f>WEEKNUM(tblRidershipData[[#This Row],[MeasurementDate]])</f>
        <v>3</v>
      </c>
      <c r="K2927" s="19">
        <f>MONTH(tblRidershipData[[#This Row],[MeasurementDate]])</f>
        <v>1</v>
      </c>
    </row>
    <row r="2928" spans="1:11" x14ac:dyDescent="0.25">
      <c r="A2928" s="31">
        <v>43847</v>
      </c>
      <c r="B2928" t="s">
        <v>6</v>
      </c>
      <c r="C2928" s="31">
        <v>1047</v>
      </c>
      <c r="D2928" t="s">
        <v>96</v>
      </c>
      <c r="E2928" t="s">
        <v>111</v>
      </c>
      <c r="F2928">
        <v>2</v>
      </c>
      <c r="G2928" t="s">
        <v>52</v>
      </c>
      <c r="H2928" t="s">
        <v>112</v>
      </c>
      <c r="I2928">
        <v>24</v>
      </c>
      <c r="J2928" s="19">
        <f>WEEKNUM(tblRidershipData[[#This Row],[MeasurementDate]])</f>
        <v>3</v>
      </c>
      <c r="K2928" s="19">
        <f>MONTH(tblRidershipData[[#This Row],[MeasurementDate]])</f>
        <v>1</v>
      </c>
    </row>
    <row r="2929" spans="1:11" x14ac:dyDescent="0.25">
      <c r="A2929" s="31">
        <v>43847</v>
      </c>
      <c r="B2929" t="s">
        <v>6</v>
      </c>
      <c r="C2929" s="31">
        <v>1047</v>
      </c>
      <c r="D2929" t="s">
        <v>96</v>
      </c>
      <c r="E2929" t="s">
        <v>111</v>
      </c>
      <c r="F2929">
        <v>2</v>
      </c>
      <c r="G2929" t="s">
        <v>54</v>
      </c>
      <c r="H2929" t="s">
        <v>112</v>
      </c>
      <c r="I2929">
        <v>4</v>
      </c>
      <c r="J2929" s="19">
        <f>WEEKNUM(tblRidershipData[[#This Row],[MeasurementDate]])</f>
        <v>3</v>
      </c>
      <c r="K2929" s="19">
        <f>MONTH(tblRidershipData[[#This Row],[MeasurementDate]])</f>
        <v>1</v>
      </c>
    </row>
    <row r="2930" spans="1:11" x14ac:dyDescent="0.25">
      <c r="A2930" s="31">
        <v>43847</v>
      </c>
      <c r="B2930" t="s">
        <v>6</v>
      </c>
      <c r="C2930" s="31">
        <v>1047</v>
      </c>
      <c r="D2930" t="s">
        <v>96</v>
      </c>
      <c r="E2930" t="s">
        <v>111</v>
      </c>
      <c r="F2930">
        <v>2</v>
      </c>
      <c r="G2930" t="s">
        <v>64</v>
      </c>
      <c r="H2930" t="s">
        <v>112</v>
      </c>
      <c r="I2930">
        <v>5</v>
      </c>
      <c r="J2930" s="19">
        <f>WEEKNUM(tblRidershipData[[#This Row],[MeasurementDate]])</f>
        <v>3</v>
      </c>
      <c r="K2930" s="19">
        <f>MONTH(tblRidershipData[[#This Row],[MeasurementDate]])</f>
        <v>1</v>
      </c>
    </row>
    <row r="2931" spans="1:11" x14ac:dyDescent="0.25">
      <c r="A2931" s="31">
        <v>43847</v>
      </c>
      <c r="B2931" t="s">
        <v>6</v>
      </c>
      <c r="C2931" s="31">
        <v>1047</v>
      </c>
      <c r="D2931" t="s">
        <v>96</v>
      </c>
      <c r="E2931" t="s">
        <v>111</v>
      </c>
      <c r="F2931">
        <v>2</v>
      </c>
      <c r="G2931" t="s">
        <v>72</v>
      </c>
      <c r="H2931" t="s">
        <v>112</v>
      </c>
      <c r="I2931">
        <v>11</v>
      </c>
      <c r="J2931" s="19">
        <f>WEEKNUM(tblRidershipData[[#This Row],[MeasurementDate]])</f>
        <v>3</v>
      </c>
      <c r="K2931" s="19">
        <f>MONTH(tblRidershipData[[#This Row],[MeasurementDate]])</f>
        <v>1</v>
      </c>
    </row>
    <row r="2932" spans="1:11" x14ac:dyDescent="0.25">
      <c r="A2932" s="31">
        <v>43847</v>
      </c>
      <c r="B2932" t="s">
        <v>6</v>
      </c>
      <c r="C2932" s="31">
        <v>1047</v>
      </c>
      <c r="D2932" t="s">
        <v>96</v>
      </c>
      <c r="E2932" t="s">
        <v>109</v>
      </c>
      <c r="F2932">
        <v>2</v>
      </c>
      <c r="G2932" t="s">
        <v>45</v>
      </c>
      <c r="H2932" t="s">
        <v>112</v>
      </c>
      <c r="I2932">
        <v>5</v>
      </c>
      <c r="J2932" s="19">
        <f>WEEKNUM(tblRidershipData[[#This Row],[MeasurementDate]])</f>
        <v>3</v>
      </c>
      <c r="K2932" s="19">
        <f>MONTH(tblRidershipData[[#This Row],[MeasurementDate]])</f>
        <v>1</v>
      </c>
    </row>
    <row r="2933" spans="1:11" x14ac:dyDescent="0.25">
      <c r="A2933" s="31">
        <v>43847</v>
      </c>
      <c r="B2933" t="s">
        <v>6</v>
      </c>
      <c r="C2933" s="31">
        <v>1047</v>
      </c>
      <c r="D2933" t="s">
        <v>96</v>
      </c>
      <c r="E2933" t="s">
        <v>109</v>
      </c>
      <c r="F2933">
        <v>2</v>
      </c>
      <c r="G2933" t="s">
        <v>47</v>
      </c>
      <c r="H2933" t="s">
        <v>112</v>
      </c>
      <c r="I2933">
        <v>2</v>
      </c>
      <c r="J2933" s="19">
        <f>WEEKNUM(tblRidershipData[[#This Row],[MeasurementDate]])</f>
        <v>3</v>
      </c>
      <c r="K2933" s="19">
        <f>MONTH(tblRidershipData[[#This Row],[MeasurementDate]])</f>
        <v>1</v>
      </c>
    </row>
    <row r="2934" spans="1:11" x14ac:dyDescent="0.25">
      <c r="A2934" s="31">
        <v>43847</v>
      </c>
      <c r="B2934" t="s">
        <v>6</v>
      </c>
      <c r="C2934" s="31">
        <v>1047</v>
      </c>
      <c r="D2934" t="s">
        <v>96</v>
      </c>
      <c r="E2934" t="s">
        <v>109</v>
      </c>
      <c r="F2934">
        <v>2</v>
      </c>
      <c r="G2934" t="s">
        <v>50</v>
      </c>
      <c r="H2934" t="s">
        <v>112</v>
      </c>
      <c r="I2934">
        <v>7</v>
      </c>
      <c r="J2934" s="19">
        <f>WEEKNUM(tblRidershipData[[#This Row],[MeasurementDate]])</f>
        <v>3</v>
      </c>
      <c r="K2934" s="19">
        <f>MONTH(tblRidershipData[[#This Row],[MeasurementDate]])</f>
        <v>1</v>
      </c>
    </row>
    <row r="2935" spans="1:11" x14ac:dyDescent="0.25">
      <c r="A2935" s="31">
        <v>43847</v>
      </c>
      <c r="B2935" t="s">
        <v>6</v>
      </c>
      <c r="C2935" s="31">
        <v>1047</v>
      </c>
      <c r="D2935" t="s">
        <v>96</v>
      </c>
      <c r="E2935" t="s">
        <v>109</v>
      </c>
      <c r="F2935">
        <v>2</v>
      </c>
      <c r="G2935" t="s">
        <v>54</v>
      </c>
      <c r="H2935" t="s">
        <v>112</v>
      </c>
      <c r="I2935">
        <v>3</v>
      </c>
      <c r="J2935" s="19">
        <f>WEEKNUM(tblRidershipData[[#This Row],[MeasurementDate]])</f>
        <v>3</v>
      </c>
      <c r="K2935" s="19">
        <f>MONTH(tblRidershipData[[#This Row],[MeasurementDate]])</f>
        <v>1</v>
      </c>
    </row>
    <row r="2936" spans="1:11" x14ac:dyDescent="0.25">
      <c r="A2936" s="31">
        <v>43847</v>
      </c>
      <c r="B2936" t="s">
        <v>6</v>
      </c>
      <c r="C2936" s="31">
        <v>1047</v>
      </c>
      <c r="D2936" t="s">
        <v>96</v>
      </c>
      <c r="E2936" t="s">
        <v>109</v>
      </c>
      <c r="F2936">
        <v>2</v>
      </c>
      <c r="G2936" t="s">
        <v>56</v>
      </c>
      <c r="H2936" t="s">
        <v>112</v>
      </c>
      <c r="I2936">
        <v>2</v>
      </c>
      <c r="J2936" s="19">
        <f>WEEKNUM(tblRidershipData[[#This Row],[MeasurementDate]])</f>
        <v>3</v>
      </c>
      <c r="K2936" s="19">
        <f>MONTH(tblRidershipData[[#This Row],[MeasurementDate]])</f>
        <v>1</v>
      </c>
    </row>
    <row r="2937" spans="1:11" x14ac:dyDescent="0.25">
      <c r="A2937" s="31">
        <v>43847</v>
      </c>
      <c r="B2937" t="s">
        <v>6</v>
      </c>
      <c r="C2937" s="31">
        <v>1047</v>
      </c>
      <c r="D2937" t="s">
        <v>96</v>
      </c>
      <c r="E2937" t="s">
        <v>109</v>
      </c>
      <c r="F2937">
        <v>2</v>
      </c>
      <c r="G2937" t="s">
        <v>64</v>
      </c>
      <c r="H2937" t="s">
        <v>112</v>
      </c>
      <c r="I2937">
        <v>3</v>
      </c>
      <c r="J2937" s="19">
        <f>WEEKNUM(tblRidershipData[[#This Row],[MeasurementDate]])</f>
        <v>3</v>
      </c>
      <c r="K2937" s="19">
        <f>MONTH(tblRidershipData[[#This Row],[MeasurementDate]])</f>
        <v>1</v>
      </c>
    </row>
    <row r="2938" spans="1:11" x14ac:dyDescent="0.25">
      <c r="A2938" s="31">
        <v>43847</v>
      </c>
      <c r="B2938" t="s">
        <v>6</v>
      </c>
      <c r="C2938" s="31">
        <v>1047</v>
      </c>
      <c r="D2938" t="s">
        <v>96</v>
      </c>
      <c r="E2938" t="s">
        <v>109</v>
      </c>
      <c r="F2938">
        <v>2</v>
      </c>
      <c r="G2938" t="s">
        <v>72</v>
      </c>
      <c r="H2938" t="s">
        <v>112</v>
      </c>
      <c r="I2938">
        <v>6</v>
      </c>
      <c r="J2938" s="19">
        <f>WEEKNUM(tblRidershipData[[#This Row],[MeasurementDate]])</f>
        <v>3</v>
      </c>
      <c r="K2938" s="19">
        <f>MONTH(tblRidershipData[[#This Row],[MeasurementDate]])</f>
        <v>1</v>
      </c>
    </row>
    <row r="2939" spans="1:11" x14ac:dyDescent="0.25">
      <c r="A2939" s="31">
        <v>43847</v>
      </c>
      <c r="B2939" t="s">
        <v>6</v>
      </c>
      <c r="C2939" s="31">
        <v>1047</v>
      </c>
      <c r="D2939" t="s">
        <v>96</v>
      </c>
      <c r="E2939" t="s">
        <v>109</v>
      </c>
      <c r="F2939">
        <v>2</v>
      </c>
      <c r="G2939" t="s">
        <v>73</v>
      </c>
      <c r="H2939" t="s">
        <v>112</v>
      </c>
      <c r="I2939">
        <v>2</v>
      </c>
      <c r="J2939" s="19">
        <f>WEEKNUM(tblRidershipData[[#This Row],[MeasurementDate]])</f>
        <v>3</v>
      </c>
      <c r="K2939" s="19">
        <f>MONTH(tblRidershipData[[#This Row],[MeasurementDate]])</f>
        <v>1</v>
      </c>
    </row>
    <row r="2940" spans="1:11" x14ac:dyDescent="0.25">
      <c r="A2940" s="31">
        <v>43847</v>
      </c>
      <c r="B2940" t="s">
        <v>6</v>
      </c>
      <c r="C2940" s="31">
        <v>1047</v>
      </c>
      <c r="D2940" t="s">
        <v>96</v>
      </c>
      <c r="E2940" t="s">
        <v>109</v>
      </c>
      <c r="F2940">
        <v>2</v>
      </c>
      <c r="G2940" t="s">
        <v>77</v>
      </c>
      <c r="H2940" t="s">
        <v>112</v>
      </c>
      <c r="I2940">
        <v>4</v>
      </c>
      <c r="J2940" s="19">
        <f>WEEKNUM(tblRidershipData[[#This Row],[MeasurementDate]])</f>
        <v>3</v>
      </c>
      <c r="K2940" s="19">
        <f>MONTH(tblRidershipData[[#This Row],[MeasurementDate]])</f>
        <v>1</v>
      </c>
    </row>
    <row r="2941" spans="1:11" x14ac:dyDescent="0.25">
      <c r="A2941" s="31">
        <v>43847</v>
      </c>
      <c r="B2941" t="s">
        <v>6</v>
      </c>
      <c r="C2941" s="31">
        <v>1047</v>
      </c>
      <c r="D2941" t="s">
        <v>96</v>
      </c>
      <c r="E2941" t="s">
        <v>109</v>
      </c>
      <c r="F2941">
        <v>2</v>
      </c>
      <c r="G2941" t="s">
        <v>78</v>
      </c>
      <c r="H2941" t="s">
        <v>112</v>
      </c>
      <c r="I2941">
        <v>1</v>
      </c>
      <c r="J2941" s="19">
        <f>WEEKNUM(tblRidershipData[[#This Row],[MeasurementDate]])</f>
        <v>3</v>
      </c>
      <c r="K2941" s="19">
        <f>MONTH(tblRidershipData[[#This Row],[MeasurementDate]])</f>
        <v>1</v>
      </c>
    </row>
    <row r="2942" spans="1:11" x14ac:dyDescent="0.25">
      <c r="A2942" s="31">
        <v>43847</v>
      </c>
      <c r="B2942" t="s">
        <v>6</v>
      </c>
      <c r="C2942" s="31">
        <v>6550</v>
      </c>
      <c r="D2942" t="s">
        <v>92</v>
      </c>
      <c r="E2942" t="s">
        <v>111</v>
      </c>
      <c r="F2942">
        <v>1</v>
      </c>
      <c r="G2942" t="s">
        <v>45</v>
      </c>
      <c r="H2942" t="s">
        <v>110</v>
      </c>
      <c r="I2942">
        <v>2</v>
      </c>
      <c r="J2942" s="19">
        <f>WEEKNUM(tblRidershipData[[#This Row],[MeasurementDate]])</f>
        <v>3</v>
      </c>
      <c r="K2942" s="19">
        <f>MONTH(tblRidershipData[[#This Row],[MeasurementDate]])</f>
        <v>1</v>
      </c>
    </row>
    <row r="2943" spans="1:11" x14ac:dyDescent="0.25">
      <c r="A2943" s="31">
        <v>43847</v>
      </c>
      <c r="B2943" t="s">
        <v>6</v>
      </c>
      <c r="C2943" s="31">
        <v>6550</v>
      </c>
      <c r="D2943" t="s">
        <v>92</v>
      </c>
      <c r="E2943" t="s">
        <v>111</v>
      </c>
      <c r="F2943">
        <v>1</v>
      </c>
      <c r="G2943" t="s">
        <v>47</v>
      </c>
      <c r="H2943" t="s">
        <v>110</v>
      </c>
      <c r="I2943">
        <v>19</v>
      </c>
      <c r="J2943" s="19">
        <f>WEEKNUM(tblRidershipData[[#This Row],[MeasurementDate]])</f>
        <v>3</v>
      </c>
      <c r="K2943" s="19">
        <f>MONTH(tblRidershipData[[#This Row],[MeasurementDate]])</f>
        <v>1</v>
      </c>
    </row>
    <row r="2944" spans="1:11" x14ac:dyDescent="0.25">
      <c r="A2944" s="31">
        <v>43847</v>
      </c>
      <c r="B2944" t="s">
        <v>6</v>
      </c>
      <c r="C2944" s="31">
        <v>6550</v>
      </c>
      <c r="D2944" t="s">
        <v>92</v>
      </c>
      <c r="E2944" t="s">
        <v>111</v>
      </c>
      <c r="F2944">
        <v>1</v>
      </c>
      <c r="G2944" t="s">
        <v>49</v>
      </c>
      <c r="H2944" t="s">
        <v>110</v>
      </c>
      <c r="I2944">
        <v>2</v>
      </c>
      <c r="J2944" s="19">
        <f>WEEKNUM(tblRidershipData[[#This Row],[MeasurementDate]])</f>
        <v>3</v>
      </c>
      <c r="K2944" s="19">
        <f>MONTH(tblRidershipData[[#This Row],[MeasurementDate]])</f>
        <v>1</v>
      </c>
    </row>
    <row r="2945" spans="1:11" x14ac:dyDescent="0.25">
      <c r="A2945" s="31">
        <v>43847</v>
      </c>
      <c r="B2945" t="s">
        <v>6</v>
      </c>
      <c r="C2945" s="31">
        <v>6550</v>
      </c>
      <c r="D2945" t="s">
        <v>92</v>
      </c>
      <c r="E2945" t="s">
        <v>111</v>
      </c>
      <c r="F2945">
        <v>1</v>
      </c>
      <c r="G2945" t="s">
        <v>50</v>
      </c>
      <c r="H2945" t="s">
        <v>110</v>
      </c>
      <c r="I2945">
        <v>5</v>
      </c>
      <c r="J2945" s="19">
        <f>WEEKNUM(tblRidershipData[[#This Row],[MeasurementDate]])</f>
        <v>3</v>
      </c>
      <c r="K2945" s="19">
        <f>MONTH(tblRidershipData[[#This Row],[MeasurementDate]])</f>
        <v>1</v>
      </c>
    </row>
    <row r="2946" spans="1:11" x14ac:dyDescent="0.25">
      <c r="A2946" s="31">
        <v>43847</v>
      </c>
      <c r="B2946" t="s">
        <v>6</v>
      </c>
      <c r="C2946" s="31">
        <v>6550</v>
      </c>
      <c r="D2946" t="s">
        <v>92</v>
      </c>
      <c r="E2946" t="s">
        <v>111</v>
      </c>
      <c r="F2946">
        <v>1</v>
      </c>
      <c r="G2946" t="s">
        <v>54</v>
      </c>
      <c r="H2946" t="s">
        <v>110</v>
      </c>
      <c r="I2946">
        <v>14</v>
      </c>
      <c r="J2946" s="19">
        <f>WEEKNUM(tblRidershipData[[#This Row],[MeasurementDate]])</f>
        <v>3</v>
      </c>
      <c r="K2946" s="19">
        <f>MONTH(tblRidershipData[[#This Row],[MeasurementDate]])</f>
        <v>1</v>
      </c>
    </row>
    <row r="2947" spans="1:11" x14ac:dyDescent="0.25">
      <c r="A2947" s="31">
        <v>43847</v>
      </c>
      <c r="B2947" t="s">
        <v>6</v>
      </c>
      <c r="C2947" s="31">
        <v>6550</v>
      </c>
      <c r="D2947" t="s">
        <v>92</v>
      </c>
      <c r="E2947" t="s">
        <v>111</v>
      </c>
      <c r="F2947">
        <v>1</v>
      </c>
      <c r="G2947" t="s">
        <v>58</v>
      </c>
      <c r="H2947" t="s">
        <v>110</v>
      </c>
      <c r="I2947">
        <v>6</v>
      </c>
      <c r="J2947" s="19">
        <f>WEEKNUM(tblRidershipData[[#This Row],[MeasurementDate]])</f>
        <v>3</v>
      </c>
      <c r="K2947" s="19">
        <f>MONTH(tblRidershipData[[#This Row],[MeasurementDate]])</f>
        <v>1</v>
      </c>
    </row>
    <row r="2948" spans="1:11" x14ac:dyDescent="0.25">
      <c r="A2948" s="31">
        <v>43847</v>
      </c>
      <c r="B2948" t="s">
        <v>6</v>
      </c>
      <c r="C2948" s="31">
        <v>6550</v>
      </c>
      <c r="D2948" t="s">
        <v>92</v>
      </c>
      <c r="E2948" t="s">
        <v>111</v>
      </c>
      <c r="F2948">
        <v>1</v>
      </c>
      <c r="G2948" t="s">
        <v>62</v>
      </c>
      <c r="H2948" t="s">
        <v>110</v>
      </c>
      <c r="I2948">
        <v>10</v>
      </c>
      <c r="J2948" s="19">
        <f>WEEKNUM(tblRidershipData[[#This Row],[MeasurementDate]])</f>
        <v>3</v>
      </c>
      <c r="K2948" s="19">
        <f>MONTH(tblRidershipData[[#This Row],[MeasurementDate]])</f>
        <v>1</v>
      </c>
    </row>
    <row r="2949" spans="1:11" x14ac:dyDescent="0.25">
      <c r="A2949" s="31">
        <v>43847</v>
      </c>
      <c r="B2949" t="s">
        <v>6</v>
      </c>
      <c r="C2949" s="31">
        <v>6550</v>
      </c>
      <c r="D2949" t="s">
        <v>92</v>
      </c>
      <c r="E2949" t="s">
        <v>111</v>
      </c>
      <c r="F2949">
        <v>1</v>
      </c>
      <c r="G2949" t="s">
        <v>64</v>
      </c>
      <c r="H2949" t="s">
        <v>110</v>
      </c>
      <c r="I2949">
        <v>4</v>
      </c>
      <c r="J2949" s="19">
        <f>WEEKNUM(tblRidershipData[[#This Row],[MeasurementDate]])</f>
        <v>3</v>
      </c>
      <c r="K2949" s="19">
        <f>MONTH(tblRidershipData[[#This Row],[MeasurementDate]])</f>
        <v>1</v>
      </c>
    </row>
    <row r="2950" spans="1:11" x14ac:dyDescent="0.25">
      <c r="A2950" s="31">
        <v>43847</v>
      </c>
      <c r="B2950" t="s">
        <v>6</v>
      </c>
      <c r="C2950" s="31">
        <v>6550</v>
      </c>
      <c r="D2950" t="s">
        <v>92</v>
      </c>
      <c r="E2950" t="s">
        <v>111</v>
      </c>
      <c r="F2950">
        <v>1</v>
      </c>
      <c r="G2950" t="s">
        <v>67</v>
      </c>
      <c r="H2950" t="s">
        <v>110</v>
      </c>
      <c r="I2950">
        <v>1</v>
      </c>
      <c r="J2950" s="19">
        <f>WEEKNUM(tblRidershipData[[#This Row],[MeasurementDate]])</f>
        <v>3</v>
      </c>
      <c r="K2950" s="19">
        <f>MONTH(tblRidershipData[[#This Row],[MeasurementDate]])</f>
        <v>1</v>
      </c>
    </row>
    <row r="2951" spans="1:11" x14ac:dyDescent="0.25">
      <c r="A2951" s="31">
        <v>43847</v>
      </c>
      <c r="B2951" t="s">
        <v>6</v>
      </c>
      <c r="C2951" s="31">
        <v>6550</v>
      </c>
      <c r="D2951" t="s">
        <v>92</v>
      </c>
      <c r="E2951" t="s">
        <v>111</v>
      </c>
      <c r="F2951">
        <v>1</v>
      </c>
      <c r="G2951" t="s">
        <v>72</v>
      </c>
      <c r="H2951" t="s">
        <v>110</v>
      </c>
      <c r="I2951">
        <v>3</v>
      </c>
      <c r="J2951" s="19">
        <f>WEEKNUM(tblRidershipData[[#This Row],[MeasurementDate]])</f>
        <v>3</v>
      </c>
      <c r="K2951" s="19">
        <f>MONTH(tblRidershipData[[#This Row],[MeasurementDate]])</f>
        <v>1</v>
      </c>
    </row>
    <row r="2952" spans="1:11" x14ac:dyDescent="0.25">
      <c r="A2952" s="31">
        <v>43847</v>
      </c>
      <c r="B2952" t="s">
        <v>6</v>
      </c>
      <c r="C2952" s="31">
        <v>6550</v>
      </c>
      <c r="D2952" t="s">
        <v>92</v>
      </c>
      <c r="E2952" t="s">
        <v>111</v>
      </c>
      <c r="F2952">
        <v>1</v>
      </c>
      <c r="G2952" t="s">
        <v>73</v>
      </c>
      <c r="H2952" t="s">
        <v>110</v>
      </c>
      <c r="I2952">
        <v>3</v>
      </c>
      <c r="J2952" s="19">
        <f>WEEKNUM(tblRidershipData[[#This Row],[MeasurementDate]])</f>
        <v>3</v>
      </c>
      <c r="K2952" s="19">
        <f>MONTH(tblRidershipData[[#This Row],[MeasurementDate]])</f>
        <v>1</v>
      </c>
    </row>
    <row r="2953" spans="1:11" x14ac:dyDescent="0.25">
      <c r="A2953" s="31">
        <v>43847</v>
      </c>
      <c r="B2953" t="s">
        <v>6</v>
      </c>
      <c r="C2953" s="31">
        <v>6550</v>
      </c>
      <c r="D2953" t="s">
        <v>92</v>
      </c>
      <c r="E2953" t="s">
        <v>111</v>
      </c>
      <c r="F2953">
        <v>2</v>
      </c>
      <c r="G2953" t="s">
        <v>77</v>
      </c>
      <c r="H2953" t="s">
        <v>110</v>
      </c>
      <c r="I2953">
        <v>1</v>
      </c>
      <c r="J2953" s="19">
        <f>WEEKNUM(tblRidershipData[[#This Row],[MeasurementDate]])</f>
        <v>3</v>
      </c>
      <c r="K2953" s="19">
        <f>MONTH(tblRidershipData[[#This Row],[MeasurementDate]])</f>
        <v>1</v>
      </c>
    </row>
    <row r="2954" spans="1:11" x14ac:dyDescent="0.25">
      <c r="A2954" s="31">
        <v>43847</v>
      </c>
      <c r="B2954" t="s">
        <v>6</v>
      </c>
      <c r="C2954" s="31">
        <v>6550</v>
      </c>
      <c r="D2954" t="s">
        <v>92</v>
      </c>
      <c r="E2954" t="s">
        <v>109</v>
      </c>
      <c r="F2954">
        <v>1</v>
      </c>
      <c r="G2954" t="s">
        <v>52</v>
      </c>
      <c r="H2954" t="s">
        <v>110</v>
      </c>
      <c r="I2954">
        <v>47</v>
      </c>
      <c r="J2954" s="19">
        <f>WEEKNUM(tblRidershipData[[#This Row],[MeasurementDate]])</f>
        <v>3</v>
      </c>
      <c r="K2954" s="19">
        <f>MONTH(tblRidershipData[[#This Row],[MeasurementDate]])</f>
        <v>1</v>
      </c>
    </row>
    <row r="2955" spans="1:11" x14ac:dyDescent="0.25">
      <c r="A2955" s="31">
        <v>43847</v>
      </c>
      <c r="B2955" t="s">
        <v>6</v>
      </c>
      <c r="C2955" s="31">
        <v>6550</v>
      </c>
      <c r="D2955" t="s">
        <v>92</v>
      </c>
      <c r="E2955" t="s">
        <v>109</v>
      </c>
      <c r="F2955">
        <v>2</v>
      </c>
      <c r="G2955" t="s">
        <v>67</v>
      </c>
      <c r="H2955" t="s">
        <v>110</v>
      </c>
      <c r="I2955">
        <v>26</v>
      </c>
      <c r="J2955" s="19">
        <f>WEEKNUM(tblRidershipData[[#This Row],[MeasurementDate]])</f>
        <v>3</v>
      </c>
      <c r="K2955" s="19">
        <f>MONTH(tblRidershipData[[#This Row],[MeasurementDate]])</f>
        <v>1</v>
      </c>
    </row>
    <row r="2956" spans="1:11" x14ac:dyDescent="0.25">
      <c r="A2956" s="31">
        <v>43847</v>
      </c>
      <c r="B2956" t="s">
        <v>6</v>
      </c>
      <c r="C2956" s="31">
        <v>6550</v>
      </c>
      <c r="D2956" t="s">
        <v>92</v>
      </c>
      <c r="E2956" t="s">
        <v>111</v>
      </c>
      <c r="F2956">
        <v>1</v>
      </c>
      <c r="G2956" t="s">
        <v>53</v>
      </c>
      <c r="H2956" t="s">
        <v>112</v>
      </c>
      <c r="I2956">
        <v>18</v>
      </c>
      <c r="J2956" s="19">
        <f>WEEKNUM(tblRidershipData[[#This Row],[MeasurementDate]])</f>
        <v>3</v>
      </c>
      <c r="K2956" s="19">
        <f>MONTH(tblRidershipData[[#This Row],[MeasurementDate]])</f>
        <v>1</v>
      </c>
    </row>
    <row r="2957" spans="1:11" x14ac:dyDescent="0.25">
      <c r="A2957" s="31">
        <v>43847</v>
      </c>
      <c r="B2957" t="s">
        <v>6</v>
      </c>
      <c r="C2957" s="31">
        <v>6550</v>
      </c>
      <c r="D2957" t="s">
        <v>92</v>
      </c>
      <c r="E2957" t="s">
        <v>111</v>
      </c>
      <c r="F2957">
        <v>1</v>
      </c>
      <c r="G2957" t="s">
        <v>59</v>
      </c>
      <c r="H2957" t="s">
        <v>112</v>
      </c>
      <c r="I2957">
        <v>18</v>
      </c>
      <c r="J2957" s="19">
        <f>WEEKNUM(tblRidershipData[[#This Row],[MeasurementDate]])</f>
        <v>3</v>
      </c>
      <c r="K2957" s="19">
        <f>MONTH(tblRidershipData[[#This Row],[MeasurementDate]])</f>
        <v>1</v>
      </c>
    </row>
    <row r="2958" spans="1:11" x14ac:dyDescent="0.25">
      <c r="A2958" s="31">
        <v>43847</v>
      </c>
      <c r="B2958" t="s">
        <v>6</v>
      </c>
      <c r="C2958" s="31">
        <v>6550</v>
      </c>
      <c r="D2958" t="s">
        <v>92</v>
      </c>
      <c r="E2958" t="s">
        <v>111</v>
      </c>
      <c r="F2958">
        <v>1</v>
      </c>
      <c r="G2958" t="s">
        <v>67</v>
      </c>
      <c r="H2958" t="s">
        <v>112</v>
      </c>
      <c r="I2958">
        <v>8</v>
      </c>
      <c r="J2958" s="19">
        <f>WEEKNUM(tblRidershipData[[#This Row],[MeasurementDate]])</f>
        <v>3</v>
      </c>
      <c r="K2958" s="19">
        <f>MONTH(tblRidershipData[[#This Row],[MeasurementDate]])</f>
        <v>1</v>
      </c>
    </row>
    <row r="2959" spans="1:11" x14ac:dyDescent="0.25">
      <c r="A2959" s="31">
        <v>43847</v>
      </c>
      <c r="B2959" t="s">
        <v>6</v>
      </c>
      <c r="C2959" s="31">
        <v>6550</v>
      </c>
      <c r="D2959" t="s">
        <v>92</v>
      </c>
      <c r="E2959" t="s">
        <v>111</v>
      </c>
      <c r="F2959">
        <v>1</v>
      </c>
      <c r="G2959" t="s">
        <v>72</v>
      </c>
      <c r="H2959" t="s">
        <v>112</v>
      </c>
      <c r="I2959">
        <v>5</v>
      </c>
      <c r="J2959" s="19">
        <f>WEEKNUM(tblRidershipData[[#This Row],[MeasurementDate]])</f>
        <v>3</v>
      </c>
      <c r="K2959" s="19">
        <f>MONTH(tblRidershipData[[#This Row],[MeasurementDate]])</f>
        <v>1</v>
      </c>
    </row>
    <row r="2960" spans="1:11" x14ac:dyDescent="0.25">
      <c r="A2960" s="31">
        <v>43847</v>
      </c>
      <c r="B2960" t="s">
        <v>6</v>
      </c>
      <c r="C2960" s="31">
        <v>6550</v>
      </c>
      <c r="D2960" t="s">
        <v>92</v>
      </c>
      <c r="E2960" t="s">
        <v>111</v>
      </c>
      <c r="F2960">
        <v>1</v>
      </c>
      <c r="G2960" t="s">
        <v>74</v>
      </c>
      <c r="H2960" t="s">
        <v>112</v>
      </c>
      <c r="I2960">
        <v>30</v>
      </c>
      <c r="J2960" s="19">
        <f>WEEKNUM(tblRidershipData[[#This Row],[MeasurementDate]])</f>
        <v>3</v>
      </c>
      <c r="K2960" s="19">
        <f>MONTH(tblRidershipData[[#This Row],[MeasurementDate]])</f>
        <v>1</v>
      </c>
    </row>
    <row r="2961" spans="1:11" x14ac:dyDescent="0.25">
      <c r="A2961" s="31">
        <v>43847</v>
      </c>
      <c r="B2961" t="s">
        <v>6</v>
      </c>
      <c r="C2961" s="31">
        <v>6550</v>
      </c>
      <c r="D2961" t="s">
        <v>92</v>
      </c>
      <c r="E2961" t="s">
        <v>111</v>
      </c>
      <c r="F2961">
        <v>2</v>
      </c>
      <c r="G2961" t="s">
        <v>44</v>
      </c>
      <c r="H2961" t="s">
        <v>112</v>
      </c>
      <c r="I2961">
        <v>7</v>
      </c>
      <c r="J2961" s="19">
        <f>WEEKNUM(tblRidershipData[[#This Row],[MeasurementDate]])</f>
        <v>3</v>
      </c>
      <c r="K2961" s="19">
        <f>MONTH(tblRidershipData[[#This Row],[MeasurementDate]])</f>
        <v>1</v>
      </c>
    </row>
    <row r="2962" spans="1:11" x14ac:dyDescent="0.25">
      <c r="A2962" s="31">
        <v>43847</v>
      </c>
      <c r="B2962" t="s">
        <v>6</v>
      </c>
      <c r="C2962" s="31">
        <v>6550</v>
      </c>
      <c r="D2962" t="s">
        <v>92</v>
      </c>
      <c r="E2962" t="s">
        <v>109</v>
      </c>
      <c r="F2962">
        <v>1</v>
      </c>
      <c r="G2962" t="s">
        <v>45</v>
      </c>
      <c r="H2962" t="s">
        <v>112</v>
      </c>
      <c r="I2962">
        <v>8</v>
      </c>
      <c r="J2962" s="19">
        <f>WEEKNUM(tblRidershipData[[#This Row],[MeasurementDate]])</f>
        <v>3</v>
      </c>
      <c r="K2962" s="19">
        <f>MONTH(tblRidershipData[[#This Row],[MeasurementDate]])</f>
        <v>1</v>
      </c>
    </row>
    <row r="2963" spans="1:11" x14ac:dyDescent="0.25">
      <c r="A2963" s="31">
        <v>43847</v>
      </c>
      <c r="B2963" t="s">
        <v>6</v>
      </c>
      <c r="C2963" s="31">
        <v>6550</v>
      </c>
      <c r="D2963" t="s">
        <v>92</v>
      </c>
      <c r="E2963" t="s">
        <v>109</v>
      </c>
      <c r="F2963">
        <v>1</v>
      </c>
      <c r="G2963" t="s">
        <v>47</v>
      </c>
      <c r="H2963" t="s">
        <v>112</v>
      </c>
      <c r="I2963">
        <v>8</v>
      </c>
      <c r="J2963" s="19">
        <f>WEEKNUM(tblRidershipData[[#This Row],[MeasurementDate]])</f>
        <v>3</v>
      </c>
      <c r="K2963" s="19">
        <f>MONTH(tblRidershipData[[#This Row],[MeasurementDate]])</f>
        <v>1</v>
      </c>
    </row>
    <row r="2964" spans="1:11" x14ac:dyDescent="0.25">
      <c r="A2964" s="31">
        <v>43847</v>
      </c>
      <c r="B2964" t="s">
        <v>6</v>
      </c>
      <c r="C2964" s="31">
        <v>6550</v>
      </c>
      <c r="D2964" t="s">
        <v>92</v>
      </c>
      <c r="E2964" t="s">
        <v>109</v>
      </c>
      <c r="F2964">
        <v>1</v>
      </c>
      <c r="G2964" t="s">
        <v>49</v>
      </c>
      <c r="H2964" t="s">
        <v>112</v>
      </c>
      <c r="I2964">
        <v>4</v>
      </c>
      <c r="J2964" s="19">
        <f>WEEKNUM(tblRidershipData[[#This Row],[MeasurementDate]])</f>
        <v>3</v>
      </c>
      <c r="K2964" s="19">
        <f>MONTH(tblRidershipData[[#This Row],[MeasurementDate]])</f>
        <v>1</v>
      </c>
    </row>
    <row r="2965" spans="1:11" x14ac:dyDescent="0.25">
      <c r="A2965" s="31">
        <v>43847</v>
      </c>
      <c r="B2965" t="s">
        <v>6</v>
      </c>
      <c r="C2965" s="31">
        <v>6550</v>
      </c>
      <c r="D2965" t="s">
        <v>92</v>
      </c>
      <c r="E2965" t="s">
        <v>109</v>
      </c>
      <c r="F2965">
        <v>1</v>
      </c>
      <c r="G2965" t="s">
        <v>50</v>
      </c>
      <c r="H2965" t="s">
        <v>112</v>
      </c>
      <c r="I2965">
        <v>3</v>
      </c>
      <c r="J2965" s="19">
        <f>WEEKNUM(tblRidershipData[[#This Row],[MeasurementDate]])</f>
        <v>3</v>
      </c>
      <c r="K2965" s="19">
        <f>MONTH(tblRidershipData[[#This Row],[MeasurementDate]])</f>
        <v>1</v>
      </c>
    </row>
    <row r="2966" spans="1:11" x14ac:dyDescent="0.25">
      <c r="A2966" s="31">
        <v>43847</v>
      </c>
      <c r="B2966" t="s">
        <v>6</v>
      </c>
      <c r="C2966" s="31">
        <v>6550</v>
      </c>
      <c r="D2966" t="s">
        <v>92</v>
      </c>
      <c r="E2966" t="s">
        <v>109</v>
      </c>
      <c r="F2966">
        <v>1</v>
      </c>
      <c r="G2966" t="s">
        <v>52</v>
      </c>
      <c r="H2966" t="s">
        <v>112</v>
      </c>
      <c r="I2966">
        <v>3</v>
      </c>
      <c r="J2966" s="19">
        <f>WEEKNUM(tblRidershipData[[#This Row],[MeasurementDate]])</f>
        <v>3</v>
      </c>
      <c r="K2966" s="19">
        <f>MONTH(tblRidershipData[[#This Row],[MeasurementDate]])</f>
        <v>1</v>
      </c>
    </row>
    <row r="2967" spans="1:11" x14ac:dyDescent="0.25">
      <c r="A2967" s="31">
        <v>43847</v>
      </c>
      <c r="B2967" t="s">
        <v>6</v>
      </c>
      <c r="C2967" s="31">
        <v>6550</v>
      </c>
      <c r="D2967" t="s">
        <v>92</v>
      </c>
      <c r="E2967" t="s">
        <v>109</v>
      </c>
      <c r="F2967">
        <v>1</v>
      </c>
      <c r="G2967" t="s">
        <v>58</v>
      </c>
      <c r="H2967" t="s">
        <v>112</v>
      </c>
      <c r="I2967">
        <v>3</v>
      </c>
      <c r="J2967" s="19">
        <f>WEEKNUM(tblRidershipData[[#This Row],[MeasurementDate]])</f>
        <v>3</v>
      </c>
      <c r="K2967" s="19">
        <f>MONTH(tblRidershipData[[#This Row],[MeasurementDate]])</f>
        <v>1</v>
      </c>
    </row>
    <row r="2968" spans="1:11" x14ac:dyDescent="0.25">
      <c r="A2968" s="31">
        <v>43847</v>
      </c>
      <c r="B2968" t="s">
        <v>6</v>
      </c>
      <c r="C2968" s="31">
        <v>6550</v>
      </c>
      <c r="D2968" t="s">
        <v>92</v>
      </c>
      <c r="E2968" t="s">
        <v>109</v>
      </c>
      <c r="F2968">
        <v>1</v>
      </c>
      <c r="G2968" t="s">
        <v>64</v>
      </c>
      <c r="H2968" t="s">
        <v>112</v>
      </c>
      <c r="I2968">
        <v>2</v>
      </c>
      <c r="J2968" s="19">
        <f>WEEKNUM(tblRidershipData[[#This Row],[MeasurementDate]])</f>
        <v>3</v>
      </c>
      <c r="K2968" s="19">
        <f>MONTH(tblRidershipData[[#This Row],[MeasurementDate]])</f>
        <v>1</v>
      </c>
    </row>
    <row r="2969" spans="1:11" x14ac:dyDescent="0.25">
      <c r="A2969" s="31">
        <v>43847</v>
      </c>
      <c r="B2969" t="s">
        <v>6</v>
      </c>
      <c r="C2969" s="31">
        <v>6550</v>
      </c>
      <c r="D2969" t="s">
        <v>92</v>
      </c>
      <c r="E2969" t="s">
        <v>109</v>
      </c>
      <c r="F2969">
        <v>1</v>
      </c>
      <c r="G2969" t="s">
        <v>67</v>
      </c>
      <c r="H2969" t="s">
        <v>112</v>
      </c>
      <c r="I2969">
        <v>7</v>
      </c>
      <c r="J2969" s="19">
        <f>WEEKNUM(tblRidershipData[[#This Row],[MeasurementDate]])</f>
        <v>3</v>
      </c>
      <c r="K2969" s="19">
        <f>MONTH(tblRidershipData[[#This Row],[MeasurementDate]])</f>
        <v>1</v>
      </c>
    </row>
    <row r="2970" spans="1:11" x14ac:dyDescent="0.25">
      <c r="A2970" s="31">
        <v>43847</v>
      </c>
      <c r="B2970" t="s">
        <v>6</v>
      </c>
      <c r="C2970" s="31">
        <v>6550</v>
      </c>
      <c r="D2970" t="s">
        <v>92</v>
      </c>
      <c r="E2970" t="s">
        <v>109</v>
      </c>
      <c r="F2970">
        <v>1</v>
      </c>
      <c r="G2970" t="s">
        <v>73</v>
      </c>
      <c r="H2970" t="s">
        <v>112</v>
      </c>
      <c r="I2970">
        <v>4</v>
      </c>
      <c r="J2970" s="19">
        <f>WEEKNUM(tblRidershipData[[#This Row],[MeasurementDate]])</f>
        <v>3</v>
      </c>
      <c r="K2970" s="19">
        <f>MONTH(tblRidershipData[[#This Row],[MeasurementDate]])</f>
        <v>1</v>
      </c>
    </row>
    <row r="2971" spans="1:11" x14ac:dyDescent="0.25">
      <c r="A2971" s="31">
        <v>43847</v>
      </c>
      <c r="B2971" t="s">
        <v>6</v>
      </c>
      <c r="C2971" s="31">
        <v>6550</v>
      </c>
      <c r="D2971" t="s">
        <v>92</v>
      </c>
      <c r="E2971" t="s">
        <v>109</v>
      </c>
      <c r="F2971">
        <v>1</v>
      </c>
      <c r="G2971" t="s">
        <v>77</v>
      </c>
      <c r="H2971" t="s">
        <v>112</v>
      </c>
      <c r="I2971">
        <v>1</v>
      </c>
      <c r="J2971" s="19">
        <f>WEEKNUM(tblRidershipData[[#This Row],[MeasurementDate]])</f>
        <v>3</v>
      </c>
      <c r="K2971" s="19">
        <f>MONTH(tblRidershipData[[#This Row],[MeasurementDate]])</f>
        <v>1</v>
      </c>
    </row>
    <row r="2972" spans="1:11" x14ac:dyDescent="0.25">
      <c r="A2972" s="31">
        <v>43847</v>
      </c>
      <c r="B2972" t="s">
        <v>6</v>
      </c>
      <c r="C2972" s="31">
        <v>6550</v>
      </c>
      <c r="D2972" t="s">
        <v>92</v>
      </c>
      <c r="E2972" t="s">
        <v>109</v>
      </c>
      <c r="F2972">
        <v>2</v>
      </c>
      <c r="G2972" t="s">
        <v>45</v>
      </c>
      <c r="H2972" t="s">
        <v>112</v>
      </c>
      <c r="I2972">
        <v>2</v>
      </c>
      <c r="J2972" s="19">
        <f>WEEKNUM(tblRidershipData[[#This Row],[MeasurementDate]])</f>
        <v>3</v>
      </c>
      <c r="K2972" s="19">
        <f>MONTH(tblRidershipData[[#This Row],[MeasurementDate]])</f>
        <v>1</v>
      </c>
    </row>
    <row r="2973" spans="1:11" x14ac:dyDescent="0.25">
      <c r="A2973" s="31">
        <v>43847</v>
      </c>
      <c r="B2973" t="s">
        <v>6</v>
      </c>
      <c r="C2973" s="31">
        <v>6550</v>
      </c>
      <c r="D2973" t="s">
        <v>92</v>
      </c>
      <c r="E2973" t="s">
        <v>109</v>
      </c>
      <c r="F2973">
        <v>2</v>
      </c>
      <c r="G2973" t="s">
        <v>47</v>
      </c>
      <c r="H2973" t="s">
        <v>112</v>
      </c>
      <c r="I2973">
        <v>5</v>
      </c>
      <c r="J2973" s="19">
        <f>WEEKNUM(tblRidershipData[[#This Row],[MeasurementDate]])</f>
        <v>3</v>
      </c>
      <c r="K2973" s="19">
        <f>MONTH(tblRidershipData[[#This Row],[MeasurementDate]])</f>
        <v>1</v>
      </c>
    </row>
    <row r="2974" spans="1:11" x14ac:dyDescent="0.25">
      <c r="A2974" s="31">
        <v>43847</v>
      </c>
      <c r="B2974" t="s">
        <v>6</v>
      </c>
      <c r="C2974" s="31">
        <v>6550</v>
      </c>
      <c r="D2974" t="s">
        <v>92</v>
      </c>
      <c r="E2974" t="s">
        <v>109</v>
      </c>
      <c r="F2974">
        <v>2</v>
      </c>
      <c r="G2974" t="s">
        <v>56</v>
      </c>
      <c r="H2974" t="s">
        <v>112</v>
      </c>
      <c r="I2974">
        <v>2</v>
      </c>
      <c r="J2974" s="19">
        <f>WEEKNUM(tblRidershipData[[#This Row],[MeasurementDate]])</f>
        <v>3</v>
      </c>
      <c r="K2974" s="19">
        <f>MONTH(tblRidershipData[[#This Row],[MeasurementDate]])</f>
        <v>1</v>
      </c>
    </row>
    <row r="2975" spans="1:11" x14ac:dyDescent="0.25">
      <c r="A2975" s="31">
        <v>43847</v>
      </c>
      <c r="B2975" t="s">
        <v>6</v>
      </c>
      <c r="C2975" s="31">
        <v>6550</v>
      </c>
      <c r="D2975" t="s">
        <v>92</v>
      </c>
      <c r="E2975" t="s">
        <v>109</v>
      </c>
      <c r="F2975">
        <v>2</v>
      </c>
      <c r="G2975" t="s">
        <v>58</v>
      </c>
      <c r="H2975" t="s">
        <v>112</v>
      </c>
      <c r="I2975">
        <v>1</v>
      </c>
      <c r="J2975" s="19">
        <f>WEEKNUM(tblRidershipData[[#This Row],[MeasurementDate]])</f>
        <v>3</v>
      </c>
      <c r="K2975" s="19">
        <f>MONTH(tblRidershipData[[#This Row],[MeasurementDate]])</f>
        <v>1</v>
      </c>
    </row>
    <row r="2976" spans="1:11" x14ac:dyDescent="0.25">
      <c r="A2976" s="31">
        <v>43847</v>
      </c>
      <c r="B2976" t="s">
        <v>6</v>
      </c>
      <c r="C2976" s="31">
        <v>6550</v>
      </c>
      <c r="D2976" t="s">
        <v>92</v>
      </c>
      <c r="E2976" t="s">
        <v>109</v>
      </c>
      <c r="F2976">
        <v>2</v>
      </c>
      <c r="G2976" t="s">
        <v>73</v>
      </c>
      <c r="H2976" t="s">
        <v>112</v>
      </c>
      <c r="I2976">
        <v>3</v>
      </c>
      <c r="J2976" s="19">
        <f>WEEKNUM(tblRidershipData[[#This Row],[MeasurementDate]])</f>
        <v>3</v>
      </c>
      <c r="K2976" s="19">
        <f>MONTH(tblRidershipData[[#This Row],[MeasurementDate]])</f>
        <v>1</v>
      </c>
    </row>
    <row r="2977" spans="1:11" x14ac:dyDescent="0.25">
      <c r="A2977" s="31">
        <v>43847</v>
      </c>
      <c r="B2977" t="s">
        <v>6</v>
      </c>
      <c r="C2977" s="31">
        <v>6553</v>
      </c>
      <c r="D2977" t="s">
        <v>100</v>
      </c>
      <c r="E2977" t="s">
        <v>111</v>
      </c>
      <c r="F2977">
        <v>1</v>
      </c>
      <c r="G2977" t="s">
        <v>43</v>
      </c>
      <c r="H2977" t="s">
        <v>110</v>
      </c>
      <c r="I2977">
        <v>15</v>
      </c>
      <c r="J2977" s="19">
        <f>WEEKNUM(tblRidershipData[[#This Row],[MeasurementDate]])</f>
        <v>3</v>
      </c>
      <c r="K2977" s="19">
        <f>MONTH(tblRidershipData[[#This Row],[MeasurementDate]])</f>
        <v>1</v>
      </c>
    </row>
    <row r="2978" spans="1:11" x14ac:dyDescent="0.25">
      <c r="A2978" s="31">
        <v>43847</v>
      </c>
      <c r="B2978" t="s">
        <v>6</v>
      </c>
      <c r="C2978" s="31">
        <v>6553</v>
      </c>
      <c r="D2978" t="s">
        <v>100</v>
      </c>
      <c r="E2978" t="s">
        <v>111</v>
      </c>
      <c r="F2978">
        <v>1</v>
      </c>
      <c r="G2978" t="s">
        <v>44</v>
      </c>
      <c r="H2978" t="s">
        <v>110</v>
      </c>
      <c r="I2978">
        <v>6</v>
      </c>
      <c r="J2978" s="19">
        <f>WEEKNUM(tblRidershipData[[#This Row],[MeasurementDate]])</f>
        <v>3</v>
      </c>
      <c r="K2978" s="19">
        <f>MONTH(tblRidershipData[[#This Row],[MeasurementDate]])</f>
        <v>1</v>
      </c>
    </row>
    <row r="2979" spans="1:11" x14ac:dyDescent="0.25">
      <c r="A2979" s="31">
        <v>43847</v>
      </c>
      <c r="B2979" t="s">
        <v>6</v>
      </c>
      <c r="C2979" s="31">
        <v>6553</v>
      </c>
      <c r="D2979" t="s">
        <v>100</v>
      </c>
      <c r="E2979" t="s">
        <v>111</v>
      </c>
      <c r="F2979">
        <v>1</v>
      </c>
      <c r="G2979" t="s">
        <v>45</v>
      </c>
      <c r="H2979" t="s">
        <v>110</v>
      </c>
      <c r="I2979">
        <v>9</v>
      </c>
      <c r="J2979" s="19">
        <f>WEEKNUM(tblRidershipData[[#This Row],[MeasurementDate]])</f>
        <v>3</v>
      </c>
      <c r="K2979" s="19">
        <f>MONTH(tblRidershipData[[#This Row],[MeasurementDate]])</f>
        <v>1</v>
      </c>
    </row>
    <row r="2980" spans="1:11" x14ac:dyDescent="0.25">
      <c r="A2980" s="31">
        <v>43847</v>
      </c>
      <c r="B2980" t="s">
        <v>6</v>
      </c>
      <c r="C2980" s="31">
        <v>6553</v>
      </c>
      <c r="D2980" t="s">
        <v>100</v>
      </c>
      <c r="E2980" t="s">
        <v>111</v>
      </c>
      <c r="F2980">
        <v>1</v>
      </c>
      <c r="G2980" t="s">
        <v>46</v>
      </c>
      <c r="H2980" t="s">
        <v>110</v>
      </c>
      <c r="I2980">
        <v>11</v>
      </c>
      <c r="J2980" s="19">
        <f>WEEKNUM(tblRidershipData[[#This Row],[MeasurementDate]])</f>
        <v>3</v>
      </c>
      <c r="K2980" s="19">
        <f>MONTH(tblRidershipData[[#This Row],[MeasurementDate]])</f>
        <v>1</v>
      </c>
    </row>
    <row r="2981" spans="1:11" x14ac:dyDescent="0.25">
      <c r="A2981" s="31">
        <v>43847</v>
      </c>
      <c r="B2981" t="s">
        <v>6</v>
      </c>
      <c r="C2981" s="31">
        <v>6553</v>
      </c>
      <c r="D2981" t="s">
        <v>100</v>
      </c>
      <c r="E2981" t="s">
        <v>111</v>
      </c>
      <c r="F2981">
        <v>1</v>
      </c>
      <c r="G2981" t="s">
        <v>48</v>
      </c>
      <c r="H2981" t="s">
        <v>110</v>
      </c>
      <c r="I2981">
        <v>9</v>
      </c>
      <c r="J2981" s="19">
        <f>WEEKNUM(tblRidershipData[[#This Row],[MeasurementDate]])</f>
        <v>3</v>
      </c>
      <c r="K2981" s="19">
        <f>MONTH(tblRidershipData[[#This Row],[MeasurementDate]])</f>
        <v>1</v>
      </c>
    </row>
    <row r="2982" spans="1:11" x14ac:dyDescent="0.25">
      <c r="A2982" s="31">
        <v>43847</v>
      </c>
      <c r="B2982" t="s">
        <v>6</v>
      </c>
      <c r="C2982" s="31">
        <v>6553</v>
      </c>
      <c r="D2982" t="s">
        <v>100</v>
      </c>
      <c r="E2982" t="s">
        <v>111</v>
      </c>
      <c r="F2982">
        <v>1</v>
      </c>
      <c r="G2982" t="s">
        <v>56</v>
      </c>
      <c r="H2982" t="s">
        <v>110</v>
      </c>
      <c r="I2982">
        <v>2</v>
      </c>
      <c r="J2982" s="19">
        <f>WEEKNUM(tblRidershipData[[#This Row],[MeasurementDate]])</f>
        <v>3</v>
      </c>
      <c r="K2982" s="19">
        <f>MONTH(tblRidershipData[[#This Row],[MeasurementDate]])</f>
        <v>1</v>
      </c>
    </row>
    <row r="2983" spans="1:11" x14ac:dyDescent="0.25">
      <c r="A2983" s="31">
        <v>43847</v>
      </c>
      <c r="B2983" t="s">
        <v>6</v>
      </c>
      <c r="C2983" s="31">
        <v>6553</v>
      </c>
      <c r="D2983" t="s">
        <v>100</v>
      </c>
      <c r="E2983" t="s">
        <v>111</v>
      </c>
      <c r="F2983">
        <v>1</v>
      </c>
      <c r="G2983" t="s">
        <v>67</v>
      </c>
      <c r="H2983" t="s">
        <v>110</v>
      </c>
      <c r="I2983">
        <v>1</v>
      </c>
      <c r="J2983" s="19">
        <f>WEEKNUM(tblRidershipData[[#This Row],[MeasurementDate]])</f>
        <v>3</v>
      </c>
      <c r="K2983" s="19">
        <f>MONTH(tblRidershipData[[#This Row],[MeasurementDate]])</f>
        <v>1</v>
      </c>
    </row>
    <row r="2984" spans="1:11" x14ac:dyDescent="0.25">
      <c r="A2984" s="31">
        <v>43847</v>
      </c>
      <c r="B2984" t="s">
        <v>6</v>
      </c>
      <c r="C2984" s="31">
        <v>6553</v>
      </c>
      <c r="D2984" t="s">
        <v>100</v>
      </c>
      <c r="E2984" t="s">
        <v>111</v>
      </c>
      <c r="F2984">
        <v>1</v>
      </c>
      <c r="G2984" t="s">
        <v>69</v>
      </c>
      <c r="H2984" t="s">
        <v>110</v>
      </c>
      <c r="I2984">
        <v>10</v>
      </c>
      <c r="J2984" s="19">
        <f>WEEKNUM(tblRidershipData[[#This Row],[MeasurementDate]])</f>
        <v>3</v>
      </c>
      <c r="K2984" s="19">
        <f>MONTH(tblRidershipData[[#This Row],[MeasurementDate]])</f>
        <v>1</v>
      </c>
    </row>
    <row r="2985" spans="1:11" x14ac:dyDescent="0.25">
      <c r="A2985" s="31">
        <v>43847</v>
      </c>
      <c r="B2985" t="s">
        <v>6</v>
      </c>
      <c r="C2985" s="31">
        <v>6553</v>
      </c>
      <c r="D2985" t="s">
        <v>100</v>
      </c>
      <c r="E2985" t="s">
        <v>109</v>
      </c>
      <c r="F2985">
        <v>1</v>
      </c>
      <c r="G2985" t="s">
        <v>52</v>
      </c>
      <c r="H2985" t="s">
        <v>110</v>
      </c>
      <c r="I2985">
        <v>9</v>
      </c>
      <c r="J2985" s="19">
        <f>WEEKNUM(tblRidershipData[[#This Row],[MeasurementDate]])</f>
        <v>3</v>
      </c>
      <c r="K2985" s="19">
        <f>MONTH(tblRidershipData[[#This Row],[MeasurementDate]])</f>
        <v>1</v>
      </c>
    </row>
    <row r="2986" spans="1:11" x14ac:dyDescent="0.25">
      <c r="A2986" s="31">
        <v>43847</v>
      </c>
      <c r="B2986" t="s">
        <v>6</v>
      </c>
      <c r="C2986" s="31">
        <v>6553</v>
      </c>
      <c r="D2986" t="s">
        <v>100</v>
      </c>
      <c r="E2986" t="s">
        <v>109</v>
      </c>
      <c r="F2986">
        <v>1</v>
      </c>
      <c r="G2986" t="s">
        <v>70</v>
      </c>
      <c r="H2986" t="s">
        <v>110</v>
      </c>
      <c r="I2986">
        <v>4</v>
      </c>
      <c r="J2986" s="19">
        <f>WEEKNUM(tblRidershipData[[#This Row],[MeasurementDate]])</f>
        <v>3</v>
      </c>
      <c r="K2986" s="19">
        <f>MONTH(tblRidershipData[[#This Row],[MeasurementDate]])</f>
        <v>1</v>
      </c>
    </row>
    <row r="2987" spans="1:11" x14ac:dyDescent="0.25">
      <c r="A2987" s="31">
        <v>43847</v>
      </c>
      <c r="B2987" t="s">
        <v>6</v>
      </c>
      <c r="C2987" s="31">
        <v>6553</v>
      </c>
      <c r="D2987" t="s">
        <v>100</v>
      </c>
      <c r="E2987" t="s">
        <v>109</v>
      </c>
      <c r="F2987">
        <v>1</v>
      </c>
      <c r="G2987" t="s">
        <v>72</v>
      </c>
      <c r="H2987" t="s">
        <v>110</v>
      </c>
      <c r="I2987">
        <v>1</v>
      </c>
      <c r="J2987" s="19">
        <f>WEEKNUM(tblRidershipData[[#This Row],[MeasurementDate]])</f>
        <v>3</v>
      </c>
      <c r="K2987" s="19">
        <f>MONTH(tblRidershipData[[#This Row],[MeasurementDate]])</f>
        <v>1</v>
      </c>
    </row>
    <row r="2988" spans="1:11" x14ac:dyDescent="0.25">
      <c r="A2988" s="31">
        <v>43847</v>
      </c>
      <c r="B2988" t="s">
        <v>6</v>
      </c>
      <c r="C2988" s="31">
        <v>6553</v>
      </c>
      <c r="D2988" t="s">
        <v>100</v>
      </c>
      <c r="E2988" t="s">
        <v>109</v>
      </c>
      <c r="F2988">
        <v>1</v>
      </c>
      <c r="G2988" t="s">
        <v>73</v>
      </c>
      <c r="H2988" t="s">
        <v>110</v>
      </c>
      <c r="I2988">
        <v>28</v>
      </c>
      <c r="J2988" s="19">
        <f>WEEKNUM(tblRidershipData[[#This Row],[MeasurementDate]])</f>
        <v>3</v>
      </c>
      <c r="K2988" s="19">
        <f>MONTH(tblRidershipData[[#This Row],[MeasurementDate]])</f>
        <v>1</v>
      </c>
    </row>
    <row r="2989" spans="1:11" x14ac:dyDescent="0.25">
      <c r="A2989" s="31">
        <v>43847</v>
      </c>
      <c r="B2989" t="s">
        <v>6</v>
      </c>
      <c r="C2989" s="31">
        <v>6553</v>
      </c>
      <c r="D2989" t="s">
        <v>100</v>
      </c>
      <c r="E2989" t="s">
        <v>109</v>
      </c>
      <c r="F2989">
        <v>1</v>
      </c>
      <c r="G2989" t="s">
        <v>74</v>
      </c>
      <c r="H2989" t="s">
        <v>110</v>
      </c>
      <c r="I2989">
        <v>3</v>
      </c>
      <c r="J2989" s="19">
        <f>WEEKNUM(tblRidershipData[[#This Row],[MeasurementDate]])</f>
        <v>3</v>
      </c>
      <c r="K2989" s="19">
        <f>MONTH(tblRidershipData[[#This Row],[MeasurementDate]])</f>
        <v>1</v>
      </c>
    </row>
    <row r="2990" spans="1:11" x14ac:dyDescent="0.25">
      <c r="A2990" s="31">
        <v>43847</v>
      </c>
      <c r="B2990" t="s">
        <v>6</v>
      </c>
      <c r="C2990" s="31">
        <v>6553</v>
      </c>
      <c r="D2990" t="s">
        <v>100</v>
      </c>
      <c r="E2990" t="s">
        <v>109</v>
      </c>
      <c r="F2990">
        <v>2</v>
      </c>
      <c r="G2990" t="s">
        <v>52</v>
      </c>
      <c r="H2990" t="s">
        <v>110</v>
      </c>
      <c r="I2990">
        <v>1</v>
      </c>
      <c r="J2990" s="19">
        <f>WEEKNUM(tblRidershipData[[#This Row],[MeasurementDate]])</f>
        <v>3</v>
      </c>
      <c r="K2990" s="19">
        <f>MONTH(tblRidershipData[[#This Row],[MeasurementDate]])</f>
        <v>1</v>
      </c>
    </row>
    <row r="2991" spans="1:11" x14ac:dyDescent="0.25">
      <c r="A2991" s="31">
        <v>43847</v>
      </c>
      <c r="B2991" t="s">
        <v>6</v>
      </c>
      <c r="C2991" s="31">
        <v>6553</v>
      </c>
      <c r="D2991" t="s">
        <v>100</v>
      </c>
      <c r="E2991" t="s">
        <v>111</v>
      </c>
      <c r="F2991">
        <v>1</v>
      </c>
      <c r="G2991" t="s">
        <v>51</v>
      </c>
      <c r="H2991" t="s">
        <v>112</v>
      </c>
      <c r="I2991">
        <v>4</v>
      </c>
      <c r="J2991" s="19">
        <f>WEEKNUM(tblRidershipData[[#This Row],[MeasurementDate]])</f>
        <v>3</v>
      </c>
      <c r="K2991" s="19">
        <f>MONTH(tblRidershipData[[#This Row],[MeasurementDate]])</f>
        <v>1</v>
      </c>
    </row>
    <row r="2992" spans="1:11" x14ac:dyDescent="0.25">
      <c r="A2992" s="31">
        <v>43847</v>
      </c>
      <c r="B2992" t="s">
        <v>6</v>
      </c>
      <c r="C2992" s="31">
        <v>6553</v>
      </c>
      <c r="D2992" t="s">
        <v>100</v>
      </c>
      <c r="E2992" t="s">
        <v>111</v>
      </c>
      <c r="F2992">
        <v>1</v>
      </c>
      <c r="G2992" t="s">
        <v>56</v>
      </c>
      <c r="H2992" t="s">
        <v>112</v>
      </c>
      <c r="I2992">
        <v>4</v>
      </c>
      <c r="J2992" s="19">
        <f>WEEKNUM(tblRidershipData[[#This Row],[MeasurementDate]])</f>
        <v>3</v>
      </c>
      <c r="K2992" s="19">
        <f>MONTH(tblRidershipData[[#This Row],[MeasurementDate]])</f>
        <v>1</v>
      </c>
    </row>
    <row r="2993" spans="1:11" x14ac:dyDescent="0.25">
      <c r="A2993" s="31">
        <v>43847</v>
      </c>
      <c r="B2993" t="s">
        <v>6</v>
      </c>
      <c r="C2993" s="31">
        <v>6553</v>
      </c>
      <c r="D2993" t="s">
        <v>100</v>
      </c>
      <c r="E2993" t="s">
        <v>111</v>
      </c>
      <c r="F2993">
        <v>1</v>
      </c>
      <c r="G2993" t="s">
        <v>67</v>
      </c>
      <c r="H2993" t="s">
        <v>112</v>
      </c>
      <c r="I2993">
        <v>44</v>
      </c>
      <c r="J2993" s="19">
        <f>WEEKNUM(tblRidershipData[[#This Row],[MeasurementDate]])</f>
        <v>3</v>
      </c>
      <c r="K2993" s="19">
        <f>MONTH(tblRidershipData[[#This Row],[MeasurementDate]])</f>
        <v>1</v>
      </c>
    </row>
    <row r="2994" spans="1:11" x14ac:dyDescent="0.25">
      <c r="A2994" s="31">
        <v>43847</v>
      </c>
      <c r="B2994" t="s">
        <v>6</v>
      </c>
      <c r="C2994" s="31">
        <v>6553</v>
      </c>
      <c r="D2994" t="s">
        <v>100</v>
      </c>
      <c r="E2994" t="s">
        <v>111</v>
      </c>
      <c r="F2994">
        <v>1</v>
      </c>
      <c r="G2994" t="s">
        <v>73</v>
      </c>
      <c r="H2994" t="s">
        <v>112</v>
      </c>
      <c r="I2994">
        <v>11</v>
      </c>
      <c r="J2994" s="19">
        <f>WEEKNUM(tblRidershipData[[#This Row],[MeasurementDate]])</f>
        <v>3</v>
      </c>
      <c r="K2994" s="19">
        <f>MONTH(tblRidershipData[[#This Row],[MeasurementDate]])</f>
        <v>1</v>
      </c>
    </row>
    <row r="2995" spans="1:11" x14ac:dyDescent="0.25">
      <c r="A2995" s="31">
        <v>43847</v>
      </c>
      <c r="B2995" t="s">
        <v>6</v>
      </c>
      <c r="C2995" s="31">
        <v>6553</v>
      </c>
      <c r="D2995" t="s">
        <v>100</v>
      </c>
      <c r="E2995" t="s">
        <v>109</v>
      </c>
      <c r="F2995">
        <v>1</v>
      </c>
      <c r="G2995" t="s">
        <v>44</v>
      </c>
      <c r="H2995" t="s">
        <v>112</v>
      </c>
      <c r="I2995">
        <v>1</v>
      </c>
      <c r="J2995" s="19">
        <f>WEEKNUM(tblRidershipData[[#This Row],[MeasurementDate]])</f>
        <v>3</v>
      </c>
      <c r="K2995" s="19">
        <f>MONTH(tblRidershipData[[#This Row],[MeasurementDate]])</f>
        <v>1</v>
      </c>
    </row>
    <row r="2996" spans="1:11" x14ac:dyDescent="0.25">
      <c r="A2996" s="31">
        <v>43847</v>
      </c>
      <c r="B2996" t="s">
        <v>6</v>
      </c>
      <c r="C2996" s="31">
        <v>6553</v>
      </c>
      <c r="D2996" t="s">
        <v>100</v>
      </c>
      <c r="E2996" t="s">
        <v>109</v>
      </c>
      <c r="F2996">
        <v>1</v>
      </c>
      <c r="G2996" t="s">
        <v>48</v>
      </c>
      <c r="H2996" t="s">
        <v>112</v>
      </c>
      <c r="I2996">
        <v>2</v>
      </c>
      <c r="J2996" s="19">
        <f>WEEKNUM(tblRidershipData[[#This Row],[MeasurementDate]])</f>
        <v>3</v>
      </c>
      <c r="K2996" s="19">
        <f>MONTH(tblRidershipData[[#This Row],[MeasurementDate]])</f>
        <v>1</v>
      </c>
    </row>
    <row r="2997" spans="1:11" x14ac:dyDescent="0.25">
      <c r="A2997" s="31">
        <v>43847</v>
      </c>
      <c r="B2997" t="s">
        <v>6</v>
      </c>
      <c r="C2997" s="31">
        <v>6553</v>
      </c>
      <c r="D2997" t="s">
        <v>100</v>
      </c>
      <c r="E2997" t="s">
        <v>109</v>
      </c>
      <c r="F2997">
        <v>1</v>
      </c>
      <c r="G2997" t="s">
        <v>49</v>
      </c>
      <c r="H2997" t="s">
        <v>112</v>
      </c>
      <c r="I2997">
        <v>1</v>
      </c>
      <c r="J2997" s="19">
        <f>WEEKNUM(tblRidershipData[[#This Row],[MeasurementDate]])</f>
        <v>3</v>
      </c>
      <c r="K2997" s="19">
        <f>MONTH(tblRidershipData[[#This Row],[MeasurementDate]])</f>
        <v>1</v>
      </c>
    </row>
    <row r="2998" spans="1:11" x14ac:dyDescent="0.25">
      <c r="A2998" s="31">
        <v>43847</v>
      </c>
      <c r="B2998" t="s">
        <v>6</v>
      </c>
      <c r="C2998" s="31">
        <v>6553</v>
      </c>
      <c r="D2998" t="s">
        <v>100</v>
      </c>
      <c r="E2998" t="s">
        <v>109</v>
      </c>
      <c r="F2998">
        <v>1</v>
      </c>
      <c r="G2998" t="s">
        <v>50</v>
      </c>
      <c r="H2998" t="s">
        <v>112</v>
      </c>
      <c r="I2998">
        <v>1</v>
      </c>
      <c r="J2998" s="19">
        <f>WEEKNUM(tblRidershipData[[#This Row],[MeasurementDate]])</f>
        <v>3</v>
      </c>
      <c r="K2998" s="19">
        <f>MONTH(tblRidershipData[[#This Row],[MeasurementDate]])</f>
        <v>1</v>
      </c>
    </row>
    <row r="2999" spans="1:11" x14ac:dyDescent="0.25">
      <c r="A2999" s="31">
        <v>43847</v>
      </c>
      <c r="B2999" t="s">
        <v>6</v>
      </c>
      <c r="C2999" s="31">
        <v>6553</v>
      </c>
      <c r="D2999" t="s">
        <v>100</v>
      </c>
      <c r="E2999" t="s">
        <v>109</v>
      </c>
      <c r="F2999">
        <v>1</v>
      </c>
      <c r="G2999" t="s">
        <v>54</v>
      </c>
      <c r="H2999" t="s">
        <v>112</v>
      </c>
      <c r="I2999">
        <v>26</v>
      </c>
      <c r="J2999" s="19">
        <f>WEEKNUM(tblRidershipData[[#This Row],[MeasurementDate]])</f>
        <v>3</v>
      </c>
      <c r="K2999" s="19">
        <f>MONTH(tblRidershipData[[#This Row],[MeasurementDate]])</f>
        <v>1</v>
      </c>
    </row>
    <row r="3000" spans="1:11" x14ac:dyDescent="0.25">
      <c r="A3000" s="31">
        <v>43847</v>
      </c>
      <c r="B3000" t="s">
        <v>6</v>
      </c>
      <c r="C3000" s="31">
        <v>6553</v>
      </c>
      <c r="D3000" t="s">
        <v>100</v>
      </c>
      <c r="E3000" t="s">
        <v>109</v>
      </c>
      <c r="F3000">
        <v>1</v>
      </c>
      <c r="G3000" t="s">
        <v>56</v>
      </c>
      <c r="H3000" t="s">
        <v>112</v>
      </c>
      <c r="I3000">
        <v>2</v>
      </c>
      <c r="J3000" s="19">
        <f>WEEKNUM(tblRidershipData[[#This Row],[MeasurementDate]])</f>
        <v>3</v>
      </c>
      <c r="K3000" s="19">
        <f>MONTH(tblRidershipData[[#This Row],[MeasurementDate]])</f>
        <v>1</v>
      </c>
    </row>
    <row r="3001" spans="1:11" x14ac:dyDescent="0.25">
      <c r="A3001" s="31">
        <v>43847</v>
      </c>
      <c r="B3001" t="s">
        <v>6</v>
      </c>
      <c r="C3001" s="31">
        <v>6553</v>
      </c>
      <c r="D3001" t="s">
        <v>100</v>
      </c>
      <c r="E3001" t="s">
        <v>109</v>
      </c>
      <c r="F3001">
        <v>1</v>
      </c>
      <c r="G3001" t="s">
        <v>72</v>
      </c>
      <c r="H3001" t="s">
        <v>112</v>
      </c>
      <c r="I3001">
        <v>2</v>
      </c>
      <c r="J3001" s="19">
        <f>WEEKNUM(tblRidershipData[[#This Row],[MeasurementDate]])</f>
        <v>3</v>
      </c>
      <c r="K3001" s="19">
        <f>MONTH(tblRidershipData[[#This Row],[MeasurementDate]])</f>
        <v>1</v>
      </c>
    </row>
    <row r="3002" spans="1:11" x14ac:dyDescent="0.25">
      <c r="A3002" s="31">
        <v>43847</v>
      </c>
      <c r="B3002" t="s">
        <v>6</v>
      </c>
      <c r="C3002" s="31">
        <v>6553</v>
      </c>
      <c r="D3002" t="s">
        <v>100</v>
      </c>
      <c r="E3002" t="s">
        <v>109</v>
      </c>
      <c r="F3002">
        <v>1</v>
      </c>
      <c r="G3002" t="s">
        <v>77</v>
      </c>
      <c r="H3002" t="s">
        <v>112</v>
      </c>
      <c r="I3002">
        <v>1</v>
      </c>
      <c r="J3002" s="19">
        <f>WEEKNUM(tblRidershipData[[#This Row],[MeasurementDate]])</f>
        <v>3</v>
      </c>
      <c r="K3002" s="19">
        <f>MONTH(tblRidershipData[[#This Row],[MeasurementDate]])</f>
        <v>1</v>
      </c>
    </row>
    <row r="3003" spans="1:11" x14ac:dyDescent="0.25">
      <c r="A3003" s="31">
        <v>43847</v>
      </c>
      <c r="B3003" t="s">
        <v>6</v>
      </c>
      <c r="C3003" s="31">
        <v>6553</v>
      </c>
      <c r="D3003" t="s">
        <v>100</v>
      </c>
      <c r="E3003" t="s">
        <v>109</v>
      </c>
      <c r="F3003">
        <v>2</v>
      </c>
      <c r="G3003" t="s">
        <v>44</v>
      </c>
      <c r="H3003" t="s">
        <v>112</v>
      </c>
      <c r="I3003">
        <v>1</v>
      </c>
      <c r="J3003" s="19">
        <f>WEEKNUM(tblRidershipData[[#This Row],[MeasurementDate]])</f>
        <v>3</v>
      </c>
      <c r="K3003" s="19">
        <f>MONTH(tblRidershipData[[#This Row],[MeasurementDate]])</f>
        <v>1</v>
      </c>
    </row>
    <row r="3004" spans="1:11" x14ac:dyDescent="0.25">
      <c r="A3004" s="31">
        <v>43847</v>
      </c>
      <c r="B3004" t="s">
        <v>6</v>
      </c>
      <c r="C3004" s="31">
        <v>6553</v>
      </c>
      <c r="D3004" t="s">
        <v>100</v>
      </c>
      <c r="E3004" t="s">
        <v>109</v>
      </c>
      <c r="F3004">
        <v>2</v>
      </c>
      <c r="G3004" t="s">
        <v>48</v>
      </c>
      <c r="H3004" t="s">
        <v>112</v>
      </c>
      <c r="I3004">
        <v>1</v>
      </c>
      <c r="J3004" s="19">
        <f>WEEKNUM(tblRidershipData[[#This Row],[MeasurementDate]])</f>
        <v>3</v>
      </c>
      <c r="K3004" s="19">
        <f>MONTH(tblRidershipData[[#This Row],[MeasurementDate]])</f>
        <v>1</v>
      </c>
    </row>
    <row r="3005" spans="1:11" x14ac:dyDescent="0.25">
      <c r="A3005" s="31">
        <v>43847</v>
      </c>
      <c r="B3005" t="s">
        <v>6</v>
      </c>
      <c r="C3005" s="31">
        <v>6553</v>
      </c>
      <c r="D3005" t="s">
        <v>100</v>
      </c>
      <c r="E3005" t="s">
        <v>109</v>
      </c>
      <c r="F3005">
        <v>2</v>
      </c>
      <c r="G3005" t="s">
        <v>49</v>
      </c>
      <c r="H3005" t="s">
        <v>112</v>
      </c>
      <c r="I3005">
        <v>1</v>
      </c>
      <c r="J3005" s="19">
        <f>WEEKNUM(tblRidershipData[[#This Row],[MeasurementDate]])</f>
        <v>3</v>
      </c>
      <c r="K3005" s="19">
        <f>MONTH(tblRidershipData[[#This Row],[MeasurementDate]])</f>
        <v>1</v>
      </c>
    </row>
    <row r="3006" spans="1:11" x14ac:dyDescent="0.25">
      <c r="A3006" s="31">
        <v>43847</v>
      </c>
      <c r="B3006" t="s">
        <v>6</v>
      </c>
      <c r="C3006" s="31">
        <v>6553</v>
      </c>
      <c r="D3006" t="s">
        <v>100</v>
      </c>
      <c r="E3006" t="s">
        <v>109</v>
      </c>
      <c r="F3006">
        <v>2</v>
      </c>
      <c r="G3006" t="s">
        <v>50</v>
      </c>
      <c r="H3006" t="s">
        <v>112</v>
      </c>
      <c r="I3006">
        <v>1</v>
      </c>
      <c r="J3006" s="19">
        <f>WEEKNUM(tblRidershipData[[#This Row],[MeasurementDate]])</f>
        <v>3</v>
      </c>
      <c r="K3006" s="19">
        <f>MONTH(tblRidershipData[[#This Row],[MeasurementDate]])</f>
        <v>1</v>
      </c>
    </row>
    <row r="3007" spans="1:11" x14ac:dyDescent="0.25">
      <c r="A3007" s="31">
        <v>43847</v>
      </c>
      <c r="B3007" t="s">
        <v>6</v>
      </c>
      <c r="C3007" s="31">
        <v>6553</v>
      </c>
      <c r="D3007" t="s">
        <v>100</v>
      </c>
      <c r="E3007" t="s">
        <v>109</v>
      </c>
      <c r="F3007">
        <v>2</v>
      </c>
      <c r="G3007" t="s">
        <v>56</v>
      </c>
      <c r="H3007" t="s">
        <v>112</v>
      </c>
      <c r="I3007">
        <v>1</v>
      </c>
      <c r="J3007" s="19">
        <f>WEEKNUM(tblRidershipData[[#This Row],[MeasurementDate]])</f>
        <v>3</v>
      </c>
      <c r="K3007" s="19">
        <f>MONTH(tblRidershipData[[#This Row],[MeasurementDate]])</f>
        <v>1</v>
      </c>
    </row>
    <row r="3008" spans="1:11" x14ac:dyDescent="0.25">
      <c r="A3008" s="31">
        <v>43847</v>
      </c>
      <c r="B3008" t="s">
        <v>6</v>
      </c>
      <c r="C3008" s="31">
        <v>6553</v>
      </c>
      <c r="D3008" t="s">
        <v>100</v>
      </c>
      <c r="E3008" t="s">
        <v>109</v>
      </c>
      <c r="F3008">
        <v>2</v>
      </c>
      <c r="G3008" t="s">
        <v>70</v>
      </c>
      <c r="H3008" t="s">
        <v>112</v>
      </c>
      <c r="I3008">
        <v>1</v>
      </c>
      <c r="J3008" s="19">
        <f>WEEKNUM(tblRidershipData[[#This Row],[MeasurementDate]])</f>
        <v>3</v>
      </c>
      <c r="K3008" s="19">
        <f>MONTH(tblRidershipData[[#This Row],[MeasurementDate]])</f>
        <v>1</v>
      </c>
    </row>
    <row r="3009" spans="1:11" x14ac:dyDescent="0.25">
      <c r="A3009" s="31">
        <v>43847</v>
      </c>
      <c r="B3009" t="s">
        <v>6</v>
      </c>
      <c r="C3009" s="31">
        <v>6553</v>
      </c>
      <c r="D3009" t="s">
        <v>100</v>
      </c>
      <c r="E3009" t="s">
        <v>109</v>
      </c>
      <c r="F3009">
        <v>2</v>
      </c>
      <c r="G3009" t="s">
        <v>72</v>
      </c>
      <c r="H3009" t="s">
        <v>112</v>
      </c>
      <c r="I3009">
        <v>2</v>
      </c>
      <c r="J3009" s="19">
        <f>WEEKNUM(tblRidershipData[[#This Row],[MeasurementDate]])</f>
        <v>3</v>
      </c>
      <c r="K3009" s="19">
        <f>MONTH(tblRidershipData[[#This Row],[MeasurementDate]])</f>
        <v>1</v>
      </c>
    </row>
    <row r="3010" spans="1:11" x14ac:dyDescent="0.25">
      <c r="A3010" s="31">
        <v>43847</v>
      </c>
      <c r="B3010" t="s">
        <v>6</v>
      </c>
      <c r="C3010" s="31">
        <v>6553</v>
      </c>
      <c r="D3010" t="s">
        <v>100</v>
      </c>
      <c r="E3010" t="s">
        <v>109</v>
      </c>
      <c r="F3010">
        <v>2</v>
      </c>
      <c r="G3010" t="s">
        <v>77</v>
      </c>
      <c r="H3010" t="s">
        <v>112</v>
      </c>
      <c r="I3010">
        <v>2</v>
      </c>
      <c r="J3010" s="19">
        <f>WEEKNUM(tblRidershipData[[#This Row],[MeasurementDate]])</f>
        <v>3</v>
      </c>
      <c r="K3010" s="19">
        <f>MONTH(tblRidershipData[[#This Row],[MeasurementDate]])</f>
        <v>1</v>
      </c>
    </row>
    <row r="3011" spans="1:11" x14ac:dyDescent="0.25">
      <c r="A3011" s="31">
        <v>43847</v>
      </c>
      <c r="B3011" t="s">
        <v>6</v>
      </c>
      <c r="C3011" s="31">
        <v>9305</v>
      </c>
      <c r="D3011" t="s">
        <v>97</v>
      </c>
      <c r="E3011" t="s">
        <v>111</v>
      </c>
      <c r="F3011">
        <v>1</v>
      </c>
      <c r="G3011" t="s">
        <v>45</v>
      </c>
      <c r="H3011" t="s">
        <v>110</v>
      </c>
      <c r="I3011">
        <v>3</v>
      </c>
      <c r="J3011" s="19">
        <f>WEEKNUM(tblRidershipData[[#This Row],[MeasurementDate]])</f>
        <v>3</v>
      </c>
      <c r="K3011" s="19">
        <f>MONTH(tblRidershipData[[#This Row],[MeasurementDate]])</f>
        <v>1</v>
      </c>
    </row>
    <row r="3012" spans="1:11" x14ac:dyDescent="0.25">
      <c r="A3012" s="31">
        <v>43847</v>
      </c>
      <c r="B3012" t="s">
        <v>6</v>
      </c>
      <c r="C3012" s="31">
        <v>9305</v>
      </c>
      <c r="D3012" t="s">
        <v>97</v>
      </c>
      <c r="E3012" t="s">
        <v>111</v>
      </c>
      <c r="F3012">
        <v>1</v>
      </c>
      <c r="G3012" t="s">
        <v>48</v>
      </c>
      <c r="H3012" t="s">
        <v>110</v>
      </c>
      <c r="I3012">
        <v>3</v>
      </c>
      <c r="J3012" s="19">
        <f>WEEKNUM(tblRidershipData[[#This Row],[MeasurementDate]])</f>
        <v>3</v>
      </c>
      <c r="K3012" s="19">
        <f>MONTH(tblRidershipData[[#This Row],[MeasurementDate]])</f>
        <v>1</v>
      </c>
    </row>
    <row r="3013" spans="1:11" x14ac:dyDescent="0.25">
      <c r="A3013" s="31">
        <v>43847</v>
      </c>
      <c r="B3013" t="s">
        <v>6</v>
      </c>
      <c r="C3013" s="31">
        <v>9305</v>
      </c>
      <c r="D3013" t="s">
        <v>97</v>
      </c>
      <c r="E3013" t="s">
        <v>111</v>
      </c>
      <c r="F3013">
        <v>1</v>
      </c>
      <c r="G3013" t="s">
        <v>50</v>
      </c>
      <c r="H3013" t="s">
        <v>110</v>
      </c>
      <c r="I3013">
        <v>2</v>
      </c>
      <c r="J3013" s="19">
        <f>WEEKNUM(tblRidershipData[[#This Row],[MeasurementDate]])</f>
        <v>3</v>
      </c>
      <c r="K3013" s="19">
        <f>MONTH(tblRidershipData[[#This Row],[MeasurementDate]])</f>
        <v>1</v>
      </c>
    </row>
    <row r="3014" spans="1:11" x14ac:dyDescent="0.25">
      <c r="A3014" s="31">
        <v>43847</v>
      </c>
      <c r="B3014" t="s">
        <v>6</v>
      </c>
      <c r="C3014" s="31">
        <v>9305</v>
      </c>
      <c r="D3014" t="s">
        <v>97</v>
      </c>
      <c r="E3014" t="s">
        <v>111</v>
      </c>
      <c r="F3014">
        <v>1</v>
      </c>
      <c r="G3014" t="s">
        <v>56</v>
      </c>
      <c r="H3014" t="s">
        <v>110</v>
      </c>
      <c r="I3014">
        <v>11</v>
      </c>
      <c r="J3014" s="19">
        <f>WEEKNUM(tblRidershipData[[#This Row],[MeasurementDate]])</f>
        <v>3</v>
      </c>
      <c r="K3014" s="19">
        <f>MONTH(tblRidershipData[[#This Row],[MeasurementDate]])</f>
        <v>1</v>
      </c>
    </row>
    <row r="3015" spans="1:11" x14ac:dyDescent="0.25">
      <c r="A3015" s="31">
        <v>43847</v>
      </c>
      <c r="B3015" t="s">
        <v>6</v>
      </c>
      <c r="C3015" s="31">
        <v>9305</v>
      </c>
      <c r="D3015" t="s">
        <v>97</v>
      </c>
      <c r="E3015" t="s">
        <v>111</v>
      </c>
      <c r="F3015">
        <v>1</v>
      </c>
      <c r="G3015" t="s">
        <v>60</v>
      </c>
      <c r="H3015" t="s">
        <v>110</v>
      </c>
      <c r="I3015">
        <v>1</v>
      </c>
      <c r="J3015" s="19">
        <f>WEEKNUM(tblRidershipData[[#This Row],[MeasurementDate]])</f>
        <v>3</v>
      </c>
      <c r="K3015" s="19">
        <f>MONTH(tblRidershipData[[#This Row],[MeasurementDate]])</f>
        <v>1</v>
      </c>
    </row>
    <row r="3016" spans="1:11" x14ac:dyDescent="0.25">
      <c r="A3016" s="31">
        <v>43847</v>
      </c>
      <c r="B3016" t="s">
        <v>6</v>
      </c>
      <c r="C3016" s="31">
        <v>9305</v>
      </c>
      <c r="D3016" t="s">
        <v>97</v>
      </c>
      <c r="E3016" t="s">
        <v>111</v>
      </c>
      <c r="F3016">
        <v>1</v>
      </c>
      <c r="G3016" t="s">
        <v>62</v>
      </c>
      <c r="H3016" t="s">
        <v>110</v>
      </c>
      <c r="I3016">
        <v>4</v>
      </c>
      <c r="J3016" s="19">
        <f>WEEKNUM(tblRidershipData[[#This Row],[MeasurementDate]])</f>
        <v>3</v>
      </c>
      <c r="K3016" s="19">
        <f>MONTH(tblRidershipData[[#This Row],[MeasurementDate]])</f>
        <v>1</v>
      </c>
    </row>
    <row r="3017" spans="1:11" x14ac:dyDescent="0.25">
      <c r="A3017" s="31">
        <v>43847</v>
      </c>
      <c r="B3017" t="s">
        <v>6</v>
      </c>
      <c r="C3017" s="31">
        <v>9305</v>
      </c>
      <c r="D3017" t="s">
        <v>97</v>
      </c>
      <c r="E3017" t="s">
        <v>111</v>
      </c>
      <c r="F3017">
        <v>1</v>
      </c>
      <c r="G3017" t="s">
        <v>63</v>
      </c>
      <c r="H3017" t="s">
        <v>110</v>
      </c>
      <c r="I3017">
        <v>1</v>
      </c>
      <c r="J3017" s="19">
        <f>WEEKNUM(tblRidershipData[[#This Row],[MeasurementDate]])</f>
        <v>3</v>
      </c>
      <c r="K3017" s="19">
        <f>MONTH(tblRidershipData[[#This Row],[MeasurementDate]])</f>
        <v>1</v>
      </c>
    </row>
    <row r="3018" spans="1:11" x14ac:dyDescent="0.25">
      <c r="A3018" s="31">
        <v>43847</v>
      </c>
      <c r="B3018" t="s">
        <v>6</v>
      </c>
      <c r="C3018" s="31">
        <v>9305</v>
      </c>
      <c r="D3018" t="s">
        <v>97</v>
      </c>
      <c r="E3018" t="s">
        <v>111</v>
      </c>
      <c r="F3018">
        <v>1</v>
      </c>
      <c r="G3018" t="s">
        <v>64</v>
      </c>
      <c r="H3018" t="s">
        <v>110</v>
      </c>
      <c r="I3018">
        <v>3</v>
      </c>
      <c r="J3018" s="19">
        <f>WEEKNUM(tblRidershipData[[#This Row],[MeasurementDate]])</f>
        <v>3</v>
      </c>
      <c r="K3018" s="19">
        <f>MONTH(tblRidershipData[[#This Row],[MeasurementDate]])</f>
        <v>1</v>
      </c>
    </row>
    <row r="3019" spans="1:11" x14ac:dyDescent="0.25">
      <c r="A3019" s="31">
        <v>43847</v>
      </c>
      <c r="B3019" t="s">
        <v>6</v>
      </c>
      <c r="C3019" s="31">
        <v>9305</v>
      </c>
      <c r="D3019" t="s">
        <v>97</v>
      </c>
      <c r="E3019" t="s">
        <v>111</v>
      </c>
      <c r="F3019">
        <v>1</v>
      </c>
      <c r="G3019" t="s">
        <v>67</v>
      </c>
      <c r="H3019" t="s">
        <v>110</v>
      </c>
      <c r="I3019">
        <v>1</v>
      </c>
      <c r="J3019" s="19">
        <f>WEEKNUM(tblRidershipData[[#This Row],[MeasurementDate]])</f>
        <v>3</v>
      </c>
      <c r="K3019" s="19">
        <f>MONTH(tblRidershipData[[#This Row],[MeasurementDate]])</f>
        <v>1</v>
      </c>
    </row>
    <row r="3020" spans="1:11" x14ac:dyDescent="0.25">
      <c r="A3020" s="31">
        <v>43847</v>
      </c>
      <c r="B3020" t="s">
        <v>6</v>
      </c>
      <c r="C3020" s="31">
        <v>9305</v>
      </c>
      <c r="D3020" t="s">
        <v>97</v>
      </c>
      <c r="E3020" t="s">
        <v>111</v>
      </c>
      <c r="F3020">
        <v>1</v>
      </c>
      <c r="G3020" t="s">
        <v>70</v>
      </c>
      <c r="H3020" t="s">
        <v>110</v>
      </c>
      <c r="I3020">
        <v>20</v>
      </c>
      <c r="J3020" s="19">
        <f>WEEKNUM(tblRidershipData[[#This Row],[MeasurementDate]])</f>
        <v>3</v>
      </c>
      <c r="K3020" s="19">
        <f>MONTH(tblRidershipData[[#This Row],[MeasurementDate]])</f>
        <v>1</v>
      </c>
    </row>
    <row r="3021" spans="1:11" x14ac:dyDescent="0.25">
      <c r="A3021" s="31">
        <v>43847</v>
      </c>
      <c r="B3021" t="s">
        <v>6</v>
      </c>
      <c r="C3021" s="31">
        <v>9305</v>
      </c>
      <c r="D3021" t="s">
        <v>97</v>
      </c>
      <c r="E3021" t="s">
        <v>111</v>
      </c>
      <c r="F3021">
        <v>1</v>
      </c>
      <c r="G3021" t="s">
        <v>72</v>
      </c>
      <c r="H3021" t="s">
        <v>110</v>
      </c>
      <c r="I3021">
        <v>7</v>
      </c>
      <c r="J3021" s="19">
        <f>WEEKNUM(tblRidershipData[[#This Row],[MeasurementDate]])</f>
        <v>3</v>
      </c>
      <c r="K3021" s="19">
        <f>MONTH(tblRidershipData[[#This Row],[MeasurementDate]])</f>
        <v>1</v>
      </c>
    </row>
    <row r="3022" spans="1:11" x14ac:dyDescent="0.25">
      <c r="A3022" s="31">
        <v>43847</v>
      </c>
      <c r="B3022" t="s">
        <v>6</v>
      </c>
      <c r="C3022" s="31">
        <v>9305</v>
      </c>
      <c r="D3022" t="s">
        <v>97</v>
      </c>
      <c r="E3022" t="s">
        <v>111</v>
      </c>
      <c r="F3022">
        <v>1</v>
      </c>
      <c r="G3022" t="s">
        <v>77</v>
      </c>
      <c r="H3022" t="s">
        <v>110</v>
      </c>
      <c r="I3022">
        <v>7</v>
      </c>
      <c r="J3022" s="19">
        <f>WEEKNUM(tblRidershipData[[#This Row],[MeasurementDate]])</f>
        <v>3</v>
      </c>
      <c r="K3022" s="19">
        <f>MONTH(tblRidershipData[[#This Row],[MeasurementDate]])</f>
        <v>1</v>
      </c>
    </row>
    <row r="3023" spans="1:11" x14ac:dyDescent="0.25">
      <c r="A3023" s="31">
        <v>43847</v>
      </c>
      <c r="B3023" t="s">
        <v>6</v>
      </c>
      <c r="C3023" s="31">
        <v>9305</v>
      </c>
      <c r="D3023" t="s">
        <v>97</v>
      </c>
      <c r="E3023" t="s">
        <v>109</v>
      </c>
      <c r="F3023">
        <v>1</v>
      </c>
      <c r="G3023" t="s">
        <v>42</v>
      </c>
      <c r="H3023" t="s">
        <v>110</v>
      </c>
      <c r="I3023">
        <v>4</v>
      </c>
      <c r="J3023" s="19">
        <f>WEEKNUM(tblRidershipData[[#This Row],[MeasurementDate]])</f>
        <v>3</v>
      </c>
      <c r="K3023" s="19">
        <f>MONTH(tblRidershipData[[#This Row],[MeasurementDate]])</f>
        <v>1</v>
      </c>
    </row>
    <row r="3024" spans="1:11" x14ac:dyDescent="0.25">
      <c r="A3024" s="31">
        <v>43847</v>
      </c>
      <c r="B3024" t="s">
        <v>6</v>
      </c>
      <c r="C3024" s="31">
        <v>9305</v>
      </c>
      <c r="D3024" t="s">
        <v>97</v>
      </c>
      <c r="E3024" t="s">
        <v>109</v>
      </c>
      <c r="F3024">
        <v>1</v>
      </c>
      <c r="G3024" t="s">
        <v>52</v>
      </c>
      <c r="H3024" t="s">
        <v>110</v>
      </c>
      <c r="I3024">
        <v>56</v>
      </c>
      <c r="J3024" s="19">
        <f>WEEKNUM(tblRidershipData[[#This Row],[MeasurementDate]])</f>
        <v>3</v>
      </c>
      <c r="K3024" s="19">
        <f>MONTH(tblRidershipData[[#This Row],[MeasurementDate]])</f>
        <v>1</v>
      </c>
    </row>
    <row r="3025" spans="1:11" x14ac:dyDescent="0.25">
      <c r="A3025" s="31">
        <v>43847</v>
      </c>
      <c r="B3025" t="s">
        <v>6</v>
      </c>
      <c r="C3025" s="31">
        <v>9305</v>
      </c>
      <c r="D3025" t="s">
        <v>97</v>
      </c>
      <c r="E3025" t="s">
        <v>109</v>
      </c>
      <c r="F3025">
        <v>1</v>
      </c>
      <c r="G3025" t="s">
        <v>55</v>
      </c>
      <c r="H3025" t="s">
        <v>110</v>
      </c>
      <c r="I3025">
        <v>8</v>
      </c>
      <c r="J3025" s="19">
        <f>WEEKNUM(tblRidershipData[[#This Row],[MeasurementDate]])</f>
        <v>3</v>
      </c>
      <c r="K3025" s="19">
        <f>MONTH(tblRidershipData[[#This Row],[MeasurementDate]])</f>
        <v>1</v>
      </c>
    </row>
    <row r="3026" spans="1:11" x14ac:dyDescent="0.25">
      <c r="A3026" s="31">
        <v>43847</v>
      </c>
      <c r="B3026" t="s">
        <v>6</v>
      </c>
      <c r="C3026" s="31">
        <v>9305</v>
      </c>
      <c r="D3026" t="s">
        <v>97</v>
      </c>
      <c r="E3026" t="s">
        <v>109</v>
      </c>
      <c r="F3026">
        <v>2</v>
      </c>
      <c r="G3026" t="s">
        <v>74</v>
      </c>
      <c r="H3026" t="s">
        <v>110</v>
      </c>
      <c r="I3026">
        <v>2</v>
      </c>
      <c r="J3026" s="19">
        <f>WEEKNUM(tblRidershipData[[#This Row],[MeasurementDate]])</f>
        <v>3</v>
      </c>
      <c r="K3026" s="19">
        <f>MONTH(tblRidershipData[[#This Row],[MeasurementDate]])</f>
        <v>1</v>
      </c>
    </row>
    <row r="3027" spans="1:11" x14ac:dyDescent="0.25">
      <c r="A3027" s="31">
        <v>43847</v>
      </c>
      <c r="B3027" t="s">
        <v>6</v>
      </c>
      <c r="C3027" s="31">
        <v>9305</v>
      </c>
      <c r="D3027" t="s">
        <v>97</v>
      </c>
      <c r="E3027" t="s">
        <v>111</v>
      </c>
      <c r="F3027">
        <v>1</v>
      </c>
      <c r="G3027" t="s">
        <v>52</v>
      </c>
      <c r="H3027" t="s">
        <v>112</v>
      </c>
      <c r="I3027">
        <v>9</v>
      </c>
      <c r="J3027" s="19">
        <f>WEEKNUM(tblRidershipData[[#This Row],[MeasurementDate]])</f>
        <v>3</v>
      </c>
      <c r="K3027" s="19">
        <f>MONTH(tblRidershipData[[#This Row],[MeasurementDate]])</f>
        <v>1</v>
      </c>
    </row>
    <row r="3028" spans="1:11" x14ac:dyDescent="0.25">
      <c r="A3028" s="31">
        <v>43847</v>
      </c>
      <c r="B3028" t="s">
        <v>6</v>
      </c>
      <c r="C3028" s="31">
        <v>9305</v>
      </c>
      <c r="D3028" t="s">
        <v>97</v>
      </c>
      <c r="E3028" t="s">
        <v>111</v>
      </c>
      <c r="F3028">
        <v>1</v>
      </c>
      <c r="G3028" t="s">
        <v>73</v>
      </c>
      <c r="H3028" t="s">
        <v>112</v>
      </c>
      <c r="I3028">
        <v>5</v>
      </c>
      <c r="J3028" s="19">
        <f>WEEKNUM(tblRidershipData[[#This Row],[MeasurementDate]])</f>
        <v>3</v>
      </c>
      <c r="K3028" s="19">
        <f>MONTH(tblRidershipData[[#This Row],[MeasurementDate]])</f>
        <v>1</v>
      </c>
    </row>
    <row r="3029" spans="1:11" x14ac:dyDescent="0.25">
      <c r="A3029" s="31">
        <v>43847</v>
      </c>
      <c r="B3029" t="s">
        <v>6</v>
      </c>
      <c r="C3029" s="31">
        <v>9305</v>
      </c>
      <c r="D3029" t="s">
        <v>97</v>
      </c>
      <c r="E3029" t="s">
        <v>111</v>
      </c>
      <c r="F3029">
        <v>2</v>
      </c>
      <c r="G3029" t="s">
        <v>54</v>
      </c>
      <c r="H3029" t="s">
        <v>112</v>
      </c>
      <c r="I3029">
        <v>1</v>
      </c>
      <c r="J3029" s="19">
        <f>WEEKNUM(tblRidershipData[[#This Row],[MeasurementDate]])</f>
        <v>3</v>
      </c>
      <c r="K3029" s="19">
        <f>MONTH(tblRidershipData[[#This Row],[MeasurementDate]])</f>
        <v>1</v>
      </c>
    </row>
    <row r="3030" spans="1:11" x14ac:dyDescent="0.25">
      <c r="A3030" s="31">
        <v>43847</v>
      </c>
      <c r="B3030" t="s">
        <v>6</v>
      </c>
      <c r="C3030" s="31">
        <v>9305</v>
      </c>
      <c r="D3030" t="s">
        <v>97</v>
      </c>
      <c r="E3030" t="s">
        <v>111</v>
      </c>
      <c r="F3030">
        <v>2</v>
      </c>
      <c r="G3030" t="s">
        <v>63</v>
      </c>
      <c r="H3030" t="s">
        <v>112</v>
      </c>
      <c r="I3030">
        <v>2</v>
      </c>
      <c r="J3030" s="19">
        <f>WEEKNUM(tblRidershipData[[#This Row],[MeasurementDate]])</f>
        <v>3</v>
      </c>
      <c r="K3030" s="19">
        <f>MONTH(tblRidershipData[[#This Row],[MeasurementDate]])</f>
        <v>1</v>
      </c>
    </row>
    <row r="3031" spans="1:11" x14ac:dyDescent="0.25">
      <c r="A3031" s="31">
        <v>43847</v>
      </c>
      <c r="B3031" t="s">
        <v>6</v>
      </c>
      <c r="C3031" s="31">
        <v>9305</v>
      </c>
      <c r="D3031" t="s">
        <v>97</v>
      </c>
      <c r="E3031" t="s">
        <v>111</v>
      </c>
      <c r="F3031">
        <v>2</v>
      </c>
      <c r="G3031" t="s">
        <v>67</v>
      </c>
      <c r="H3031" t="s">
        <v>112</v>
      </c>
      <c r="I3031">
        <v>1</v>
      </c>
      <c r="J3031" s="19">
        <f>WEEKNUM(tblRidershipData[[#This Row],[MeasurementDate]])</f>
        <v>3</v>
      </c>
      <c r="K3031" s="19">
        <f>MONTH(tblRidershipData[[#This Row],[MeasurementDate]])</f>
        <v>1</v>
      </c>
    </row>
    <row r="3032" spans="1:11" x14ac:dyDescent="0.25">
      <c r="A3032" s="31">
        <v>43847</v>
      </c>
      <c r="B3032" t="s">
        <v>6</v>
      </c>
      <c r="C3032" s="31">
        <v>9305</v>
      </c>
      <c r="D3032" t="s">
        <v>97</v>
      </c>
      <c r="E3032" t="s">
        <v>111</v>
      </c>
      <c r="F3032">
        <v>2</v>
      </c>
      <c r="G3032" t="s">
        <v>69</v>
      </c>
      <c r="H3032" t="s">
        <v>112</v>
      </c>
      <c r="I3032">
        <v>9</v>
      </c>
      <c r="J3032" s="19">
        <f>WEEKNUM(tblRidershipData[[#This Row],[MeasurementDate]])</f>
        <v>3</v>
      </c>
      <c r="K3032" s="19">
        <f>MONTH(tblRidershipData[[#This Row],[MeasurementDate]])</f>
        <v>1</v>
      </c>
    </row>
    <row r="3033" spans="1:11" x14ac:dyDescent="0.25">
      <c r="A3033" s="31">
        <v>43847</v>
      </c>
      <c r="B3033" t="s">
        <v>6</v>
      </c>
      <c r="C3033" s="31">
        <v>9305</v>
      </c>
      <c r="D3033" t="s">
        <v>97</v>
      </c>
      <c r="E3033" t="s">
        <v>111</v>
      </c>
      <c r="F3033">
        <v>2</v>
      </c>
      <c r="G3033" t="s">
        <v>72</v>
      </c>
      <c r="H3033" t="s">
        <v>112</v>
      </c>
      <c r="I3033">
        <v>36</v>
      </c>
      <c r="J3033" s="19">
        <f>WEEKNUM(tblRidershipData[[#This Row],[MeasurementDate]])</f>
        <v>3</v>
      </c>
      <c r="K3033" s="19">
        <f>MONTH(tblRidershipData[[#This Row],[MeasurementDate]])</f>
        <v>1</v>
      </c>
    </row>
    <row r="3034" spans="1:11" x14ac:dyDescent="0.25">
      <c r="A3034" s="31">
        <v>43847</v>
      </c>
      <c r="B3034" t="s">
        <v>6</v>
      </c>
      <c r="C3034" s="31">
        <v>9305</v>
      </c>
      <c r="D3034" t="s">
        <v>97</v>
      </c>
      <c r="E3034" t="s">
        <v>109</v>
      </c>
      <c r="F3034">
        <v>1</v>
      </c>
      <c r="G3034" t="s">
        <v>43</v>
      </c>
      <c r="H3034" t="s">
        <v>112</v>
      </c>
      <c r="I3034">
        <v>7</v>
      </c>
      <c r="J3034" s="19">
        <f>WEEKNUM(tblRidershipData[[#This Row],[MeasurementDate]])</f>
        <v>3</v>
      </c>
      <c r="K3034" s="19">
        <f>MONTH(tblRidershipData[[#This Row],[MeasurementDate]])</f>
        <v>1</v>
      </c>
    </row>
    <row r="3035" spans="1:11" x14ac:dyDescent="0.25">
      <c r="A3035" s="31">
        <v>43847</v>
      </c>
      <c r="B3035" t="s">
        <v>6</v>
      </c>
      <c r="C3035" s="31">
        <v>9305</v>
      </c>
      <c r="D3035" t="s">
        <v>97</v>
      </c>
      <c r="E3035" t="s">
        <v>109</v>
      </c>
      <c r="F3035">
        <v>1</v>
      </c>
      <c r="G3035" t="s">
        <v>44</v>
      </c>
      <c r="H3035" t="s">
        <v>112</v>
      </c>
      <c r="I3035">
        <v>1</v>
      </c>
      <c r="J3035" s="19">
        <f>WEEKNUM(tblRidershipData[[#This Row],[MeasurementDate]])</f>
        <v>3</v>
      </c>
      <c r="K3035" s="19">
        <f>MONTH(tblRidershipData[[#This Row],[MeasurementDate]])</f>
        <v>1</v>
      </c>
    </row>
    <row r="3036" spans="1:11" x14ac:dyDescent="0.25">
      <c r="A3036" s="31">
        <v>43847</v>
      </c>
      <c r="B3036" t="s">
        <v>6</v>
      </c>
      <c r="C3036" s="31">
        <v>9305</v>
      </c>
      <c r="D3036" t="s">
        <v>97</v>
      </c>
      <c r="E3036" t="s">
        <v>109</v>
      </c>
      <c r="F3036">
        <v>1</v>
      </c>
      <c r="G3036" t="s">
        <v>45</v>
      </c>
      <c r="H3036" t="s">
        <v>112</v>
      </c>
      <c r="I3036">
        <v>9</v>
      </c>
      <c r="J3036" s="19">
        <f>WEEKNUM(tblRidershipData[[#This Row],[MeasurementDate]])</f>
        <v>3</v>
      </c>
      <c r="K3036" s="19">
        <f>MONTH(tblRidershipData[[#This Row],[MeasurementDate]])</f>
        <v>1</v>
      </c>
    </row>
    <row r="3037" spans="1:11" x14ac:dyDescent="0.25">
      <c r="A3037" s="31">
        <v>43847</v>
      </c>
      <c r="B3037" t="s">
        <v>6</v>
      </c>
      <c r="C3037" s="31">
        <v>9305</v>
      </c>
      <c r="D3037" t="s">
        <v>97</v>
      </c>
      <c r="E3037" t="s">
        <v>109</v>
      </c>
      <c r="F3037">
        <v>1</v>
      </c>
      <c r="G3037" t="s">
        <v>50</v>
      </c>
      <c r="H3037" t="s">
        <v>112</v>
      </c>
      <c r="I3037">
        <v>9</v>
      </c>
      <c r="J3037" s="19">
        <f>WEEKNUM(tblRidershipData[[#This Row],[MeasurementDate]])</f>
        <v>3</v>
      </c>
      <c r="K3037" s="19">
        <f>MONTH(tblRidershipData[[#This Row],[MeasurementDate]])</f>
        <v>1</v>
      </c>
    </row>
    <row r="3038" spans="1:11" x14ac:dyDescent="0.25">
      <c r="A3038" s="31">
        <v>43847</v>
      </c>
      <c r="B3038" t="s">
        <v>6</v>
      </c>
      <c r="C3038" s="31">
        <v>9305</v>
      </c>
      <c r="D3038" t="s">
        <v>97</v>
      </c>
      <c r="E3038" t="s">
        <v>109</v>
      </c>
      <c r="F3038">
        <v>1</v>
      </c>
      <c r="G3038" t="s">
        <v>56</v>
      </c>
      <c r="H3038" t="s">
        <v>112</v>
      </c>
      <c r="I3038">
        <v>9</v>
      </c>
      <c r="J3038" s="19">
        <f>WEEKNUM(tblRidershipData[[#This Row],[MeasurementDate]])</f>
        <v>3</v>
      </c>
      <c r="K3038" s="19">
        <f>MONTH(tblRidershipData[[#This Row],[MeasurementDate]])</f>
        <v>1</v>
      </c>
    </row>
    <row r="3039" spans="1:11" x14ac:dyDescent="0.25">
      <c r="A3039" s="31">
        <v>43847</v>
      </c>
      <c r="B3039" t="s">
        <v>6</v>
      </c>
      <c r="C3039" s="31">
        <v>9305</v>
      </c>
      <c r="D3039" t="s">
        <v>97</v>
      </c>
      <c r="E3039" t="s">
        <v>109</v>
      </c>
      <c r="F3039">
        <v>1</v>
      </c>
      <c r="G3039" t="s">
        <v>59</v>
      </c>
      <c r="H3039" t="s">
        <v>112</v>
      </c>
      <c r="I3039">
        <v>6</v>
      </c>
      <c r="J3039" s="19">
        <f>WEEKNUM(tblRidershipData[[#This Row],[MeasurementDate]])</f>
        <v>3</v>
      </c>
      <c r="K3039" s="19">
        <f>MONTH(tblRidershipData[[#This Row],[MeasurementDate]])</f>
        <v>1</v>
      </c>
    </row>
    <row r="3040" spans="1:11" x14ac:dyDescent="0.25">
      <c r="A3040" s="31">
        <v>43847</v>
      </c>
      <c r="B3040" t="s">
        <v>6</v>
      </c>
      <c r="C3040" s="31">
        <v>9305</v>
      </c>
      <c r="D3040" t="s">
        <v>97</v>
      </c>
      <c r="E3040" t="s">
        <v>109</v>
      </c>
      <c r="F3040">
        <v>1</v>
      </c>
      <c r="G3040" t="s">
        <v>63</v>
      </c>
      <c r="H3040" t="s">
        <v>112</v>
      </c>
      <c r="I3040">
        <v>2</v>
      </c>
      <c r="J3040" s="19">
        <f>WEEKNUM(tblRidershipData[[#This Row],[MeasurementDate]])</f>
        <v>3</v>
      </c>
      <c r="K3040" s="19">
        <f>MONTH(tblRidershipData[[#This Row],[MeasurementDate]])</f>
        <v>1</v>
      </c>
    </row>
    <row r="3041" spans="1:11" x14ac:dyDescent="0.25">
      <c r="A3041" s="31">
        <v>43847</v>
      </c>
      <c r="B3041" t="s">
        <v>6</v>
      </c>
      <c r="C3041" s="31">
        <v>9305</v>
      </c>
      <c r="D3041" t="s">
        <v>97</v>
      </c>
      <c r="E3041" t="s">
        <v>109</v>
      </c>
      <c r="F3041">
        <v>1</v>
      </c>
      <c r="G3041" t="s">
        <v>64</v>
      </c>
      <c r="H3041" t="s">
        <v>112</v>
      </c>
      <c r="I3041">
        <v>2</v>
      </c>
      <c r="J3041" s="19">
        <f>WEEKNUM(tblRidershipData[[#This Row],[MeasurementDate]])</f>
        <v>3</v>
      </c>
      <c r="K3041" s="19">
        <f>MONTH(tblRidershipData[[#This Row],[MeasurementDate]])</f>
        <v>1</v>
      </c>
    </row>
    <row r="3042" spans="1:11" x14ac:dyDescent="0.25">
      <c r="A3042" s="31">
        <v>43847</v>
      </c>
      <c r="B3042" t="s">
        <v>6</v>
      </c>
      <c r="C3042" s="31">
        <v>9305</v>
      </c>
      <c r="D3042" t="s">
        <v>97</v>
      </c>
      <c r="E3042" t="s">
        <v>109</v>
      </c>
      <c r="F3042">
        <v>1</v>
      </c>
      <c r="G3042" t="s">
        <v>67</v>
      </c>
      <c r="H3042" t="s">
        <v>112</v>
      </c>
      <c r="I3042">
        <v>13</v>
      </c>
      <c r="J3042" s="19">
        <f>WEEKNUM(tblRidershipData[[#This Row],[MeasurementDate]])</f>
        <v>3</v>
      </c>
      <c r="K3042" s="19">
        <f>MONTH(tblRidershipData[[#This Row],[MeasurementDate]])</f>
        <v>1</v>
      </c>
    </row>
    <row r="3043" spans="1:11" x14ac:dyDescent="0.25">
      <c r="A3043" s="31">
        <v>43847</v>
      </c>
      <c r="B3043" t="s">
        <v>6</v>
      </c>
      <c r="C3043" s="31">
        <v>9305</v>
      </c>
      <c r="D3043" t="s">
        <v>97</v>
      </c>
      <c r="E3043" t="s">
        <v>109</v>
      </c>
      <c r="F3043">
        <v>1</v>
      </c>
      <c r="G3043" t="s">
        <v>70</v>
      </c>
      <c r="H3043" t="s">
        <v>112</v>
      </c>
      <c r="I3043">
        <v>2</v>
      </c>
      <c r="J3043" s="19">
        <f>WEEKNUM(tblRidershipData[[#This Row],[MeasurementDate]])</f>
        <v>3</v>
      </c>
      <c r="K3043" s="19">
        <f>MONTH(tblRidershipData[[#This Row],[MeasurementDate]])</f>
        <v>1</v>
      </c>
    </row>
    <row r="3044" spans="1:11" x14ac:dyDescent="0.25">
      <c r="A3044" s="31">
        <v>43847</v>
      </c>
      <c r="B3044" t="s">
        <v>6</v>
      </c>
      <c r="C3044" s="31">
        <v>9305</v>
      </c>
      <c r="D3044" t="s">
        <v>97</v>
      </c>
      <c r="E3044" t="s">
        <v>109</v>
      </c>
      <c r="F3044">
        <v>1</v>
      </c>
      <c r="G3044" t="s">
        <v>71</v>
      </c>
      <c r="H3044" t="s">
        <v>112</v>
      </c>
      <c r="I3044">
        <v>10</v>
      </c>
      <c r="J3044" s="19">
        <f>WEEKNUM(tblRidershipData[[#This Row],[MeasurementDate]])</f>
        <v>3</v>
      </c>
      <c r="K3044" s="19">
        <f>MONTH(tblRidershipData[[#This Row],[MeasurementDate]])</f>
        <v>1</v>
      </c>
    </row>
    <row r="3045" spans="1:11" x14ac:dyDescent="0.25">
      <c r="A3045" s="31">
        <v>43847</v>
      </c>
      <c r="B3045" t="s">
        <v>6</v>
      </c>
      <c r="C3045" s="31">
        <v>9305</v>
      </c>
      <c r="D3045" t="s">
        <v>97</v>
      </c>
      <c r="E3045" t="s">
        <v>109</v>
      </c>
      <c r="F3045">
        <v>2</v>
      </c>
      <c r="G3045" t="s">
        <v>47</v>
      </c>
      <c r="H3045" t="s">
        <v>112</v>
      </c>
      <c r="I3045">
        <v>1</v>
      </c>
      <c r="J3045" s="19">
        <f>WEEKNUM(tblRidershipData[[#This Row],[MeasurementDate]])</f>
        <v>3</v>
      </c>
      <c r="K3045" s="19">
        <f>MONTH(tblRidershipData[[#This Row],[MeasurementDate]])</f>
        <v>1</v>
      </c>
    </row>
    <row r="3046" spans="1:11" x14ac:dyDescent="0.25">
      <c r="A3046" s="31">
        <v>43847</v>
      </c>
      <c r="B3046" t="s">
        <v>6</v>
      </c>
      <c r="C3046" s="31">
        <v>9305</v>
      </c>
      <c r="D3046" t="s">
        <v>97</v>
      </c>
      <c r="E3046" t="s">
        <v>109</v>
      </c>
      <c r="F3046">
        <v>2</v>
      </c>
      <c r="G3046" t="s">
        <v>62</v>
      </c>
      <c r="H3046" t="s">
        <v>112</v>
      </c>
      <c r="I3046">
        <v>1</v>
      </c>
      <c r="J3046" s="19">
        <f>WEEKNUM(tblRidershipData[[#This Row],[MeasurementDate]])</f>
        <v>3</v>
      </c>
      <c r="K3046" s="19">
        <f>MONTH(tblRidershipData[[#This Row],[MeasurementDate]])</f>
        <v>1</v>
      </c>
    </row>
    <row r="3047" spans="1:11" x14ac:dyDescent="0.25">
      <c r="A3047" s="31">
        <v>43847</v>
      </c>
      <c r="B3047" t="s">
        <v>6</v>
      </c>
      <c r="C3047" s="31">
        <v>8311</v>
      </c>
      <c r="D3047" t="s">
        <v>99</v>
      </c>
      <c r="E3047" t="s">
        <v>111</v>
      </c>
      <c r="F3047">
        <v>1</v>
      </c>
      <c r="G3047" t="s">
        <v>43</v>
      </c>
      <c r="H3047" t="s">
        <v>110</v>
      </c>
      <c r="I3047">
        <v>6</v>
      </c>
      <c r="J3047" s="19">
        <f>WEEKNUM(tblRidershipData[[#This Row],[MeasurementDate]])</f>
        <v>3</v>
      </c>
      <c r="K3047" s="19">
        <f>MONTH(tblRidershipData[[#This Row],[MeasurementDate]])</f>
        <v>1</v>
      </c>
    </row>
    <row r="3048" spans="1:11" x14ac:dyDescent="0.25">
      <c r="A3048" s="31">
        <v>43847</v>
      </c>
      <c r="B3048" t="s">
        <v>6</v>
      </c>
      <c r="C3048" s="31">
        <v>8311</v>
      </c>
      <c r="D3048" t="s">
        <v>99</v>
      </c>
      <c r="E3048" t="s">
        <v>111</v>
      </c>
      <c r="F3048">
        <v>1</v>
      </c>
      <c r="G3048" t="s">
        <v>45</v>
      </c>
      <c r="H3048" t="s">
        <v>110</v>
      </c>
      <c r="I3048">
        <v>1</v>
      </c>
      <c r="J3048" s="19">
        <f>WEEKNUM(tblRidershipData[[#This Row],[MeasurementDate]])</f>
        <v>3</v>
      </c>
      <c r="K3048" s="19">
        <f>MONTH(tblRidershipData[[#This Row],[MeasurementDate]])</f>
        <v>1</v>
      </c>
    </row>
    <row r="3049" spans="1:11" x14ac:dyDescent="0.25">
      <c r="A3049" s="31">
        <v>43847</v>
      </c>
      <c r="B3049" t="s">
        <v>6</v>
      </c>
      <c r="C3049" s="31">
        <v>8311</v>
      </c>
      <c r="D3049" t="s">
        <v>99</v>
      </c>
      <c r="E3049" t="s">
        <v>111</v>
      </c>
      <c r="F3049">
        <v>1</v>
      </c>
      <c r="G3049" t="s">
        <v>47</v>
      </c>
      <c r="H3049" t="s">
        <v>110</v>
      </c>
      <c r="I3049">
        <v>6</v>
      </c>
      <c r="J3049" s="19">
        <f>WEEKNUM(tblRidershipData[[#This Row],[MeasurementDate]])</f>
        <v>3</v>
      </c>
      <c r="K3049" s="19">
        <f>MONTH(tblRidershipData[[#This Row],[MeasurementDate]])</f>
        <v>1</v>
      </c>
    </row>
    <row r="3050" spans="1:11" x14ac:dyDescent="0.25">
      <c r="A3050" s="31">
        <v>43847</v>
      </c>
      <c r="B3050" t="s">
        <v>6</v>
      </c>
      <c r="C3050" s="31">
        <v>8311</v>
      </c>
      <c r="D3050" t="s">
        <v>99</v>
      </c>
      <c r="E3050" t="s">
        <v>111</v>
      </c>
      <c r="F3050">
        <v>1</v>
      </c>
      <c r="G3050" t="s">
        <v>54</v>
      </c>
      <c r="H3050" t="s">
        <v>110</v>
      </c>
      <c r="I3050">
        <v>3</v>
      </c>
      <c r="J3050" s="19">
        <f>WEEKNUM(tblRidershipData[[#This Row],[MeasurementDate]])</f>
        <v>3</v>
      </c>
      <c r="K3050" s="19">
        <f>MONTH(tblRidershipData[[#This Row],[MeasurementDate]])</f>
        <v>1</v>
      </c>
    </row>
    <row r="3051" spans="1:11" x14ac:dyDescent="0.25">
      <c r="A3051" s="31">
        <v>43847</v>
      </c>
      <c r="B3051" t="s">
        <v>6</v>
      </c>
      <c r="C3051" s="31">
        <v>8311</v>
      </c>
      <c r="D3051" t="s">
        <v>99</v>
      </c>
      <c r="E3051" t="s">
        <v>111</v>
      </c>
      <c r="F3051">
        <v>1</v>
      </c>
      <c r="G3051" t="s">
        <v>55</v>
      </c>
      <c r="H3051" t="s">
        <v>110</v>
      </c>
      <c r="I3051">
        <v>7</v>
      </c>
      <c r="J3051" s="19">
        <f>WEEKNUM(tblRidershipData[[#This Row],[MeasurementDate]])</f>
        <v>3</v>
      </c>
      <c r="K3051" s="19">
        <f>MONTH(tblRidershipData[[#This Row],[MeasurementDate]])</f>
        <v>1</v>
      </c>
    </row>
    <row r="3052" spans="1:11" x14ac:dyDescent="0.25">
      <c r="A3052" s="31">
        <v>43847</v>
      </c>
      <c r="B3052" t="s">
        <v>6</v>
      </c>
      <c r="C3052" s="31">
        <v>8311</v>
      </c>
      <c r="D3052" t="s">
        <v>99</v>
      </c>
      <c r="E3052" t="s">
        <v>111</v>
      </c>
      <c r="F3052">
        <v>1</v>
      </c>
      <c r="G3052" t="s">
        <v>59</v>
      </c>
      <c r="H3052" t="s">
        <v>110</v>
      </c>
      <c r="I3052">
        <v>5</v>
      </c>
      <c r="J3052" s="19">
        <f>WEEKNUM(tblRidershipData[[#This Row],[MeasurementDate]])</f>
        <v>3</v>
      </c>
      <c r="K3052" s="19">
        <f>MONTH(tblRidershipData[[#This Row],[MeasurementDate]])</f>
        <v>1</v>
      </c>
    </row>
    <row r="3053" spans="1:11" x14ac:dyDescent="0.25">
      <c r="A3053" s="31">
        <v>43847</v>
      </c>
      <c r="B3053" t="s">
        <v>6</v>
      </c>
      <c r="C3053" s="31">
        <v>8311</v>
      </c>
      <c r="D3053" t="s">
        <v>99</v>
      </c>
      <c r="E3053" t="s">
        <v>111</v>
      </c>
      <c r="F3053">
        <v>1</v>
      </c>
      <c r="G3053" t="s">
        <v>67</v>
      </c>
      <c r="H3053" t="s">
        <v>110</v>
      </c>
      <c r="I3053">
        <v>3</v>
      </c>
      <c r="J3053" s="19">
        <f>WEEKNUM(tblRidershipData[[#This Row],[MeasurementDate]])</f>
        <v>3</v>
      </c>
      <c r="K3053" s="19">
        <f>MONTH(tblRidershipData[[#This Row],[MeasurementDate]])</f>
        <v>1</v>
      </c>
    </row>
    <row r="3054" spans="1:11" x14ac:dyDescent="0.25">
      <c r="A3054" s="31">
        <v>43847</v>
      </c>
      <c r="B3054" t="s">
        <v>6</v>
      </c>
      <c r="C3054" s="31">
        <v>8311</v>
      </c>
      <c r="D3054" t="s">
        <v>99</v>
      </c>
      <c r="E3054" t="s">
        <v>111</v>
      </c>
      <c r="F3054">
        <v>1</v>
      </c>
      <c r="G3054" t="s">
        <v>69</v>
      </c>
      <c r="H3054" t="s">
        <v>110</v>
      </c>
      <c r="I3054">
        <v>3</v>
      </c>
      <c r="J3054" s="19">
        <f>WEEKNUM(tblRidershipData[[#This Row],[MeasurementDate]])</f>
        <v>3</v>
      </c>
      <c r="K3054" s="19">
        <f>MONTH(tblRidershipData[[#This Row],[MeasurementDate]])</f>
        <v>1</v>
      </c>
    </row>
    <row r="3055" spans="1:11" x14ac:dyDescent="0.25">
      <c r="A3055" s="31">
        <v>43847</v>
      </c>
      <c r="B3055" t="s">
        <v>6</v>
      </c>
      <c r="C3055" s="31">
        <v>8311</v>
      </c>
      <c r="D3055" t="s">
        <v>99</v>
      </c>
      <c r="E3055" t="s">
        <v>111</v>
      </c>
      <c r="F3055">
        <v>1</v>
      </c>
      <c r="G3055" t="s">
        <v>72</v>
      </c>
      <c r="H3055" t="s">
        <v>110</v>
      </c>
      <c r="I3055">
        <v>2</v>
      </c>
      <c r="J3055" s="19">
        <f>WEEKNUM(tblRidershipData[[#This Row],[MeasurementDate]])</f>
        <v>3</v>
      </c>
      <c r="K3055" s="19">
        <f>MONTH(tblRidershipData[[#This Row],[MeasurementDate]])</f>
        <v>1</v>
      </c>
    </row>
    <row r="3056" spans="1:11" x14ac:dyDescent="0.25">
      <c r="A3056" s="31">
        <v>43847</v>
      </c>
      <c r="B3056" t="s">
        <v>6</v>
      </c>
      <c r="C3056" s="31">
        <v>8311</v>
      </c>
      <c r="D3056" t="s">
        <v>99</v>
      </c>
      <c r="E3056" t="s">
        <v>111</v>
      </c>
      <c r="F3056">
        <v>1</v>
      </c>
      <c r="G3056" t="s">
        <v>73</v>
      </c>
      <c r="H3056" t="s">
        <v>110</v>
      </c>
      <c r="I3056">
        <v>2</v>
      </c>
      <c r="J3056" s="19">
        <f>WEEKNUM(tblRidershipData[[#This Row],[MeasurementDate]])</f>
        <v>3</v>
      </c>
      <c r="K3056" s="19">
        <f>MONTH(tblRidershipData[[#This Row],[MeasurementDate]])</f>
        <v>1</v>
      </c>
    </row>
    <row r="3057" spans="1:11" x14ac:dyDescent="0.25">
      <c r="A3057" s="31">
        <v>43847</v>
      </c>
      <c r="B3057" t="s">
        <v>6</v>
      </c>
      <c r="C3057" s="31">
        <v>8311</v>
      </c>
      <c r="D3057" t="s">
        <v>99</v>
      </c>
      <c r="E3057" t="s">
        <v>111</v>
      </c>
      <c r="F3057">
        <v>2</v>
      </c>
      <c r="G3057" t="s">
        <v>43</v>
      </c>
      <c r="H3057" t="s">
        <v>110</v>
      </c>
      <c r="I3057">
        <v>2</v>
      </c>
      <c r="J3057" s="19">
        <f>WEEKNUM(tblRidershipData[[#This Row],[MeasurementDate]])</f>
        <v>3</v>
      </c>
      <c r="K3057" s="19">
        <f>MONTH(tblRidershipData[[#This Row],[MeasurementDate]])</f>
        <v>1</v>
      </c>
    </row>
    <row r="3058" spans="1:11" x14ac:dyDescent="0.25">
      <c r="A3058" s="31">
        <v>43847</v>
      </c>
      <c r="B3058" t="s">
        <v>6</v>
      </c>
      <c r="C3058" s="31">
        <v>8311</v>
      </c>
      <c r="D3058" t="s">
        <v>99</v>
      </c>
      <c r="E3058" t="s">
        <v>111</v>
      </c>
      <c r="F3058">
        <v>2</v>
      </c>
      <c r="G3058" t="s">
        <v>55</v>
      </c>
      <c r="H3058" t="s">
        <v>110</v>
      </c>
      <c r="I3058">
        <v>3</v>
      </c>
      <c r="J3058" s="19">
        <f>WEEKNUM(tblRidershipData[[#This Row],[MeasurementDate]])</f>
        <v>3</v>
      </c>
      <c r="K3058" s="19">
        <f>MONTH(tblRidershipData[[#This Row],[MeasurementDate]])</f>
        <v>1</v>
      </c>
    </row>
    <row r="3059" spans="1:11" x14ac:dyDescent="0.25">
      <c r="A3059" s="31">
        <v>43847</v>
      </c>
      <c r="B3059" t="s">
        <v>6</v>
      </c>
      <c r="C3059" s="31">
        <v>8311</v>
      </c>
      <c r="D3059" t="s">
        <v>99</v>
      </c>
      <c r="E3059" t="s">
        <v>111</v>
      </c>
      <c r="F3059">
        <v>2</v>
      </c>
      <c r="G3059" t="s">
        <v>67</v>
      </c>
      <c r="H3059" t="s">
        <v>110</v>
      </c>
      <c r="I3059">
        <v>3</v>
      </c>
      <c r="J3059" s="19">
        <f>WEEKNUM(tblRidershipData[[#This Row],[MeasurementDate]])</f>
        <v>3</v>
      </c>
      <c r="K3059" s="19">
        <f>MONTH(tblRidershipData[[#This Row],[MeasurementDate]])</f>
        <v>1</v>
      </c>
    </row>
    <row r="3060" spans="1:11" x14ac:dyDescent="0.25">
      <c r="A3060" s="31">
        <v>43847</v>
      </c>
      <c r="B3060" t="s">
        <v>6</v>
      </c>
      <c r="C3060" s="31">
        <v>8311</v>
      </c>
      <c r="D3060" t="s">
        <v>99</v>
      </c>
      <c r="E3060" t="s">
        <v>111</v>
      </c>
      <c r="F3060">
        <v>2</v>
      </c>
      <c r="G3060" t="s">
        <v>69</v>
      </c>
      <c r="H3060" t="s">
        <v>110</v>
      </c>
      <c r="I3060">
        <v>1</v>
      </c>
      <c r="J3060" s="19">
        <f>WEEKNUM(tblRidershipData[[#This Row],[MeasurementDate]])</f>
        <v>3</v>
      </c>
      <c r="K3060" s="19">
        <f>MONTH(tblRidershipData[[#This Row],[MeasurementDate]])</f>
        <v>1</v>
      </c>
    </row>
    <row r="3061" spans="1:11" x14ac:dyDescent="0.25">
      <c r="A3061" s="31">
        <v>43847</v>
      </c>
      <c r="B3061" t="s">
        <v>6</v>
      </c>
      <c r="C3061" s="31">
        <v>8311</v>
      </c>
      <c r="D3061" t="s">
        <v>99</v>
      </c>
      <c r="E3061" t="s">
        <v>109</v>
      </c>
      <c r="F3061">
        <v>1</v>
      </c>
      <c r="G3061" t="s">
        <v>67</v>
      </c>
      <c r="H3061" t="s">
        <v>110</v>
      </c>
      <c r="I3061">
        <v>32</v>
      </c>
      <c r="J3061" s="19">
        <f>WEEKNUM(tblRidershipData[[#This Row],[MeasurementDate]])</f>
        <v>3</v>
      </c>
      <c r="K3061" s="19">
        <f>MONTH(tblRidershipData[[#This Row],[MeasurementDate]])</f>
        <v>1</v>
      </c>
    </row>
    <row r="3062" spans="1:11" x14ac:dyDescent="0.25">
      <c r="A3062" s="31">
        <v>43847</v>
      </c>
      <c r="B3062" t="s">
        <v>6</v>
      </c>
      <c r="C3062" s="31">
        <v>8311</v>
      </c>
      <c r="D3062" t="s">
        <v>99</v>
      </c>
      <c r="E3062" t="s">
        <v>109</v>
      </c>
      <c r="F3062">
        <v>1</v>
      </c>
      <c r="G3062" t="s">
        <v>73</v>
      </c>
      <c r="H3062" t="s">
        <v>110</v>
      </c>
      <c r="I3062">
        <v>35</v>
      </c>
      <c r="J3062" s="19">
        <f>WEEKNUM(tblRidershipData[[#This Row],[MeasurementDate]])</f>
        <v>3</v>
      </c>
      <c r="K3062" s="19">
        <f>MONTH(tblRidershipData[[#This Row],[MeasurementDate]])</f>
        <v>1</v>
      </c>
    </row>
    <row r="3063" spans="1:11" x14ac:dyDescent="0.25">
      <c r="A3063" s="31">
        <v>43847</v>
      </c>
      <c r="B3063" t="s">
        <v>6</v>
      </c>
      <c r="C3063" s="31">
        <v>8311</v>
      </c>
      <c r="D3063" t="s">
        <v>99</v>
      </c>
      <c r="E3063" t="s">
        <v>109</v>
      </c>
      <c r="F3063">
        <v>2</v>
      </c>
      <c r="G3063" t="s">
        <v>67</v>
      </c>
      <c r="H3063" t="s">
        <v>110</v>
      </c>
      <c r="I3063">
        <v>5</v>
      </c>
      <c r="J3063" s="19">
        <f>WEEKNUM(tblRidershipData[[#This Row],[MeasurementDate]])</f>
        <v>3</v>
      </c>
      <c r="K3063" s="19">
        <f>MONTH(tblRidershipData[[#This Row],[MeasurementDate]])</f>
        <v>1</v>
      </c>
    </row>
    <row r="3064" spans="1:11" x14ac:dyDescent="0.25">
      <c r="A3064" s="31">
        <v>43847</v>
      </c>
      <c r="B3064" t="s">
        <v>6</v>
      </c>
      <c r="C3064" s="31">
        <v>8311</v>
      </c>
      <c r="D3064" t="s">
        <v>98</v>
      </c>
      <c r="E3064" t="s">
        <v>111</v>
      </c>
      <c r="F3064">
        <v>1</v>
      </c>
      <c r="G3064" t="s">
        <v>44</v>
      </c>
      <c r="H3064" t="s">
        <v>110</v>
      </c>
      <c r="I3064">
        <v>7</v>
      </c>
      <c r="J3064" s="19">
        <f>WEEKNUM(tblRidershipData[[#This Row],[MeasurementDate]])</f>
        <v>3</v>
      </c>
      <c r="K3064" s="19">
        <f>MONTH(tblRidershipData[[#This Row],[MeasurementDate]])</f>
        <v>1</v>
      </c>
    </row>
    <row r="3065" spans="1:11" x14ac:dyDescent="0.25">
      <c r="A3065" s="31">
        <v>43847</v>
      </c>
      <c r="B3065" t="s">
        <v>6</v>
      </c>
      <c r="C3065" s="31">
        <v>8311</v>
      </c>
      <c r="D3065" t="s">
        <v>98</v>
      </c>
      <c r="E3065" t="s">
        <v>111</v>
      </c>
      <c r="F3065">
        <v>1</v>
      </c>
      <c r="G3065" t="s">
        <v>52</v>
      </c>
      <c r="H3065" t="s">
        <v>110</v>
      </c>
      <c r="I3065">
        <v>6</v>
      </c>
      <c r="J3065" s="19">
        <f>WEEKNUM(tblRidershipData[[#This Row],[MeasurementDate]])</f>
        <v>3</v>
      </c>
      <c r="K3065" s="19">
        <f>MONTH(tblRidershipData[[#This Row],[MeasurementDate]])</f>
        <v>1</v>
      </c>
    </row>
    <row r="3066" spans="1:11" x14ac:dyDescent="0.25">
      <c r="A3066" s="31">
        <v>43847</v>
      </c>
      <c r="B3066" t="s">
        <v>6</v>
      </c>
      <c r="C3066" s="31">
        <v>8311</v>
      </c>
      <c r="D3066" t="s">
        <v>98</v>
      </c>
      <c r="E3066" t="s">
        <v>111</v>
      </c>
      <c r="F3066">
        <v>1</v>
      </c>
      <c r="G3066" t="s">
        <v>55</v>
      </c>
      <c r="H3066" t="s">
        <v>110</v>
      </c>
      <c r="I3066">
        <v>2</v>
      </c>
      <c r="J3066" s="19">
        <f>WEEKNUM(tblRidershipData[[#This Row],[MeasurementDate]])</f>
        <v>3</v>
      </c>
      <c r="K3066" s="19">
        <f>MONTH(tblRidershipData[[#This Row],[MeasurementDate]])</f>
        <v>1</v>
      </c>
    </row>
    <row r="3067" spans="1:11" x14ac:dyDescent="0.25">
      <c r="A3067" s="31">
        <v>43847</v>
      </c>
      <c r="B3067" t="s">
        <v>6</v>
      </c>
      <c r="C3067" s="31">
        <v>8311</v>
      </c>
      <c r="D3067" t="s">
        <v>98</v>
      </c>
      <c r="E3067" t="s">
        <v>111</v>
      </c>
      <c r="F3067">
        <v>1</v>
      </c>
      <c r="G3067" t="s">
        <v>67</v>
      </c>
      <c r="H3067" t="s">
        <v>110</v>
      </c>
      <c r="I3067">
        <v>26</v>
      </c>
      <c r="J3067" s="19">
        <f>WEEKNUM(tblRidershipData[[#This Row],[MeasurementDate]])</f>
        <v>3</v>
      </c>
      <c r="K3067" s="19">
        <f>MONTH(tblRidershipData[[#This Row],[MeasurementDate]])</f>
        <v>1</v>
      </c>
    </row>
    <row r="3068" spans="1:11" x14ac:dyDescent="0.25">
      <c r="A3068" s="31">
        <v>43847</v>
      </c>
      <c r="B3068" t="s">
        <v>6</v>
      </c>
      <c r="C3068" s="31">
        <v>8311</v>
      </c>
      <c r="D3068" t="s">
        <v>98</v>
      </c>
      <c r="E3068" t="s">
        <v>111</v>
      </c>
      <c r="F3068">
        <v>1</v>
      </c>
      <c r="G3068" t="s">
        <v>73</v>
      </c>
      <c r="H3068" t="s">
        <v>110</v>
      </c>
      <c r="I3068">
        <v>9</v>
      </c>
      <c r="J3068" s="19">
        <f>WEEKNUM(tblRidershipData[[#This Row],[MeasurementDate]])</f>
        <v>3</v>
      </c>
      <c r="K3068" s="19">
        <f>MONTH(tblRidershipData[[#This Row],[MeasurementDate]])</f>
        <v>1</v>
      </c>
    </row>
    <row r="3069" spans="1:11" x14ac:dyDescent="0.25">
      <c r="A3069" s="31">
        <v>43847</v>
      </c>
      <c r="B3069" t="s">
        <v>6</v>
      </c>
      <c r="C3069" s="31">
        <v>8311</v>
      </c>
      <c r="D3069" t="s">
        <v>98</v>
      </c>
      <c r="E3069" t="s">
        <v>111</v>
      </c>
      <c r="F3069">
        <v>2</v>
      </c>
      <c r="G3069" t="s">
        <v>67</v>
      </c>
      <c r="H3069" t="s">
        <v>110</v>
      </c>
      <c r="I3069">
        <v>1</v>
      </c>
      <c r="J3069" s="19">
        <f>WEEKNUM(tblRidershipData[[#This Row],[MeasurementDate]])</f>
        <v>3</v>
      </c>
      <c r="K3069" s="19">
        <f>MONTH(tblRidershipData[[#This Row],[MeasurementDate]])</f>
        <v>1</v>
      </c>
    </row>
    <row r="3070" spans="1:11" x14ac:dyDescent="0.25">
      <c r="A3070" s="31">
        <v>43847</v>
      </c>
      <c r="B3070" t="s">
        <v>6</v>
      </c>
      <c r="C3070" s="31">
        <v>8311</v>
      </c>
      <c r="D3070" t="s">
        <v>98</v>
      </c>
      <c r="E3070" t="s">
        <v>109</v>
      </c>
      <c r="F3070">
        <v>1</v>
      </c>
      <c r="G3070" t="s">
        <v>46</v>
      </c>
      <c r="H3070" t="s">
        <v>110</v>
      </c>
      <c r="I3070">
        <v>29</v>
      </c>
      <c r="J3070" s="19">
        <f>WEEKNUM(tblRidershipData[[#This Row],[MeasurementDate]])</f>
        <v>3</v>
      </c>
      <c r="K3070" s="19">
        <f>MONTH(tblRidershipData[[#This Row],[MeasurementDate]])</f>
        <v>1</v>
      </c>
    </row>
    <row r="3071" spans="1:11" x14ac:dyDescent="0.25">
      <c r="A3071" s="31">
        <v>43847</v>
      </c>
      <c r="B3071" t="s">
        <v>6</v>
      </c>
      <c r="C3071" s="31">
        <v>8311</v>
      </c>
      <c r="D3071" t="s">
        <v>98</v>
      </c>
      <c r="E3071" t="s">
        <v>109</v>
      </c>
      <c r="F3071">
        <v>1</v>
      </c>
      <c r="G3071" t="s">
        <v>62</v>
      </c>
      <c r="H3071" t="s">
        <v>110</v>
      </c>
      <c r="I3071">
        <v>10</v>
      </c>
      <c r="J3071" s="19">
        <f>WEEKNUM(tblRidershipData[[#This Row],[MeasurementDate]])</f>
        <v>3</v>
      </c>
      <c r="K3071" s="19">
        <f>MONTH(tblRidershipData[[#This Row],[MeasurementDate]])</f>
        <v>1</v>
      </c>
    </row>
    <row r="3072" spans="1:11" x14ac:dyDescent="0.25">
      <c r="A3072" s="31">
        <v>43847</v>
      </c>
      <c r="B3072" t="s">
        <v>6</v>
      </c>
      <c r="C3072" s="31">
        <v>8311</v>
      </c>
      <c r="D3072" t="s">
        <v>98</v>
      </c>
      <c r="E3072" t="s">
        <v>109</v>
      </c>
      <c r="F3072">
        <v>1</v>
      </c>
      <c r="G3072" t="s">
        <v>63</v>
      </c>
      <c r="H3072" t="s">
        <v>110</v>
      </c>
      <c r="I3072">
        <v>1</v>
      </c>
      <c r="J3072" s="19">
        <f>WEEKNUM(tblRidershipData[[#This Row],[MeasurementDate]])</f>
        <v>3</v>
      </c>
      <c r="K3072" s="19">
        <f>MONTH(tblRidershipData[[#This Row],[MeasurementDate]])</f>
        <v>1</v>
      </c>
    </row>
    <row r="3073" spans="1:11" x14ac:dyDescent="0.25">
      <c r="A3073" s="31">
        <v>43847</v>
      </c>
      <c r="B3073" t="s">
        <v>6</v>
      </c>
      <c r="C3073" s="31">
        <v>8311</v>
      </c>
      <c r="D3073" t="s">
        <v>98</v>
      </c>
      <c r="E3073" t="s">
        <v>109</v>
      </c>
      <c r="F3073">
        <v>1</v>
      </c>
      <c r="G3073" t="s">
        <v>64</v>
      </c>
      <c r="H3073" t="s">
        <v>110</v>
      </c>
      <c r="I3073">
        <v>10</v>
      </c>
      <c r="J3073" s="19">
        <f>WEEKNUM(tblRidershipData[[#This Row],[MeasurementDate]])</f>
        <v>3</v>
      </c>
      <c r="K3073" s="19">
        <f>MONTH(tblRidershipData[[#This Row],[MeasurementDate]])</f>
        <v>1</v>
      </c>
    </row>
    <row r="3074" spans="1:11" x14ac:dyDescent="0.25">
      <c r="A3074" s="31">
        <v>43847</v>
      </c>
      <c r="B3074" t="s">
        <v>6</v>
      </c>
      <c r="C3074" s="31">
        <v>8311</v>
      </c>
      <c r="D3074" t="s">
        <v>98</v>
      </c>
      <c r="E3074" t="s">
        <v>109</v>
      </c>
      <c r="F3074">
        <v>1</v>
      </c>
      <c r="G3074" t="s">
        <v>67</v>
      </c>
      <c r="H3074" t="s">
        <v>110</v>
      </c>
      <c r="I3074">
        <v>8</v>
      </c>
      <c r="J3074" s="19">
        <f>WEEKNUM(tblRidershipData[[#This Row],[MeasurementDate]])</f>
        <v>3</v>
      </c>
      <c r="K3074" s="19">
        <f>MONTH(tblRidershipData[[#This Row],[MeasurementDate]])</f>
        <v>1</v>
      </c>
    </row>
    <row r="3075" spans="1:11" x14ac:dyDescent="0.25">
      <c r="A3075" s="31">
        <v>43847</v>
      </c>
      <c r="B3075" t="s">
        <v>6</v>
      </c>
      <c r="C3075" s="31">
        <v>8311</v>
      </c>
      <c r="D3075" t="s">
        <v>98</v>
      </c>
      <c r="E3075" t="s">
        <v>109</v>
      </c>
      <c r="F3075">
        <v>1</v>
      </c>
      <c r="G3075" t="s">
        <v>72</v>
      </c>
      <c r="H3075" t="s">
        <v>110</v>
      </c>
      <c r="I3075">
        <v>11</v>
      </c>
      <c r="J3075" s="19">
        <f>WEEKNUM(tblRidershipData[[#This Row],[MeasurementDate]])</f>
        <v>3</v>
      </c>
      <c r="K3075" s="19">
        <f>MONTH(tblRidershipData[[#This Row],[MeasurementDate]])</f>
        <v>1</v>
      </c>
    </row>
    <row r="3076" spans="1:11" x14ac:dyDescent="0.25">
      <c r="A3076" s="31">
        <v>43847</v>
      </c>
      <c r="B3076" t="s">
        <v>6</v>
      </c>
      <c r="C3076" s="31">
        <v>8311</v>
      </c>
      <c r="D3076" t="s">
        <v>98</v>
      </c>
      <c r="E3076" t="s">
        <v>109</v>
      </c>
      <c r="F3076">
        <v>1</v>
      </c>
      <c r="G3076" t="s">
        <v>73</v>
      </c>
      <c r="H3076" t="s">
        <v>110</v>
      </c>
      <c r="I3076">
        <v>3</v>
      </c>
      <c r="J3076" s="19">
        <f>WEEKNUM(tblRidershipData[[#This Row],[MeasurementDate]])</f>
        <v>3</v>
      </c>
      <c r="K3076" s="19">
        <f>MONTH(tblRidershipData[[#This Row],[MeasurementDate]])</f>
        <v>1</v>
      </c>
    </row>
    <row r="3077" spans="1:11" x14ac:dyDescent="0.25">
      <c r="A3077" s="31">
        <v>43847</v>
      </c>
      <c r="B3077" t="s">
        <v>6</v>
      </c>
      <c r="C3077" s="31">
        <v>9320</v>
      </c>
      <c r="D3077" t="s">
        <v>99</v>
      </c>
      <c r="E3077" t="s">
        <v>111</v>
      </c>
      <c r="F3077">
        <v>1</v>
      </c>
      <c r="G3077" t="s">
        <v>45</v>
      </c>
      <c r="H3077" t="s">
        <v>110</v>
      </c>
      <c r="I3077">
        <v>1</v>
      </c>
      <c r="J3077" s="19">
        <f>WEEKNUM(tblRidershipData[[#This Row],[MeasurementDate]])</f>
        <v>3</v>
      </c>
      <c r="K3077" s="19">
        <f>MONTH(tblRidershipData[[#This Row],[MeasurementDate]])</f>
        <v>1</v>
      </c>
    </row>
    <row r="3078" spans="1:11" x14ac:dyDescent="0.25">
      <c r="A3078" s="31">
        <v>43847</v>
      </c>
      <c r="B3078" t="s">
        <v>6</v>
      </c>
      <c r="C3078" s="31">
        <v>9320</v>
      </c>
      <c r="D3078" t="s">
        <v>99</v>
      </c>
      <c r="E3078" t="s">
        <v>111</v>
      </c>
      <c r="F3078">
        <v>1</v>
      </c>
      <c r="G3078" t="s">
        <v>47</v>
      </c>
      <c r="H3078" t="s">
        <v>110</v>
      </c>
      <c r="I3078">
        <v>2</v>
      </c>
      <c r="J3078" s="19">
        <f>WEEKNUM(tblRidershipData[[#This Row],[MeasurementDate]])</f>
        <v>3</v>
      </c>
      <c r="K3078" s="19">
        <f>MONTH(tblRidershipData[[#This Row],[MeasurementDate]])</f>
        <v>1</v>
      </c>
    </row>
    <row r="3079" spans="1:11" x14ac:dyDescent="0.25">
      <c r="A3079" s="31">
        <v>43847</v>
      </c>
      <c r="B3079" t="s">
        <v>6</v>
      </c>
      <c r="C3079" s="31">
        <v>9320</v>
      </c>
      <c r="D3079" t="s">
        <v>99</v>
      </c>
      <c r="E3079" t="s">
        <v>111</v>
      </c>
      <c r="F3079">
        <v>1</v>
      </c>
      <c r="G3079" t="s">
        <v>54</v>
      </c>
      <c r="H3079" t="s">
        <v>110</v>
      </c>
      <c r="I3079">
        <v>11</v>
      </c>
      <c r="J3079" s="19">
        <f>WEEKNUM(tblRidershipData[[#This Row],[MeasurementDate]])</f>
        <v>3</v>
      </c>
      <c r="K3079" s="19">
        <f>MONTH(tblRidershipData[[#This Row],[MeasurementDate]])</f>
        <v>1</v>
      </c>
    </row>
    <row r="3080" spans="1:11" x14ac:dyDescent="0.25">
      <c r="A3080" s="31">
        <v>43847</v>
      </c>
      <c r="B3080" t="s">
        <v>6</v>
      </c>
      <c r="C3080" s="31">
        <v>9320</v>
      </c>
      <c r="D3080" t="s">
        <v>99</v>
      </c>
      <c r="E3080" t="s">
        <v>111</v>
      </c>
      <c r="F3080">
        <v>1</v>
      </c>
      <c r="G3080" t="s">
        <v>56</v>
      </c>
      <c r="H3080" t="s">
        <v>110</v>
      </c>
      <c r="I3080">
        <v>2</v>
      </c>
      <c r="J3080" s="19">
        <f>WEEKNUM(tblRidershipData[[#This Row],[MeasurementDate]])</f>
        <v>3</v>
      </c>
      <c r="K3080" s="19">
        <f>MONTH(tblRidershipData[[#This Row],[MeasurementDate]])</f>
        <v>1</v>
      </c>
    </row>
    <row r="3081" spans="1:11" x14ac:dyDescent="0.25">
      <c r="A3081" s="31">
        <v>43847</v>
      </c>
      <c r="B3081" t="s">
        <v>6</v>
      </c>
      <c r="C3081" s="31">
        <v>9320</v>
      </c>
      <c r="D3081" t="s">
        <v>99</v>
      </c>
      <c r="E3081" t="s">
        <v>111</v>
      </c>
      <c r="F3081">
        <v>1</v>
      </c>
      <c r="G3081" t="s">
        <v>64</v>
      </c>
      <c r="H3081" t="s">
        <v>110</v>
      </c>
      <c r="I3081">
        <v>2</v>
      </c>
      <c r="J3081" s="19">
        <f>WEEKNUM(tblRidershipData[[#This Row],[MeasurementDate]])</f>
        <v>3</v>
      </c>
      <c r="K3081" s="19">
        <f>MONTH(tblRidershipData[[#This Row],[MeasurementDate]])</f>
        <v>1</v>
      </c>
    </row>
    <row r="3082" spans="1:11" x14ac:dyDescent="0.25">
      <c r="A3082" s="31">
        <v>43847</v>
      </c>
      <c r="B3082" t="s">
        <v>6</v>
      </c>
      <c r="C3082" s="31">
        <v>9320</v>
      </c>
      <c r="D3082" t="s">
        <v>99</v>
      </c>
      <c r="E3082" t="s">
        <v>111</v>
      </c>
      <c r="F3082">
        <v>1</v>
      </c>
      <c r="G3082" t="s">
        <v>67</v>
      </c>
      <c r="H3082" t="s">
        <v>110</v>
      </c>
      <c r="I3082">
        <v>6</v>
      </c>
      <c r="J3082" s="19">
        <f>WEEKNUM(tblRidershipData[[#This Row],[MeasurementDate]])</f>
        <v>3</v>
      </c>
      <c r="K3082" s="19">
        <f>MONTH(tblRidershipData[[#This Row],[MeasurementDate]])</f>
        <v>1</v>
      </c>
    </row>
    <row r="3083" spans="1:11" x14ac:dyDescent="0.25">
      <c r="A3083" s="31">
        <v>43847</v>
      </c>
      <c r="B3083" t="s">
        <v>6</v>
      </c>
      <c r="C3083" s="31">
        <v>9320</v>
      </c>
      <c r="D3083" t="s">
        <v>99</v>
      </c>
      <c r="E3083" t="s">
        <v>111</v>
      </c>
      <c r="F3083">
        <v>1</v>
      </c>
      <c r="G3083" t="s">
        <v>73</v>
      </c>
      <c r="H3083" t="s">
        <v>110</v>
      </c>
      <c r="I3083">
        <v>5</v>
      </c>
      <c r="J3083" s="19">
        <f>WEEKNUM(tblRidershipData[[#This Row],[MeasurementDate]])</f>
        <v>3</v>
      </c>
      <c r="K3083" s="19">
        <f>MONTH(tblRidershipData[[#This Row],[MeasurementDate]])</f>
        <v>1</v>
      </c>
    </row>
    <row r="3084" spans="1:11" x14ac:dyDescent="0.25">
      <c r="A3084" s="31">
        <v>43847</v>
      </c>
      <c r="B3084" t="s">
        <v>6</v>
      </c>
      <c r="C3084" s="31">
        <v>9320</v>
      </c>
      <c r="D3084" t="s">
        <v>99</v>
      </c>
      <c r="E3084" t="s">
        <v>109</v>
      </c>
      <c r="F3084">
        <v>1</v>
      </c>
      <c r="G3084" t="s">
        <v>44</v>
      </c>
      <c r="H3084" t="s">
        <v>110</v>
      </c>
      <c r="I3084">
        <v>11</v>
      </c>
      <c r="J3084" s="19">
        <f>WEEKNUM(tblRidershipData[[#This Row],[MeasurementDate]])</f>
        <v>3</v>
      </c>
      <c r="K3084" s="19">
        <f>MONTH(tblRidershipData[[#This Row],[MeasurementDate]])</f>
        <v>1</v>
      </c>
    </row>
    <row r="3085" spans="1:11" x14ac:dyDescent="0.25">
      <c r="A3085" s="31">
        <v>43847</v>
      </c>
      <c r="B3085" t="s">
        <v>6</v>
      </c>
      <c r="C3085" s="31">
        <v>9320</v>
      </c>
      <c r="D3085" t="s">
        <v>99</v>
      </c>
      <c r="E3085" t="s">
        <v>109</v>
      </c>
      <c r="F3085">
        <v>1</v>
      </c>
      <c r="G3085" t="s">
        <v>52</v>
      </c>
      <c r="H3085" t="s">
        <v>110</v>
      </c>
      <c r="I3085">
        <v>2</v>
      </c>
      <c r="J3085" s="19">
        <f>WEEKNUM(tblRidershipData[[#This Row],[MeasurementDate]])</f>
        <v>3</v>
      </c>
      <c r="K3085" s="19">
        <f>MONTH(tblRidershipData[[#This Row],[MeasurementDate]])</f>
        <v>1</v>
      </c>
    </row>
    <row r="3086" spans="1:11" x14ac:dyDescent="0.25">
      <c r="A3086" s="31">
        <v>43842</v>
      </c>
      <c r="B3086" t="s">
        <v>6</v>
      </c>
      <c r="C3086" s="31">
        <v>9320</v>
      </c>
      <c r="D3086" t="s">
        <v>99</v>
      </c>
      <c r="E3086" t="s">
        <v>111</v>
      </c>
      <c r="F3086">
        <v>1</v>
      </c>
      <c r="G3086" t="s">
        <v>42</v>
      </c>
      <c r="H3086" t="s">
        <v>112</v>
      </c>
      <c r="I3086">
        <v>1</v>
      </c>
      <c r="J3086" s="19">
        <f>WEEKNUM(tblRidershipData[[#This Row],[MeasurementDate]])</f>
        <v>3</v>
      </c>
      <c r="K3086" s="19">
        <f>MONTH(tblRidershipData[[#This Row],[MeasurementDate]])</f>
        <v>1</v>
      </c>
    </row>
    <row r="3087" spans="1:11" x14ac:dyDescent="0.25">
      <c r="A3087" s="31">
        <v>43842</v>
      </c>
      <c r="B3087" t="s">
        <v>6</v>
      </c>
      <c r="C3087" s="31">
        <v>9320</v>
      </c>
      <c r="D3087" t="s">
        <v>99</v>
      </c>
      <c r="E3087" t="s">
        <v>111</v>
      </c>
      <c r="F3087">
        <v>1</v>
      </c>
      <c r="G3087" t="s">
        <v>67</v>
      </c>
      <c r="H3087" t="s">
        <v>112</v>
      </c>
      <c r="I3087">
        <v>7</v>
      </c>
      <c r="J3087" s="19">
        <f>WEEKNUM(tblRidershipData[[#This Row],[MeasurementDate]])</f>
        <v>3</v>
      </c>
      <c r="K3087" s="19">
        <f>MONTH(tblRidershipData[[#This Row],[MeasurementDate]])</f>
        <v>1</v>
      </c>
    </row>
    <row r="3088" spans="1:11" x14ac:dyDescent="0.25">
      <c r="A3088" s="31">
        <v>43842</v>
      </c>
      <c r="B3088" t="s">
        <v>6</v>
      </c>
      <c r="C3088" s="31">
        <v>9320</v>
      </c>
      <c r="D3088" t="s">
        <v>99</v>
      </c>
      <c r="E3088" t="s">
        <v>111</v>
      </c>
      <c r="F3088">
        <v>1</v>
      </c>
      <c r="G3088" t="s">
        <v>69</v>
      </c>
      <c r="H3088" t="s">
        <v>112</v>
      </c>
      <c r="I3088">
        <v>2</v>
      </c>
      <c r="J3088" s="19">
        <f>WEEKNUM(tblRidershipData[[#This Row],[MeasurementDate]])</f>
        <v>3</v>
      </c>
      <c r="K3088" s="19">
        <f>MONTH(tblRidershipData[[#This Row],[MeasurementDate]])</f>
        <v>1</v>
      </c>
    </row>
    <row r="3089" spans="1:11" x14ac:dyDescent="0.25">
      <c r="A3089" s="31">
        <v>43842</v>
      </c>
      <c r="B3089" t="s">
        <v>6</v>
      </c>
      <c r="C3089" s="31">
        <v>9320</v>
      </c>
      <c r="D3089" t="s">
        <v>99</v>
      </c>
      <c r="E3089" t="s">
        <v>111</v>
      </c>
      <c r="F3089">
        <v>1</v>
      </c>
      <c r="G3089" t="s">
        <v>75</v>
      </c>
      <c r="H3089" t="s">
        <v>112</v>
      </c>
      <c r="I3089">
        <v>19</v>
      </c>
      <c r="J3089" s="19">
        <f>WEEKNUM(tblRidershipData[[#This Row],[MeasurementDate]])</f>
        <v>3</v>
      </c>
      <c r="K3089" s="19">
        <f>MONTH(tblRidershipData[[#This Row],[MeasurementDate]])</f>
        <v>1</v>
      </c>
    </row>
    <row r="3090" spans="1:11" x14ac:dyDescent="0.25">
      <c r="A3090" s="31">
        <v>43842</v>
      </c>
      <c r="B3090" t="s">
        <v>6</v>
      </c>
      <c r="C3090" s="31">
        <v>9320</v>
      </c>
      <c r="D3090" t="s">
        <v>99</v>
      </c>
      <c r="E3090" t="s">
        <v>109</v>
      </c>
      <c r="F3090">
        <v>1</v>
      </c>
      <c r="G3090" t="s">
        <v>47</v>
      </c>
      <c r="H3090" t="s">
        <v>112</v>
      </c>
      <c r="I3090">
        <v>1</v>
      </c>
      <c r="J3090" s="19">
        <f>WEEKNUM(tblRidershipData[[#This Row],[MeasurementDate]])</f>
        <v>3</v>
      </c>
      <c r="K3090" s="19">
        <f>MONTH(tblRidershipData[[#This Row],[MeasurementDate]])</f>
        <v>1</v>
      </c>
    </row>
    <row r="3091" spans="1:11" x14ac:dyDescent="0.25">
      <c r="A3091" s="31">
        <v>43842</v>
      </c>
      <c r="B3091" t="s">
        <v>6</v>
      </c>
      <c r="C3091" s="31">
        <v>9320</v>
      </c>
      <c r="D3091" t="s">
        <v>99</v>
      </c>
      <c r="E3091" t="s">
        <v>109</v>
      </c>
      <c r="F3091">
        <v>1</v>
      </c>
      <c r="G3091" t="s">
        <v>49</v>
      </c>
      <c r="H3091" t="s">
        <v>112</v>
      </c>
      <c r="I3091">
        <v>1</v>
      </c>
      <c r="J3091" s="19">
        <f>WEEKNUM(tblRidershipData[[#This Row],[MeasurementDate]])</f>
        <v>3</v>
      </c>
      <c r="K3091" s="19">
        <f>MONTH(tblRidershipData[[#This Row],[MeasurementDate]])</f>
        <v>1</v>
      </c>
    </row>
    <row r="3092" spans="1:11" x14ac:dyDescent="0.25">
      <c r="A3092" s="31">
        <v>43842</v>
      </c>
      <c r="B3092" t="s">
        <v>6</v>
      </c>
      <c r="C3092" s="31">
        <v>9320</v>
      </c>
      <c r="D3092" t="s">
        <v>99</v>
      </c>
      <c r="E3092" t="s">
        <v>109</v>
      </c>
      <c r="F3092">
        <v>1</v>
      </c>
      <c r="G3092" t="s">
        <v>50</v>
      </c>
      <c r="H3092" t="s">
        <v>112</v>
      </c>
      <c r="I3092">
        <v>4</v>
      </c>
      <c r="J3092" s="19">
        <f>WEEKNUM(tblRidershipData[[#This Row],[MeasurementDate]])</f>
        <v>3</v>
      </c>
      <c r="K3092" s="19">
        <f>MONTH(tblRidershipData[[#This Row],[MeasurementDate]])</f>
        <v>1</v>
      </c>
    </row>
    <row r="3093" spans="1:11" x14ac:dyDescent="0.25">
      <c r="A3093" s="31">
        <v>43842</v>
      </c>
      <c r="B3093" t="s">
        <v>6</v>
      </c>
      <c r="C3093" s="31">
        <v>9320</v>
      </c>
      <c r="D3093" t="s">
        <v>99</v>
      </c>
      <c r="E3093" t="s">
        <v>109</v>
      </c>
      <c r="F3093">
        <v>1</v>
      </c>
      <c r="G3093" t="s">
        <v>54</v>
      </c>
      <c r="H3093" t="s">
        <v>112</v>
      </c>
      <c r="I3093">
        <v>2</v>
      </c>
      <c r="J3093" s="19">
        <f>WEEKNUM(tblRidershipData[[#This Row],[MeasurementDate]])</f>
        <v>3</v>
      </c>
      <c r="K3093" s="19">
        <f>MONTH(tblRidershipData[[#This Row],[MeasurementDate]])</f>
        <v>1</v>
      </c>
    </row>
    <row r="3094" spans="1:11" x14ac:dyDescent="0.25">
      <c r="A3094" s="31">
        <v>43842</v>
      </c>
      <c r="B3094" t="s">
        <v>6</v>
      </c>
      <c r="C3094" s="31">
        <v>9320</v>
      </c>
      <c r="D3094" t="s">
        <v>99</v>
      </c>
      <c r="E3094" t="s">
        <v>109</v>
      </c>
      <c r="F3094">
        <v>1</v>
      </c>
      <c r="G3094" t="s">
        <v>64</v>
      </c>
      <c r="H3094" t="s">
        <v>112</v>
      </c>
      <c r="I3094">
        <v>1</v>
      </c>
      <c r="J3094" s="19">
        <f>WEEKNUM(tblRidershipData[[#This Row],[MeasurementDate]])</f>
        <v>3</v>
      </c>
      <c r="K3094" s="19">
        <f>MONTH(tblRidershipData[[#This Row],[MeasurementDate]])</f>
        <v>1</v>
      </c>
    </row>
    <row r="3095" spans="1:11" x14ac:dyDescent="0.25">
      <c r="A3095" s="31">
        <v>43842</v>
      </c>
      <c r="B3095" t="s">
        <v>6</v>
      </c>
      <c r="C3095" s="31">
        <v>9320</v>
      </c>
      <c r="D3095" t="s">
        <v>99</v>
      </c>
      <c r="E3095" t="s">
        <v>109</v>
      </c>
      <c r="F3095">
        <v>1</v>
      </c>
      <c r="G3095" t="s">
        <v>67</v>
      </c>
      <c r="H3095" t="s">
        <v>112</v>
      </c>
      <c r="I3095">
        <v>1</v>
      </c>
      <c r="J3095" s="19">
        <f>WEEKNUM(tblRidershipData[[#This Row],[MeasurementDate]])</f>
        <v>3</v>
      </c>
      <c r="K3095" s="19">
        <f>MONTH(tblRidershipData[[#This Row],[MeasurementDate]])</f>
        <v>1</v>
      </c>
    </row>
    <row r="3096" spans="1:11" x14ac:dyDescent="0.25">
      <c r="A3096" s="31">
        <v>43842</v>
      </c>
      <c r="B3096" t="s">
        <v>6</v>
      </c>
      <c r="C3096" s="31">
        <v>9320</v>
      </c>
      <c r="D3096" t="s">
        <v>99</v>
      </c>
      <c r="E3096" t="s">
        <v>109</v>
      </c>
      <c r="F3096">
        <v>1</v>
      </c>
      <c r="G3096" t="s">
        <v>77</v>
      </c>
      <c r="H3096" t="s">
        <v>112</v>
      </c>
      <c r="I3096">
        <v>3</v>
      </c>
      <c r="J3096" s="19">
        <f>WEEKNUM(tblRidershipData[[#This Row],[MeasurementDate]])</f>
        <v>3</v>
      </c>
      <c r="K3096" s="19">
        <f>MONTH(tblRidershipData[[#This Row],[MeasurementDate]])</f>
        <v>1</v>
      </c>
    </row>
    <row r="3097" spans="1:11" x14ac:dyDescent="0.25">
      <c r="A3097" s="31">
        <v>43847</v>
      </c>
      <c r="B3097" t="s">
        <v>6</v>
      </c>
      <c r="C3097" s="31">
        <v>6551</v>
      </c>
      <c r="D3097" t="s">
        <v>91</v>
      </c>
      <c r="E3097" t="s">
        <v>111</v>
      </c>
      <c r="F3097">
        <v>1</v>
      </c>
      <c r="G3097" t="s">
        <v>44</v>
      </c>
      <c r="H3097" t="s">
        <v>110</v>
      </c>
      <c r="I3097">
        <v>5</v>
      </c>
      <c r="J3097" s="19">
        <f>WEEKNUM(tblRidershipData[[#This Row],[MeasurementDate]])</f>
        <v>3</v>
      </c>
      <c r="K3097" s="19">
        <f>MONTH(tblRidershipData[[#This Row],[MeasurementDate]])</f>
        <v>1</v>
      </c>
    </row>
    <row r="3098" spans="1:11" x14ac:dyDescent="0.25">
      <c r="A3098" s="31">
        <v>43847</v>
      </c>
      <c r="B3098" t="s">
        <v>6</v>
      </c>
      <c r="C3098" s="31">
        <v>6551</v>
      </c>
      <c r="D3098" t="s">
        <v>91</v>
      </c>
      <c r="E3098" t="s">
        <v>111</v>
      </c>
      <c r="F3098">
        <v>1</v>
      </c>
      <c r="G3098" t="s">
        <v>46</v>
      </c>
      <c r="H3098" t="s">
        <v>110</v>
      </c>
      <c r="I3098">
        <v>11</v>
      </c>
      <c r="J3098" s="19">
        <f>WEEKNUM(tblRidershipData[[#This Row],[MeasurementDate]])</f>
        <v>3</v>
      </c>
      <c r="K3098" s="19">
        <f>MONTH(tblRidershipData[[#This Row],[MeasurementDate]])</f>
        <v>1</v>
      </c>
    </row>
    <row r="3099" spans="1:11" x14ac:dyDescent="0.25">
      <c r="A3099" s="31">
        <v>43847</v>
      </c>
      <c r="B3099" t="s">
        <v>6</v>
      </c>
      <c r="C3099" s="31">
        <v>6551</v>
      </c>
      <c r="D3099" t="s">
        <v>91</v>
      </c>
      <c r="E3099" t="s">
        <v>111</v>
      </c>
      <c r="F3099">
        <v>1</v>
      </c>
      <c r="G3099" t="s">
        <v>49</v>
      </c>
      <c r="H3099" t="s">
        <v>110</v>
      </c>
      <c r="I3099">
        <v>13</v>
      </c>
      <c r="J3099" s="19">
        <f>WEEKNUM(tblRidershipData[[#This Row],[MeasurementDate]])</f>
        <v>3</v>
      </c>
      <c r="K3099" s="19">
        <f>MONTH(tblRidershipData[[#This Row],[MeasurementDate]])</f>
        <v>1</v>
      </c>
    </row>
    <row r="3100" spans="1:11" x14ac:dyDescent="0.25">
      <c r="A3100" s="31">
        <v>43847</v>
      </c>
      <c r="B3100" t="s">
        <v>6</v>
      </c>
      <c r="C3100" s="31">
        <v>6551</v>
      </c>
      <c r="D3100" t="s">
        <v>91</v>
      </c>
      <c r="E3100" t="s">
        <v>111</v>
      </c>
      <c r="F3100">
        <v>1</v>
      </c>
      <c r="G3100" t="s">
        <v>54</v>
      </c>
      <c r="H3100" t="s">
        <v>110</v>
      </c>
      <c r="I3100">
        <v>2</v>
      </c>
      <c r="J3100" s="19">
        <f>WEEKNUM(tblRidershipData[[#This Row],[MeasurementDate]])</f>
        <v>3</v>
      </c>
      <c r="K3100" s="19">
        <f>MONTH(tblRidershipData[[#This Row],[MeasurementDate]])</f>
        <v>1</v>
      </c>
    </row>
    <row r="3101" spans="1:11" x14ac:dyDescent="0.25">
      <c r="A3101" s="31">
        <v>43847</v>
      </c>
      <c r="B3101" t="s">
        <v>6</v>
      </c>
      <c r="C3101" s="31">
        <v>6551</v>
      </c>
      <c r="D3101" t="s">
        <v>91</v>
      </c>
      <c r="E3101" t="s">
        <v>111</v>
      </c>
      <c r="F3101">
        <v>1</v>
      </c>
      <c r="G3101" t="s">
        <v>57</v>
      </c>
      <c r="H3101" t="s">
        <v>110</v>
      </c>
      <c r="I3101">
        <v>2</v>
      </c>
      <c r="J3101" s="19">
        <f>WEEKNUM(tblRidershipData[[#This Row],[MeasurementDate]])</f>
        <v>3</v>
      </c>
      <c r="K3101" s="19">
        <f>MONTH(tblRidershipData[[#This Row],[MeasurementDate]])</f>
        <v>1</v>
      </c>
    </row>
    <row r="3102" spans="1:11" x14ac:dyDescent="0.25">
      <c r="A3102" s="31">
        <v>43847</v>
      </c>
      <c r="B3102" t="s">
        <v>6</v>
      </c>
      <c r="C3102" s="31">
        <v>6551</v>
      </c>
      <c r="D3102" t="s">
        <v>91</v>
      </c>
      <c r="E3102" t="s">
        <v>111</v>
      </c>
      <c r="F3102">
        <v>1</v>
      </c>
      <c r="G3102" t="s">
        <v>59</v>
      </c>
      <c r="H3102" t="s">
        <v>110</v>
      </c>
      <c r="I3102">
        <v>14</v>
      </c>
      <c r="J3102" s="19">
        <f>WEEKNUM(tblRidershipData[[#This Row],[MeasurementDate]])</f>
        <v>3</v>
      </c>
      <c r="K3102" s="19">
        <f>MONTH(tblRidershipData[[#This Row],[MeasurementDate]])</f>
        <v>1</v>
      </c>
    </row>
    <row r="3103" spans="1:11" x14ac:dyDescent="0.25">
      <c r="A3103" s="31">
        <v>43847</v>
      </c>
      <c r="B3103" t="s">
        <v>6</v>
      </c>
      <c r="C3103" s="31">
        <v>6551</v>
      </c>
      <c r="D3103" t="s">
        <v>91</v>
      </c>
      <c r="E3103" t="s">
        <v>111</v>
      </c>
      <c r="F3103">
        <v>1</v>
      </c>
      <c r="G3103" t="s">
        <v>64</v>
      </c>
      <c r="H3103" t="s">
        <v>110</v>
      </c>
      <c r="I3103">
        <v>15</v>
      </c>
      <c r="J3103" s="19">
        <f>WEEKNUM(tblRidershipData[[#This Row],[MeasurementDate]])</f>
        <v>3</v>
      </c>
      <c r="K3103" s="19">
        <f>MONTH(tblRidershipData[[#This Row],[MeasurementDate]])</f>
        <v>1</v>
      </c>
    </row>
    <row r="3104" spans="1:11" x14ac:dyDescent="0.25">
      <c r="A3104" s="31">
        <v>43847</v>
      </c>
      <c r="B3104" t="s">
        <v>6</v>
      </c>
      <c r="C3104" s="31">
        <v>6551</v>
      </c>
      <c r="D3104" t="s">
        <v>91</v>
      </c>
      <c r="E3104" t="s">
        <v>111</v>
      </c>
      <c r="F3104">
        <v>1</v>
      </c>
      <c r="G3104" t="s">
        <v>67</v>
      </c>
      <c r="H3104" t="s">
        <v>110</v>
      </c>
      <c r="I3104">
        <v>1</v>
      </c>
      <c r="J3104" s="19">
        <f>WEEKNUM(tblRidershipData[[#This Row],[MeasurementDate]])</f>
        <v>3</v>
      </c>
      <c r="K3104" s="19">
        <f>MONTH(tblRidershipData[[#This Row],[MeasurementDate]])</f>
        <v>1</v>
      </c>
    </row>
    <row r="3105" spans="1:11" x14ac:dyDescent="0.25">
      <c r="A3105" s="31">
        <v>43847</v>
      </c>
      <c r="B3105" t="s">
        <v>6</v>
      </c>
      <c r="C3105" s="31">
        <v>6551</v>
      </c>
      <c r="D3105" t="s">
        <v>91</v>
      </c>
      <c r="E3105" t="s">
        <v>111</v>
      </c>
      <c r="F3105">
        <v>1</v>
      </c>
      <c r="G3105" t="s">
        <v>69</v>
      </c>
      <c r="H3105" t="s">
        <v>110</v>
      </c>
      <c r="I3105">
        <v>1</v>
      </c>
      <c r="J3105" s="19">
        <f>WEEKNUM(tblRidershipData[[#This Row],[MeasurementDate]])</f>
        <v>3</v>
      </c>
      <c r="K3105" s="19">
        <f>MONTH(tblRidershipData[[#This Row],[MeasurementDate]])</f>
        <v>1</v>
      </c>
    </row>
    <row r="3106" spans="1:11" x14ac:dyDescent="0.25">
      <c r="A3106" s="31">
        <v>43847</v>
      </c>
      <c r="B3106" t="s">
        <v>6</v>
      </c>
      <c r="C3106" s="31">
        <v>6551</v>
      </c>
      <c r="D3106" t="s">
        <v>91</v>
      </c>
      <c r="E3106" t="s">
        <v>111</v>
      </c>
      <c r="F3106">
        <v>1</v>
      </c>
      <c r="G3106" t="s">
        <v>71</v>
      </c>
      <c r="H3106" t="s">
        <v>110</v>
      </c>
      <c r="I3106">
        <v>3</v>
      </c>
      <c r="J3106" s="19">
        <f>WEEKNUM(tblRidershipData[[#This Row],[MeasurementDate]])</f>
        <v>3</v>
      </c>
      <c r="K3106" s="19">
        <f>MONTH(tblRidershipData[[#This Row],[MeasurementDate]])</f>
        <v>1</v>
      </c>
    </row>
    <row r="3107" spans="1:11" x14ac:dyDescent="0.25">
      <c r="A3107" s="31">
        <v>43847</v>
      </c>
      <c r="B3107" t="s">
        <v>6</v>
      </c>
      <c r="C3107" s="31">
        <v>6551</v>
      </c>
      <c r="D3107" t="s">
        <v>91</v>
      </c>
      <c r="E3107" t="s">
        <v>111</v>
      </c>
      <c r="F3107">
        <v>1</v>
      </c>
      <c r="G3107" t="s">
        <v>72</v>
      </c>
      <c r="H3107" t="s">
        <v>110</v>
      </c>
      <c r="I3107">
        <v>6</v>
      </c>
      <c r="J3107" s="19">
        <f>WEEKNUM(tblRidershipData[[#This Row],[MeasurementDate]])</f>
        <v>3</v>
      </c>
      <c r="K3107" s="19">
        <f>MONTH(tblRidershipData[[#This Row],[MeasurementDate]])</f>
        <v>1</v>
      </c>
    </row>
    <row r="3108" spans="1:11" x14ac:dyDescent="0.25">
      <c r="A3108" s="31">
        <v>43847</v>
      </c>
      <c r="B3108" t="s">
        <v>6</v>
      </c>
      <c r="C3108" s="31">
        <v>6551</v>
      </c>
      <c r="D3108" t="s">
        <v>91</v>
      </c>
      <c r="E3108" t="s">
        <v>111</v>
      </c>
      <c r="F3108">
        <v>2</v>
      </c>
      <c r="G3108" t="s">
        <v>64</v>
      </c>
      <c r="H3108" t="s">
        <v>110</v>
      </c>
      <c r="I3108">
        <v>5</v>
      </c>
      <c r="J3108" s="19">
        <f>WEEKNUM(tblRidershipData[[#This Row],[MeasurementDate]])</f>
        <v>3</v>
      </c>
      <c r="K3108" s="19">
        <f>MONTH(tblRidershipData[[#This Row],[MeasurementDate]])</f>
        <v>1</v>
      </c>
    </row>
    <row r="3109" spans="1:11" x14ac:dyDescent="0.25">
      <c r="A3109" s="31">
        <v>43847</v>
      </c>
      <c r="B3109" t="s">
        <v>6</v>
      </c>
      <c r="C3109" s="31">
        <v>6551</v>
      </c>
      <c r="D3109" t="s">
        <v>91</v>
      </c>
      <c r="E3109" t="s">
        <v>111</v>
      </c>
      <c r="F3109">
        <v>2</v>
      </c>
      <c r="G3109" t="s">
        <v>67</v>
      </c>
      <c r="H3109" t="s">
        <v>110</v>
      </c>
      <c r="I3109">
        <v>5</v>
      </c>
      <c r="J3109" s="19">
        <f>WEEKNUM(tblRidershipData[[#This Row],[MeasurementDate]])</f>
        <v>3</v>
      </c>
      <c r="K3109" s="19">
        <f>MONTH(tblRidershipData[[#This Row],[MeasurementDate]])</f>
        <v>1</v>
      </c>
    </row>
    <row r="3110" spans="1:11" x14ac:dyDescent="0.25">
      <c r="A3110" s="31">
        <v>43847</v>
      </c>
      <c r="B3110" t="s">
        <v>6</v>
      </c>
      <c r="C3110" s="31">
        <v>6551</v>
      </c>
      <c r="D3110" t="s">
        <v>91</v>
      </c>
      <c r="E3110" t="s">
        <v>109</v>
      </c>
      <c r="F3110">
        <v>1</v>
      </c>
      <c r="G3110" t="s">
        <v>52</v>
      </c>
      <c r="H3110" t="s">
        <v>110</v>
      </c>
      <c r="I3110">
        <v>5</v>
      </c>
      <c r="J3110" s="19">
        <f>WEEKNUM(tblRidershipData[[#This Row],[MeasurementDate]])</f>
        <v>3</v>
      </c>
      <c r="K3110" s="19">
        <f>MONTH(tblRidershipData[[#This Row],[MeasurementDate]])</f>
        <v>1</v>
      </c>
    </row>
    <row r="3111" spans="1:11" x14ac:dyDescent="0.25">
      <c r="A3111" s="31">
        <v>43847</v>
      </c>
      <c r="B3111" t="s">
        <v>6</v>
      </c>
      <c r="C3111" s="31">
        <v>6551</v>
      </c>
      <c r="D3111" t="s">
        <v>91</v>
      </c>
      <c r="E3111" t="s">
        <v>109</v>
      </c>
      <c r="F3111">
        <v>1</v>
      </c>
      <c r="G3111" t="s">
        <v>69</v>
      </c>
      <c r="H3111" t="s">
        <v>110</v>
      </c>
      <c r="I3111">
        <v>4</v>
      </c>
      <c r="J3111" s="19">
        <f>WEEKNUM(tblRidershipData[[#This Row],[MeasurementDate]])</f>
        <v>3</v>
      </c>
      <c r="K3111" s="19">
        <f>MONTH(tblRidershipData[[#This Row],[MeasurementDate]])</f>
        <v>1</v>
      </c>
    </row>
    <row r="3112" spans="1:11" x14ac:dyDescent="0.25">
      <c r="A3112" s="31">
        <v>43847</v>
      </c>
      <c r="B3112" t="s">
        <v>6</v>
      </c>
      <c r="C3112" s="31">
        <v>6551</v>
      </c>
      <c r="D3112" t="s">
        <v>91</v>
      </c>
      <c r="E3112" t="s">
        <v>109</v>
      </c>
      <c r="F3112">
        <v>1</v>
      </c>
      <c r="G3112" t="s">
        <v>72</v>
      </c>
      <c r="H3112" t="s">
        <v>110</v>
      </c>
      <c r="I3112">
        <v>5</v>
      </c>
      <c r="J3112" s="19">
        <f>WEEKNUM(tblRidershipData[[#This Row],[MeasurementDate]])</f>
        <v>3</v>
      </c>
      <c r="K3112" s="19">
        <f>MONTH(tblRidershipData[[#This Row],[MeasurementDate]])</f>
        <v>1</v>
      </c>
    </row>
    <row r="3113" spans="1:11" x14ac:dyDescent="0.25">
      <c r="A3113" s="31">
        <v>43847</v>
      </c>
      <c r="B3113" t="s">
        <v>6</v>
      </c>
      <c r="C3113" s="31">
        <v>6551</v>
      </c>
      <c r="D3113" t="s">
        <v>91</v>
      </c>
      <c r="E3113" t="s">
        <v>109</v>
      </c>
      <c r="F3113">
        <v>1</v>
      </c>
      <c r="G3113" t="s">
        <v>75</v>
      </c>
      <c r="H3113" t="s">
        <v>110</v>
      </c>
      <c r="I3113">
        <v>25</v>
      </c>
      <c r="J3113" s="19">
        <f>WEEKNUM(tblRidershipData[[#This Row],[MeasurementDate]])</f>
        <v>3</v>
      </c>
      <c r="K3113" s="19">
        <f>MONTH(tblRidershipData[[#This Row],[MeasurementDate]])</f>
        <v>1</v>
      </c>
    </row>
    <row r="3114" spans="1:11" x14ac:dyDescent="0.25">
      <c r="A3114" s="31">
        <v>43847</v>
      </c>
      <c r="B3114" t="s">
        <v>6</v>
      </c>
      <c r="C3114" s="31">
        <v>6551</v>
      </c>
      <c r="D3114" t="s">
        <v>91</v>
      </c>
      <c r="E3114" t="s">
        <v>109</v>
      </c>
      <c r="F3114">
        <v>2</v>
      </c>
      <c r="G3114" t="s">
        <v>69</v>
      </c>
      <c r="H3114" t="s">
        <v>110</v>
      </c>
      <c r="I3114">
        <v>4</v>
      </c>
      <c r="J3114" s="19">
        <f>WEEKNUM(tblRidershipData[[#This Row],[MeasurementDate]])</f>
        <v>3</v>
      </c>
      <c r="K3114" s="19">
        <f>MONTH(tblRidershipData[[#This Row],[MeasurementDate]])</f>
        <v>1</v>
      </c>
    </row>
    <row r="3115" spans="1:11" x14ac:dyDescent="0.25">
      <c r="A3115" s="31">
        <v>43847</v>
      </c>
      <c r="B3115" t="s">
        <v>6</v>
      </c>
      <c r="C3115" s="31">
        <v>6551</v>
      </c>
      <c r="D3115" t="s">
        <v>91</v>
      </c>
      <c r="E3115" t="s">
        <v>109</v>
      </c>
      <c r="F3115">
        <v>2</v>
      </c>
      <c r="G3115" t="s">
        <v>72</v>
      </c>
      <c r="H3115" t="s">
        <v>110</v>
      </c>
      <c r="I3115">
        <v>28</v>
      </c>
      <c r="J3115" s="19">
        <f>WEEKNUM(tblRidershipData[[#This Row],[MeasurementDate]])</f>
        <v>3</v>
      </c>
      <c r="K3115" s="19">
        <f>MONTH(tblRidershipData[[#This Row],[MeasurementDate]])</f>
        <v>1</v>
      </c>
    </row>
    <row r="3116" spans="1:11" x14ac:dyDescent="0.25">
      <c r="A3116" s="31">
        <v>43847</v>
      </c>
      <c r="B3116" t="s">
        <v>6</v>
      </c>
      <c r="C3116" s="31">
        <v>6551</v>
      </c>
      <c r="D3116" t="s">
        <v>91</v>
      </c>
      <c r="E3116" t="s">
        <v>109</v>
      </c>
      <c r="F3116">
        <v>2</v>
      </c>
      <c r="G3116" t="s">
        <v>75</v>
      </c>
      <c r="H3116" t="s">
        <v>110</v>
      </c>
      <c r="I3116">
        <v>4</v>
      </c>
      <c r="J3116" s="19">
        <f>WEEKNUM(tblRidershipData[[#This Row],[MeasurementDate]])</f>
        <v>3</v>
      </c>
      <c r="K3116" s="19">
        <f>MONTH(tblRidershipData[[#This Row],[MeasurementDate]])</f>
        <v>1</v>
      </c>
    </row>
    <row r="3117" spans="1:11" x14ac:dyDescent="0.25">
      <c r="A3117" s="31">
        <v>43847</v>
      </c>
      <c r="B3117" t="s">
        <v>6</v>
      </c>
      <c r="C3117" s="31">
        <v>6551</v>
      </c>
      <c r="D3117" t="s">
        <v>91</v>
      </c>
      <c r="E3117" t="s">
        <v>111</v>
      </c>
      <c r="F3117">
        <v>1</v>
      </c>
      <c r="G3117" t="s">
        <v>52</v>
      </c>
      <c r="H3117" t="s">
        <v>112</v>
      </c>
      <c r="I3117">
        <v>11</v>
      </c>
      <c r="J3117" s="19">
        <f>WEEKNUM(tblRidershipData[[#This Row],[MeasurementDate]])</f>
        <v>3</v>
      </c>
      <c r="K3117" s="19">
        <f>MONTH(tblRidershipData[[#This Row],[MeasurementDate]])</f>
        <v>1</v>
      </c>
    </row>
    <row r="3118" spans="1:11" x14ac:dyDescent="0.25">
      <c r="A3118" s="31">
        <v>43847</v>
      </c>
      <c r="B3118" t="s">
        <v>6</v>
      </c>
      <c r="C3118" s="31">
        <v>6551</v>
      </c>
      <c r="D3118" t="s">
        <v>91</v>
      </c>
      <c r="E3118" t="s">
        <v>111</v>
      </c>
      <c r="F3118">
        <v>1</v>
      </c>
      <c r="G3118" t="s">
        <v>54</v>
      </c>
      <c r="H3118" t="s">
        <v>112</v>
      </c>
      <c r="I3118">
        <v>9</v>
      </c>
      <c r="J3118" s="19">
        <f>WEEKNUM(tblRidershipData[[#This Row],[MeasurementDate]])</f>
        <v>3</v>
      </c>
      <c r="K3118" s="19">
        <f>MONTH(tblRidershipData[[#This Row],[MeasurementDate]])</f>
        <v>1</v>
      </c>
    </row>
    <row r="3119" spans="1:11" x14ac:dyDescent="0.25">
      <c r="A3119" s="31">
        <v>43847</v>
      </c>
      <c r="B3119" t="s">
        <v>6</v>
      </c>
      <c r="C3119" s="31">
        <v>6551</v>
      </c>
      <c r="D3119" t="s">
        <v>91</v>
      </c>
      <c r="E3119" t="s">
        <v>111</v>
      </c>
      <c r="F3119">
        <v>1</v>
      </c>
      <c r="G3119" t="s">
        <v>64</v>
      </c>
      <c r="H3119" t="s">
        <v>112</v>
      </c>
      <c r="I3119">
        <v>5</v>
      </c>
      <c r="J3119" s="19">
        <f>WEEKNUM(tblRidershipData[[#This Row],[MeasurementDate]])</f>
        <v>3</v>
      </c>
      <c r="K3119" s="19">
        <f>MONTH(tblRidershipData[[#This Row],[MeasurementDate]])</f>
        <v>1</v>
      </c>
    </row>
    <row r="3120" spans="1:11" x14ac:dyDescent="0.25">
      <c r="A3120" s="31">
        <v>43847</v>
      </c>
      <c r="B3120" t="s">
        <v>6</v>
      </c>
      <c r="C3120" s="31">
        <v>6551</v>
      </c>
      <c r="D3120" t="s">
        <v>91</v>
      </c>
      <c r="E3120" t="s">
        <v>111</v>
      </c>
      <c r="F3120">
        <v>1</v>
      </c>
      <c r="G3120" t="s">
        <v>67</v>
      </c>
      <c r="H3120" t="s">
        <v>112</v>
      </c>
      <c r="I3120">
        <v>10</v>
      </c>
      <c r="J3120" s="19">
        <f>WEEKNUM(tblRidershipData[[#This Row],[MeasurementDate]])</f>
        <v>3</v>
      </c>
      <c r="K3120" s="19">
        <f>MONTH(tblRidershipData[[#This Row],[MeasurementDate]])</f>
        <v>1</v>
      </c>
    </row>
    <row r="3121" spans="1:11" x14ac:dyDescent="0.25">
      <c r="A3121" s="31">
        <v>43847</v>
      </c>
      <c r="B3121" t="s">
        <v>6</v>
      </c>
      <c r="C3121" s="31">
        <v>6551</v>
      </c>
      <c r="D3121" t="s">
        <v>91</v>
      </c>
      <c r="E3121" t="s">
        <v>111</v>
      </c>
      <c r="F3121">
        <v>1</v>
      </c>
      <c r="G3121" t="s">
        <v>72</v>
      </c>
      <c r="H3121" t="s">
        <v>112</v>
      </c>
      <c r="I3121">
        <v>5</v>
      </c>
      <c r="J3121" s="19">
        <f>WEEKNUM(tblRidershipData[[#This Row],[MeasurementDate]])</f>
        <v>3</v>
      </c>
      <c r="K3121" s="19">
        <f>MONTH(tblRidershipData[[#This Row],[MeasurementDate]])</f>
        <v>1</v>
      </c>
    </row>
    <row r="3122" spans="1:11" x14ac:dyDescent="0.25">
      <c r="A3122" s="31">
        <v>43847</v>
      </c>
      <c r="B3122" t="s">
        <v>6</v>
      </c>
      <c r="C3122" s="31">
        <v>6551</v>
      </c>
      <c r="D3122" t="s">
        <v>91</v>
      </c>
      <c r="E3122" t="s">
        <v>111</v>
      </c>
      <c r="F3122">
        <v>1</v>
      </c>
      <c r="G3122" t="s">
        <v>74</v>
      </c>
      <c r="H3122" t="s">
        <v>112</v>
      </c>
      <c r="I3122">
        <v>21</v>
      </c>
      <c r="J3122" s="19">
        <f>WEEKNUM(tblRidershipData[[#This Row],[MeasurementDate]])</f>
        <v>3</v>
      </c>
      <c r="K3122" s="19">
        <f>MONTH(tblRidershipData[[#This Row],[MeasurementDate]])</f>
        <v>1</v>
      </c>
    </row>
    <row r="3123" spans="1:11" x14ac:dyDescent="0.25">
      <c r="A3123" s="31">
        <v>43847</v>
      </c>
      <c r="B3123" t="s">
        <v>6</v>
      </c>
      <c r="C3123" s="31">
        <v>6551</v>
      </c>
      <c r="D3123" t="s">
        <v>91</v>
      </c>
      <c r="E3123" t="s">
        <v>111</v>
      </c>
      <c r="F3123">
        <v>2</v>
      </c>
      <c r="G3123" t="s">
        <v>50</v>
      </c>
      <c r="H3123" t="s">
        <v>112</v>
      </c>
      <c r="I3123">
        <v>6</v>
      </c>
      <c r="J3123" s="19">
        <f>WEEKNUM(tblRidershipData[[#This Row],[MeasurementDate]])</f>
        <v>3</v>
      </c>
      <c r="K3123" s="19">
        <f>MONTH(tblRidershipData[[#This Row],[MeasurementDate]])</f>
        <v>1</v>
      </c>
    </row>
    <row r="3124" spans="1:11" x14ac:dyDescent="0.25">
      <c r="A3124" s="31">
        <v>43847</v>
      </c>
      <c r="B3124" t="s">
        <v>6</v>
      </c>
      <c r="C3124" s="31">
        <v>6551</v>
      </c>
      <c r="D3124" t="s">
        <v>91</v>
      </c>
      <c r="E3124" t="s">
        <v>111</v>
      </c>
      <c r="F3124">
        <v>2</v>
      </c>
      <c r="G3124" t="s">
        <v>72</v>
      </c>
      <c r="H3124" t="s">
        <v>112</v>
      </c>
      <c r="I3124">
        <v>5</v>
      </c>
      <c r="J3124" s="19">
        <f>WEEKNUM(tblRidershipData[[#This Row],[MeasurementDate]])</f>
        <v>3</v>
      </c>
      <c r="K3124" s="19">
        <f>MONTH(tblRidershipData[[#This Row],[MeasurementDate]])</f>
        <v>1</v>
      </c>
    </row>
    <row r="3125" spans="1:11" x14ac:dyDescent="0.25">
      <c r="A3125" s="31">
        <v>43847</v>
      </c>
      <c r="B3125" t="s">
        <v>6</v>
      </c>
      <c r="C3125" s="31">
        <v>6551</v>
      </c>
      <c r="D3125" t="s">
        <v>91</v>
      </c>
      <c r="E3125" t="s">
        <v>109</v>
      </c>
      <c r="F3125">
        <v>1</v>
      </c>
      <c r="G3125" t="s">
        <v>45</v>
      </c>
      <c r="H3125" t="s">
        <v>112</v>
      </c>
      <c r="I3125">
        <v>9</v>
      </c>
      <c r="J3125" s="19">
        <f>WEEKNUM(tblRidershipData[[#This Row],[MeasurementDate]])</f>
        <v>3</v>
      </c>
      <c r="K3125" s="19">
        <f>MONTH(tblRidershipData[[#This Row],[MeasurementDate]])</f>
        <v>1</v>
      </c>
    </row>
    <row r="3126" spans="1:11" x14ac:dyDescent="0.25">
      <c r="A3126" s="31">
        <v>43847</v>
      </c>
      <c r="B3126" t="s">
        <v>6</v>
      </c>
      <c r="C3126" s="31">
        <v>6551</v>
      </c>
      <c r="D3126" t="s">
        <v>91</v>
      </c>
      <c r="E3126" t="s">
        <v>109</v>
      </c>
      <c r="F3126">
        <v>1</v>
      </c>
      <c r="G3126" t="s">
        <v>47</v>
      </c>
      <c r="H3126" t="s">
        <v>112</v>
      </c>
      <c r="I3126">
        <v>5</v>
      </c>
      <c r="J3126" s="19">
        <f>WEEKNUM(tblRidershipData[[#This Row],[MeasurementDate]])</f>
        <v>3</v>
      </c>
      <c r="K3126" s="19">
        <f>MONTH(tblRidershipData[[#This Row],[MeasurementDate]])</f>
        <v>1</v>
      </c>
    </row>
    <row r="3127" spans="1:11" x14ac:dyDescent="0.25">
      <c r="A3127" s="31">
        <v>43847</v>
      </c>
      <c r="B3127" t="s">
        <v>6</v>
      </c>
      <c r="C3127" s="31">
        <v>6551</v>
      </c>
      <c r="D3127" t="s">
        <v>91</v>
      </c>
      <c r="E3127" t="s">
        <v>109</v>
      </c>
      <c r="F3127">
        <v>1</v>
      </c>
      <c r="G3127" t="s">
        <v>50</v>
      </c>
      <c r="H3127" t="s">
        <v>112</v>
      </c>
      <c r="I3127">
        <v>5</v>
      </c>
      <c r="J3127" s="19">
        <f>WEEKNUM(tblRidershipData[[#This Row],[MeasurementDate]])</f>
        <v>3</v>
      </c>
      <c r="K3127" s="19">
        <f>MONTH(tblRidershipData[[#This Row],[MeasurementDate]])</f>
        <v>1</v>
      </c>
    </row>
    <row r="3128" spans="1:11" x14ac:dyDescent="0.25">
      <c r="A3128" s="31">
        <v>43847</v>
      </c>
      <c r="B3128" t="s">
        <v>6</v>
      </c>
      <c r="C3128" s="31">
        <v>6551</v>
      </c>
      <c r="D3128" t="s">
        <v>91</v>
      </c>
      <c r="E3128" t="s">
        <v>109</v>
      </c>
      <c r="F3128">
        <v>1</v>
      </c>
      <c r="G3128" t="s">
        <v>52</v>
      </c>
      <c r="H3128" t="s">
        <v>112</v>
      </c>
      <c r="I3128">
        <v>2</v>
      </c>
      <c r="J3128" s="19">
        <f>WEEKNUM(tblRidershipData[[#This Row],[MeasurementDate]])</f>
        <v>3</v>
      </c>
      <c r="K3128" s="19">
        <f>MONTH(tblRidershipData[[#This Row],[MeasurementDate]])</f>
        <v>1</v>
      </c>
    </row>
    <row r="3129" spans="1:11" x14ac:dyDescent="0.25">
      <c r="A3129" s="31">
        <v>43847</v>
      </c>
      <c r="B3129" t="s">
        <v>6</v>
      </c>
      <c r="C3129" s="31">
        <v>6551</v>
      </c>
      <c r="D3129" t="s">
        <v>91</v>
      </c>
      <c r="E3129" t="s">
        <v>109</v>
      </c>
      <c r="F3129">
        <v>1</v>
      </c>
      <c r="G3129" t="s">
        <v>54</v>
      </c>
      <c r="H3129" t="s">
        <v>112</v>
      </c>
      <c r="I3129">
        <v>6</v>
      </c>
      <c r="J3129" s="19">
        <f>WEEKNUM(tblRidershipData[[#This Row],[MeasurementDate]])</f>
        <v>3</v>
      </c>
      <c r="K3129" s="19">
        <f>MONTH(tblRidershipData[[#This Row],[MeasurementDate]])</f>
        <v>1</v>
      </c>
    </row>
    <row r="3130" spans="1:11" x14ac:dyDescent="0.25">
      <c r="A3130" s="31">
        <v>43847</v>
      </c>
      <c r="B3130" t="s">
        <v>6</v>
      </c>
      <c r="C3130" s="31">
        <v>6551</v>
      </c>
      <c r="D3130" t="s">
        <v>91</v>
      </c>
      <c r="E3130" t="s">
        <v>109</v>
      </c>
      <c r="F3130">
        <v>1</v>
      </c>
      <c r="G3130" t="s">
        <v>56</v>
      </c>
      <c r="H3130" t="s">
        <v>112</v>
      </c>
      <c r="I3130">
        <v>2</v>
      </c>
      <c r="J3130" s="19">
        <f>WEEKNUM(tblRidershipData[[#This Row],[MeasurementDate]])</f>
        <v>3</v>
      </c>
      <c r="K3130" s="19">
        <f>MONTH(tblRidershipData[[#This Row],[MeasurementDate]])</f>
        <v>1</v>
      </c>
    </row>
    <row r="3131" spans="1:11" x14ac:dyDescent="0.25">
      <c r="A3131" s="31">
        <v>43847</v>
      </c>
      <c r="B3131" t="s">
        <v>6</v>
      </c>
      <c r="C3131" s="31">
        <v>6551</v>
      </c>
      <c r="D3131" t="s">
        <v>91</v>
      </c>
      <c r="E3131" t="s">
        <v>109</v>
      </c>
      <c r="F3131">
        <v>1</v>
      </c>
      <c r="G3131" t="s">
        <v>58</v>
      </c>
      <c r="H3131" t="s">
        <v>112</v>
      </c>
      <c r="I3131">
        <v>2</v>
      </c>
      <c r="J3131" s="19">
        <f>WEEKNUM(tblRidershipData[[#This Row],[MeasurementDate]])</f>
        <v>3</v>
      </c>
      <c r="K3131" s="19">
        <f>MONTH(tblRidershipData[[#This Row],[MeasurementDate]])</f>
        <v>1</v>
      </c>
    </row>
    <row r="3132" spans="1:11" x14ac:dyDescent="0.25">
      <c r="A3132" s="31">
        <v>43847</v>
      </c>
      <c r="B3132" t="s">
        <v>6</v>
      </c>
      <c r="C3132" s="31">
        <v>6551</v>
      </c>
      <c r="D3132" t="s">
        <v>91</v>
      </c>
      <c r="E3132" t="s">
        <v>109</v>
      </c>
      <c r="F3132">
        <v>1</v>
      </c>
      <c r="G3132" t="s">
        <v>61</v>
      </c>
      <c r="H3132" t="s">
        <v>112</v>
      </c>
      <c r="I3132">
        <v>7</v>
      </c>
      <c r="J3132" s="19">
        <f>WEEKNUM(tblRidershipData[[#This Row],[MeasurementDate]])</f>
        <v>3</v>
      </c>
      <c r="K3132" s="19">
        <f>MONTH(tblRidershipData[[#This Row],[MeasurementDate]])</f>
        <v>1</v>
      </c>
    </row>
    <row r="3133" spans="1:11" x14ac:dyDescent="0.25">
      <c r="A3133" s="31">
        <v>43847</v>
      </c>
      <c r="B3133" t="s">
        <v>6</v>
      </c>
      <c r="C3133" s="31">
        <v>6551</v>
      </c>
      <c r="D3133" t="s">
        <v>91</v>
      </c>
      <c r="E3133" t="s">
        <v>109</v>
      </c>
      <c r="F3133">
        <v>1</v>
      </c>
      <c r="G3133" t="s">
        <v>62</v>
      </c>
      <c r="H3133" t="s">
        <v>112</v>
      </c>
      <c r="I3133">
        <v>6</v>
      </c>
      <c r="J3133" s="19">
        <f>WEEKNUM(tblRidershipData[[#This Row],[MeasurementDate]])</f>
        <v>3</v>
      </c>
      <c r="K3133" s="19">
        <f>MONTH(tblRidershipData[[#This Row],[MeasurementDate]])</f>
        <v>1</v>
      </c>
    </row>
    <row r="3134" spans="1:11" x14ac:dyDescent="0.25">
      <c r="A3134" s="31">
        <v>43847</v>
      </c>
      <c r="B3134" t="s">
        <v>6</v>
      </c>
      <c r="C3134" s="31">
        <v>6551</v>
      </c>
      <c r="D3134" t="s">
        <v>91</v>
      </c>
      <c r="E3134" t="s">
        <v>109</v>
      </c>
      <c r="F3134">
        <v>1</v>
      </c>
      <c r="G3134" t="s">
        <v>64</v>
      </c>
      <c r="H3134" t="s">
        <v>112</v>
      </c>
      <c r="I3134">
        <v>2</v>
      </c>
      <c r="J3134" s="19">
        <f>WEEKNUM(tblRidershipData[[#This Row],[MeasurementDate]])</f>
        <v>3</v>
      </c>
      <c r="K3134" s="19">
        <f>MONTH(tblRidershipData[[#This Row],[MeasurementDate]])</f>
        <v>1</v>
      </c>
    </row>
    <row r="3135" spans="1:11" x14ac:dyDescent="0.25">
      <c r="A3135" s="31">
        <v>43847</v>
      </c>
      <c r="B3135" t="s">
        <v>6</v>
      </c>
      <c r="C3135" s="31">
        <v>6551</v>
      </c>
      <c r="D3135" t="s">
        <v>91</v>
      </c>
      <c r="E3135" t="s">
        <v>109</v>
      </c>
      <c r="F3135">
        <v>1</v>
      </c>
      <c r="G3135" t="s">
        <v>67</v>
      </c>
      <c r="H3135" t="s">
        <v>112</v>
      </c>
      <c r="I3135">
        <v>2</v>
      </c>
      <c r="J3135" s="19">
        <f>WEEKNUM(tblRidershipData[[#This Row],[MeasurementDate]])</f>
        <v>3</v>
      </c>
      <c r="K3135" s="19">
        <f>MONTH(tblRidershipData[[#This Row],[MeasurementDate]])</f>
        <v>1</v>
      </c>
    </row>
    <row r="3136" spans="1:11" x14ac:dyDescent="0.25">
      <c r="A3136" s="31">
        <v>43847</v>
      </c>
      <c r="B3136" t="s">
        <v>6</v>
      </c>
      <c r="C3136" s="31">
        <v>6551</v>
      </c>
      <c r="D3136" t="s">
        <v>91</v>
      </c>
      <c r="E3136" t="s">
        <v>109</v>
      </c>
      <c r="F3136">
        <v>1</v>
      </c>
      <c r="G3136" t="s">
        <v>69</v>
      </c>
      <c r="H3136" t="s">
        <v>112</v>
      </c>
      <c r="I3136">
        <v>3</v>
      </c>
      <c r="J3136" s="19">
        <f>WEEKNUM(tblRidershipData[[#This Row],[MeasurementDate]])</f>
        <v>3</v>
      </c>
      <c r="K3136" s="19">
        <f>MONTH(tblRidershipData[[#This Row],[MeasurementDate]])</f>
        <v>1</v>
      </c>
    </row>
    <row r="3137" spans="1:11" x14ac:dyDescent="0.25">
      <c r="A3137" s="31">
        <v>43847</v>
      </c>
      <c r="B3137" t="s">
        <v>6</v>
      </c>
      <c r="C3137" s="31">
        <v>6551</v>
      </c>
      <c r="D3137" t="s">
        <v>91</v>
      </c>
      <c r="E3137" t="s">
        <v>109</v>
      </c>
      <c r="F3137">
        <v>1</v>
      </c>
      <c r="G3137" t="s">
        <v>73</v>
      </c>
      <c r="H3137" t="s">
        <v>112</v>
      </c>
      <c r="I3137">
        <v>9</v>
      </c>
      <c r="J3137" s="19">
        <f>WEEKNUM(tblRidershipData[[#This Row],[MeasurementDate]])</f>
        <v>3</v>
      </c>
      <c r="K3137" s="19">
        <f>MONTH(tblRidershipData[[#This Row],[MeasurementDate]])</f>
        <v>1</v>
      </c>
    </row>
    <row r="3138" spans="1:11" x14ac:dyDescent="0.25">
      <c r="A3138" s="31">
        <v>43847</v>
      </c>
      <c r="B3138" t="s">
        <v>6</v>
      </c>
      <c r="C3138" s="31">
        <v>6551</v>
      </c>
      <c r="D3138" t="s">
        <v>91</v>
      </c>
      <c r="E3138" t="s">
        <v>109</v>
      </c>
      <c r="F3138">
        <v>2</v>
      </c>
      <c r="G3138" t="s">
        <v>45</v>
      </c>
      <c r="H3138" t="s">
        <v>112</v>
      </c>
      <c r="I3138">
        <v>1</v>
      </c>
      <c r="J3138" s="19">
        <f>WEEKNUM(tblRidershipData[[#This Row],[MeasurementDate]])</f>
        <v>3</v>
      </c>
      <c r="K3138" s="19">
        <f>MONTH(tblRidershipData[[#This Row],[MeasurementDate]])</f>
        <v>1</v>
      </c>
    </row>
    <row r="3139" spans="1:11" x14ac:dyDescent="0.25">
      <c r="A3139" s="31">
        <v>43847</v>
      </c>
      <c r="B3139" t="s">
        <v>6</v>
      </c>
      <c r="C3139" s="31">
        <v>6551</v>
      </c>
      <c r="D3139" t="s">
        <v>91</v>
      </c>
      <c r="E3139" t="s">
        <v>109</v>
      </c>
      <c r="F3139">
        <v>2</v>
      </c>
      <c r="G3139" t="s">
        <v>54</v>
      </c>
      <c r="H3139" t="s">
        <v>112</v>
      </c>
      <c r="I3139">
        <v>5</v>
      </c>
      <c r="J3139" s="19">
        <f>WEEKNUM(tblRidershipData[[#This Row],[MeasurementDate]])</f>
        <v>3</v>
      </c>
      <c r="K3139" s="19">
        <f>MONTH(tblRidershipData[[#This Row],[MeasurementDate]])</f>
        <v>1</v>
      </c>
    </row>
    <row r="3140" spans="1:11" x14ac:dyDescent="0.25">
      <c r="A3140" s="31">
        <v>43847</v>
      </c>
      <c r="B3140" t="s">
        <v>6</v>
      </c>
      <c r="C3140" s="31">
        <v>6551</v>
      </c>
      <c r="D3140" t="s">
        <v>91</v>
      </c>
      <c r="E3140" t="s">
        <v>109</v>
      </c>
      <c r="F3140">
        <v>2</v>
      </c>
      <c r="G3140" t="s">
        <v>62</v>
      </c>
      <c r="H3140" t="s">
        <v>112</v>
      </c>
      <c r="I3140">
        <v>1</v>
      </c>
      <c r="J3140" s="19">
        <f>WEEKNUM(tblRidershipData[[#This Row],[MeasurementDate]])</f>
        <v>3</v>
      </c>
      <c r="K3140" s="19">
        <f>MONTH(tblRidershipData[[#This Row],[MeasurementDate]])</f>
        <v>1</v>
      </c>
    </row>
    <row r="3141" spans="1:11" x14ac:dyDescent="0.25">
      <c r="A3141" s="31">
        <v>43847</v>
      </c>
      <c r="B3141" t="s">
        <v>6</v>
      </c>
      <c r="C3141" s="31">
        <v>6551</v>
      </c>
      <c r="D3141" t="s">
        <v>91</v>
      </c>
      <c r="E3141" t="s">
        <v>109</v>
      </c>
      <c r="F3141">
        <v>2</v>
      </c>
      <c r="G3141" t="s">
        <v>64</v>
      </c>
      <c r="H3141" t="s">
        <v>112</v>
      </c>
      <c r="I3141">
        <v>3</v>
      </c>
      <c r="J3141" s="19">
        <f>WEEKNUM(tblRidershipData[[#This Row],[MeasurementDate]])</f>
        <v>3</v>
      </c>
      <c r="K3141" s="19">
        <f>MONTH(tblRidershipData[[#This Row],[MeasurementDate]])</f>
        <v>1</v>
      </c>
    </row>
    <row r="3142" spans="1:11" x14ac:dyDescent="0.25">
      <c r="A3142" s="31">
        <v>43847</v>
      </c>
      <c r="B3142" t="s">
        <v>6</v>
      </c>
      <c r="C3142" s="31">
        <v>6551</v>
      </c>
      <c r="D3142" t="s">
        <v>91</v>
      </c>
      <c r="E3142" t="s">
        <v>109</v>
      </c>
      <c r="F3142">
        <v>2</v>
      </c>
      <c r="G3142" t="s">
        <v>67</v>
      </c>
      <c r="H3142" t="s">
        <v>112</v>
      </c>
      <c r="I3142">
        <v>5</v>
      </c>
      <c r="J3142" s="19">
        <f>WEEKNUM(tblRidershipData[[#This Row],[MeasurementDate]])</f>
        <v>3</v>
      </c>
      <c r="K3142" s="19">
        <f>MONTH(tblRidershipData[[#This Row],[MeasurementDate]])</f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8"/>
  <sheetViews>
    <sheetView workbookViewId="0">
      <selection activeCell="C27" sqref="C27"/>
    </sheetView>
  </sheetViews>
  <sheetFormatPr defaultRowHeight="15" x14ac:dyDescent="0.25"/>
  <cols>
    <col min="1" max="1" width="35.85546875" bestFit="1" customWidth="1"/>
    <col min="5" max="5" width="16.42578125" bestFit="1" customWidth="1"/>
    <col min="8" max="8" width="9.85546875" customWidth="1"/>
  </cols>
  <sheetData>
    <row r="1" spans="1:12" x14ac:dyDescent="0.25">
      <c r="A1" s="1" t="s">
        <v>0</v>
      </c>
      <c r="C1" s="1" t="s">
        <v>1</v>
      </c>
      <c r="E1" s="1" t="s">
        <v>15</v>
      </c>
    </row>
    <row r="2" spans="1:12" x14ac:dyDescent="0.25">
      <c r="A2" s="2" t="s">
        <v>42</v>
      </c>
      <c r="C2" s="2" t="s">
        <v>2</v>
      </c>
      <c r="E2" s="2" t="s">
        <v>79</v>
      </c>
      <c r="K2" t="s">
        <v>27</v>
      </c>
    </row>
    <row r="3" spans="1:12" x14ac:dyDescent="0.25">
      <c r="A3" s="2" t="s">
        <v>43</v>
      </c>
      <c r="C3" s="2" t="s">
        <v>3</v>
      </c>
      <c r="E3" s="2" t="s">
        <v>80</v>
      </c>
      <c r="K3">
        <v>1</v>
      </c>
      <c r="L3" t="s">
        <v>28</v>
      </c>
    </row>
    <row r="4" spans="1:12" x14ac:dyDescent="0.25">
      <c r="A4" s="2" t="s">
        <v>44</v>
      </c>
      <c r="C4" s="2" t="s">
        <v>4</v>
      </c>
      <c r="E4" s="2" t="s">
        <v>81</v>
      </c>
      <c r="K4">
        <v>2</v>
      </c>
      <c r="L4" t="s">
        <v>29</v>
      </c>
    </row>
    <row r="5" spans="1:12" x14ac:dyDescent="0.25">
      <c r="A5" s="2" t="s">
        <v>45</v>
      </c>
      <c r="C5" s="2" t="s">
        <v>5</v>
      </c>
      <c r="E5" s="2" t="s">
        <v>82</v>
      </c>
      <c r="K5">
        <v>3</v>
      </c>
      <c r="L5" t="s">
        <v>30</v>
      </c>
    </row>
    <row r="6" spans="1:12" x14ac:dyDescent="0.25">
      <c r="A6" s="2" t="s">
        <v>46</v>
      </c>
      <c r="C6" s="2" t="s">
        <v>6</v>
      </c>
      <c r="E6" s="2" t="s">
        <v>83</v>
      </c>
      <c r="K6">
        <v>4</v>
      </c>
      <c r="L6" t="s">
        <v>31</v>
      </c>
    </row>
    <row r="7" spans="1:12" x14ac:dyDescent="0.25">
      <c r="A7" s="2" t="s">
        <v>47</v>
      </c>
      <c r="E7" s="2" t="s">
        <v>84</v>
      </c>
    </row>
    <row r="8" spans="1:12" x14ac:dyDescent="0.25">
      <c r="A8" s="2" t="s">
        <v>48</v>
      </c>
      <c r="E8" s="2" t="s">
        <v>85</v>
      </c>
    </row>
    <row r="9" spans="1:12" x14ac:dyDescent="0.25">
      <c r="A9" s="2" t="s">
        <v>49</v>
      </c>
      <c r="E9" s="2" t="s">
        <v>86</v>
      </c>
    </row>
    <row r="10" spans="1:12" x14ac:dyDescent="0.25">
      <c r="A10" s="2" t="s">
        <v>50</v>
      </c>
      <c r="E10" s="2" t="s">
        <v>87</v>
      </c>
    </row>
    <row r="11" spans="1:12" x14ac:dyDescent="0.25">
      <c r="A11" s="2" t="s">
        <v>51</v>
      </c>
      <c r="E11" s="2" t="s">
        <v>88</v>
      </c>
    </row>
    <row r="12" spans="1:12" x14ac:dyDescent="0.25">
      <c r="A12" s="2" t="s">
        <v>52</v>
      </c>
      <c r="E12" s="2" t="s">
        <v>89</v>
      </c>
    </row>
    <row r="13" spans="1:12" x14ac:dyDescent="0.25">
      <c r="A13" s="2" t="s">
        <v>53</v>
      </c>
      <c r="E13" s="2" t="s">
        <v>90</v>
      </c>
    </row>
    <row r="14" spans="1:12" x14ac:dyDescent="0.25">
      <c r="A14" s="2" t="s">
        <v>54</v>
      </c>
      <c r="E14" s="2" t="s">
        <v>105</v>
      </c>
    </row>
    <row r="15" spans="1:12" x14ac:dyDescent="0.25">
      <c r="A15" s="2" t="s">
        <v>55</v>
      </c>
      <c r="E15" s="2" t="s">
        <v>103</v>
      </c>
    </row>
    <row r="16" spans="1:12" x14ac:dyDescent="0.25">
      <c r="A16" s="2" t="s">
        <v>56</v>
      </c>
      <c r="E16" s="2" t="s">
        <v>104</v>
      </c>
    </row>
    <row r="17" spans="1:5" x14ac:dyDescent="0.25">
      <c r="A17" s="2" t="s">
        <v>57</v>
      </c>
      <c r="E17" s="2" t="s">
        <v>91</v>
      </c>
    </row>
    <row r="18" spans="1:5" x14ac:dyDescent="0.25">
      <c r="A18" s="2" t="s">
        <v>58</v>
      </c>
      <c r="E18" s="2" t="s">
        <v>92</v>
      </c>
    </row>
    <row r="19" spans="1:5" x14ac:dyDescent="0.25">
      <c r="A19" s="2" t="s">
        <v>59</v>
      </c>
      <c r="E19" s="2" t="s">
        <v>93</v>
      </c>
    </row>
    <row r="20" spans="1:5" x14ac:dyDescent="0.25">
      <c r="A20" s="2" t="s">
        <v>60</v>
      </c>
      <c r="E20" s="2" t="s">
        <v>94</v>
      </c>
    </row>
    <row r="21" spans="1:5" x14ac:dyDescent="0.25">
      <c r="A21" s="2" t="s">
        <v>61</v>
      </c>
      <c r="E21" s="2" t="s">
        <v>95</v>
      </c>
    </row>
    <row r="22" spans="1:5" x14ac:dyDescent="0.25">
      <c r="A22" s="2" t="s">
        <v>62</v>
      </c>
      <c r="E22" s="2" t="s">
        <v>96</v>
      </c>
    </row>
    <row r="23" spans="1:5" x14ac:dyDescent="0.25">
      <c r="A23" s="2" t="s">
        <v>63</v>
      </c>
      <c r="E23" s="2" t="s">
        <v>97</v>
      </c>
    </row>
    <row r="24" spans="1:5" x14ac:dyDescent="0.25">
      <c r="A24" s="2" t="s">
        <v>64</v>
      </c>
      <c r="E24" s="2" t="s">
        <v>98</v>
      </c>
    </row>
    <row r="25" spans="1:5" x14ac:dyDescent="0.25">
      <c r="A25" s="2" t="s">
        <v>65</v>
      </c>
      <c r="E25" s="2" t="s">
        <v>99</v>
      </c>
    </row>
    <row r="26" spans="1:5" x14ac:dyDescent="0.25">
      <c r="A26" s="2" t="s">
        <v>66</v>
      </c>
      <c r="E26" s="2" t="s">
        <v>100</v>
      </c>
    </row>
    <row r="27" spans="1:5" x14ac:dyDescent="0.25">
      <c r="A27" s="2" t="s">
        <v>67</v>
      </c>
      <c r="E27" s="2" t="s">
        <v>101</v>
      </c>
    </row>
    <row r="28" spans="1:5" x14ac:dyDescent="0.25">
      <c r="A28" s="2" t="s">
        <v>68</v>
      </c>
      <c r="E28" s="2" t="s">
        <v>102</v>
      </c>
    </row>
    <row r="29" spans="1:5" x14ac:dyDescent="0.25">
      <c r="A29" s="2" t="s">
        <v>69</v>
      </c>
      <c r="E29" s="2" t="s">
        <v>106</v>
      </c>
    </row>
    <row r="30" spans="1:5" x14ac:dyDescent="0.25">
      <c r="A30" s="2" t="s">
        <v>70</v>
      </c>
      <c r="E30" s="2" t="s">
        <v>107</v>
      </c>
    </row>
    <row r="31" spans="1:5" x14ac:dyDescent="0.25">
      <c r="A31" s="2" t="s">
        <v>71</v>
      </c>
      <c r="E31" s="2" t="s">
        <v>108</v>
      </c>
    </row>
    <row r="32" spans="1:5" x14ac:dyDescent="0.25">
      <c r="A32" s="2" t="s">
        <v>72</v>
      </c>
    </row>
    <row r="33" spans="1:1" x14ac:dyDescent="0.25">
      <c r="A33" s="2" t="s">
        <v>73</v>
      </c>
    </row>
    <row r="34" spans="1:1" x14ac:dyDescent="0.25">
      <c r="A34" s="2" t="s">
        <v>74</v>
      </c>
    </row>
    <row r="35" spans="1:1" x14ac:dyDescent="0.25">
      <c r="A35" s="2" t="s">
        <v>75</v>
      </c>
    </row>
    <row r="36" spans="1:1" x14ac:dyDescent="0.25">
      <c r="A36" s="2" t="s">
        <v>76</v>
      </c>
    </row>
    <row r="37" spans="1:1" x14ac:dyDescent="0.25">
      <c r="A37" s="2" t="s">
        <v>77</v>
      </c>
    </row>
    <row r="38" spans="1:1" x14ac:dyDescent="0.25">
      <c r="A38" s="2" t="s">
        <v>78</v>
      </c>
    </row>
  </sheetData>
  <sortState ref="B2:B24">
    <sortCondition ref="B2"/>
  </sortState>
  <pageMargins left="0.7" right="0.7" top="0.75" bottom="0.75" header="0.3" footer="0.3"/>
  <pageSetup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84"/>
  <sheetViews>
    <sheetView tabSelected="1" topLeftCell="L46" workbookViewId="0"/>
  </sheetViews>
  <sheetFormatPr defaultRowHeight="15" x14ac:dyDescent="0.25"/>
  <cols>
    <col min="1" max="1" width="17.42578125" customWidth="1"/>
    <col min="2" max="2" width="14.5703125" customWidth="1"/>
    <col min="3" max="6" width="12" customWidth="1"/>
    <col min="7" max="8" width="11.28515625" customWidth="1"/>
    <col min="9" max="12" width="12" customWidth="1"/>
    <col min="13" max="13" width="5" customWidth="1"/>
    <col min="14" max="14" width="29.85546875" customWidth="1"/>
    <col min="15" max="15" width="14.5703125" customWidth="1"/>
    <col min="16" max="20" width="12" customWidth="1"/>
    <col min="21" max="21" width="5.140625" customWidth="1"/>
    <col min="22" max="22" width="15.5703125" customWidth="1"/>
    <col min="23" max="23" width="14.5703125" customWidth="1"/>
    <col min="24" max="24" width="5.28515625" customWidth="1"/>
    <col min="25" max="25" width="4.7109375" customWidth="1"/>
    <col min="26" max="26" width="5" customWidth="1"/>
    <col min="27" max="28" width="11.28515625" customWidth="1"/>
    <col min="29" max="29" width="5" customWidth="1"/>
    <col min="30" max="30" width="29.85546875" customWidth="1"/>
    <col min="31" max="31" width="14.5703125" customWidth="1"/>
    <col min="32" max="32" width="5.28515625" customWidth="1"/>
    <col min="33" max="33" width="4.7109375" customWidth="1"/>
    <col min="34" max="34" width="5" customWidth="1"/>
    <col min="35" max="35" width="11.28515625" customWidth="1"/>
    <col min="36" max="36" width="11.28515625" bestFit="1" customWidth="1"/>
  </cols>
  <sheetData>
    <row r="1" spans="1:35" x14ac:dyDescent="0.25">
      <c r="A1" s="17" t="s">
        <v>26</v>
      </c>
      <c r="B1" t="s">
        <v>112</v>
      </c>
      <c r="N1" s="17" t="s">
        <v>26</v>
      </c>
      <c r="O1" t="s">
        <v>112</v>
      </c>
      <c r="V1" s="17" t="s">
        <v>26</v>
      </c>
      <c r="W1" t="s">
        <v>112</v>
      </c>
      <c r="AD1" s="17" t="s">
        <v>26</v>
      </c>
      <c r="AE1" t="s">
        <v>112</v>
      </c>
    </row>
    <row r="2" spans="1:35" x14ac:dyDescent="0.25">
      <c r="A2" s="17" t="s">
        <v>25</v>
      </c>
      <c r="B2" t="s">
        <v>111</v>
      </c>
      <c r="N2" s="17" t="s">
        <v>25</v>
      </c>
      <c r="O2" t="s">
        <v>111</v>
      </c>
      <c r="V2" s="17" t="s">
        <v>25</v>
      </c>
      <c r="W2" t="s">
        <v>111</v>
      </c>
      <c r="AD2" s="17" t="s">
        <v>25</v>
      </c>
      <c r="AE2" t="s">
        <v>111</v>
      </c>
    </row>
    <row r="3" spans="1:35" x14ac:dyDescent="0.25">
      <c r="A3" s="17" t="s">
        <v>35</v>
      </c>
      <c r="B3" t="s">
        <v>39</v>
      </c>
      <c r="N3" s="17" t="s">
        <v>35</v>
      </c>
      <c r="O3" t="s">
        <v>39</v>
      </c>
      <c r="V3" s="17" t="s">
        <v>35</v>
      </c>
      <c r="W3" t="s">
        <v>39</v>
      </c>
      <c r="AD3" s="17" t="s">
        <v>35</v>
      </c>
      <c r="AE3" t="s">
        <v>39</v>
      </c>
    </row>
    <row r="5" spans="1:35" x14ac:dyDescent="0.25">
      <c r="A5" s="17" t="s">
        <v>37</v>
      </c>
      <c r="B5" s="17" t="s">
        <v>18</v>
      </c>
      <c r="N5" s="17" t="s">
        <v>37</v>
      </c>
      <c r="O5" s="17" t="s">
        <v>18</v>
      </c>
      <c r="V5" s="17" t="s">
        <v>38</v>
      </c>
      <c r="W5" s="17" t="s">
        <v>18</v>
      </c>
      <c r="AD5" s="17" t="s">
        <v>38</v>
      </c>
      <c r="AE5" s="17" t="s">
        <v>18</v>
      </c>
    </row>
    <row r="6" spans="1:35" x14ac:dyDescent="0.25">
      <c r="A6" s="17" t="s">
        <v>13</v>
      </c>
      <c r="B6" t="s">
        <v>2</v>
      </c>
      <c r="C6" t="s">
        <v>4</v>
      </c>
      <c r="D6" t="s">
        <v>5</v>
      </c>
      <c r="E6" t="s">
        <v>6</v>
      </c>
      <c r="F6" t="s">
        <v>32</v>
      </c>
      <c r="N6" s="17" t="s">
        <v>13</v>
      </c>
      <c r="O6" t="s">
        <v>2</v>
      </c>
      <c r="P6" t="s">
        <v>4</v>
      </c>
      <c r="Q6" t="s">
        <v>5</v>
      </c>
      <c r="R6" t="s">
        <v>6</v>
      </c>
      <c r="S6" t="s">
        <v>32</v>
      </c>
      <c r="V6" s="17" t="s">
        <v>13</v>
      </c>
      <c r="W6" t="s">
        <v>2</v>
      </c>
      <c r="X6" t="s">
        <v>4</v>
      </c>
      <c r="Y6" t="s">
        <v>5</v>
      </c>
      <c r="Z6" t="s">
        <v>6</v>
      </c>
      <c r="AA6" t="s">
        <v>32</v>
      </c>
      <c r="AD6" s="17" t="s">
        <v>13</v>
      </c>
      <c r="AE6" t="s">
        <v>2</v>
      </c>
      <c r="AF6" t="s">
        <v>4</v>
      </c>
      <c r="AG6" t="s">
        <v>5</v>
      </c>
      <c r="AH6" t="s">
        <v>6</v>
      </c>
      <c r="AI6" t="s">
        <v>32</v>
      </c>
    </row>
    <row r="7" spans="1:35" x14ac:dyDescent="0.25">
      <c r="A7" s="18" t="s">
        <v>41</v>
      </c>
      <c r="B7" s="19">
        <v>9.4166666666666661</v>
      </c>
      <c r="C7" s="19"/>
      <c r="D7" s="19"/>
      <c r="E7" s="19"/>
      <c r="F7" s="19">
        <v>9.4166666666666661</v>
      </c>
      <c r="G7" s="19"/>
      <c r="H7" s="19"/>
      <c r="N7" s="18" t="s">
        <v>42</v>
      </c>
      <c r="O7" s="19">
        <v>7.5</v>
      </c>
      <c r="P7" s="19">
        <v>12</v>
      </c>
      <c r="Q7" s="19">
        <v>6.5</v>
      </c>
      <c r="R7" s="19">
        <v>4</v>
      </c>
      <c r="S7" s="19">
        <v>6.5</v>
      </c>
      <c r="V7" s="18" t="s">
        <v>41</v>
      </c>
      <c r="W7" s="19">
        <v>113</v>
      </c>
      <c r="X7" s="19"/>
      <c r="Y7" s="19"/>
      <c r="Z7" s="19"/>
      <c r="AA7" s="19">
        <v>113</v>
      </c>
      <c r="AD7" s="18" t="s">
        <v>42</v>
      </c>
      <c r="AE7" s="19">
        <v>15</v>
      </c>
      <c r="AF7" s="19">
        <v>12</v>
      </c>
      <c r="AG7" s="19">
        <v>13</v>
      </c>
      <c r="AH7" s="19">
        <v>12</v>
      </c>
      <c r="AI7" s="19">
        <v>52</v>
      </c>
    </row>
    <row r="8" spans="1:35" x14ac:dyDescent="0.25">
      <c r="A8" s="18" t="s">
        <v>80</v>
      </c>
      <c r="B8" s="19">
        <v>10.111111111111111</v>
      </c>
      <c r="C8" s="19">
        <v>10.199999999999999</v>
      </c>
      <c r="D8" s="19"/>
      <c r="E8" s="19">
        <v>9.375</v>
      </c>
      <c r="F8" s="19">
        <v>9.9259259259259256</v>
      </c>
      <c r="G8" s="19"/>
      <c r="H8" s="19"/>
      <c r="N8" s="18" t="s">
        <v>43</v>
      </c>
      <c r="O8" s="19">
        <v>8.3333333333333339</v>
      </c>
      <c r="P8" s="19">
        <v>13</v>
      </c>
      <c r="Q8" s="19">
        <v>10</v>
      </c>
      <c r="R8" s="19">
        <v>10</v>
      </c>
      <c r="S8" s="19">
        <v>10.111111111111111</v>
      </c>
      <c r="V8" s="18" t="s">
        <v>80</v>
      </c>
      <c r="W8" s="19">
        <v>91</v>
      </c>
      <c r="X8" s="19">
        <v>102</v>
      </c>
      <c r="Y8" s="19"/>
      <c r="Z8" s="19">
        <v>75</v>
      </c>
      <c r="AA8" s="19">
        <v>268</v>
      </c>
      <c r="AD8" s="18" t="s">
        <v>43</v>
      </c>
      <c r="AE8" s="19">
        <v>25</v>
      </c>
      <c r="AF8" s="19">
        <v>26</v>
      </c>
      <c r="AG8" s="19">
        <v>10</v>
      </c>
      <c r="AH8" s="19">
        <v>30</v>
      </c>
      <c r="AI8" s="19">
        <v>91</v>
      </c>
    </row>
    <row r="9" spans="1:35" x14ac:dyDescent="0.25">
      <c r="A9" s="18" t="s">
        <v>105</v>
      </c>
      <c r="B9" s="19">
        <v>8.6</v>
      </c>
      <c r="C9" s="19">
        <v>7.166666666666667</v>
      </c>
      <c r="D9" s="19">
        <v>13</v>
      </c>
      <c r="E9" s="19">
        <v>15.333333333333334</v>
      </c>
      <c r="F9" s="19">
        <v>9.304347826086957</v>
      </c>
      <c r="G9" s="19"/>
      <c r="H9" s="19"/>
      <c r="N9" s="18" t="s">
        <v>44</v>
      </c>
      <c r="O9" s="19">
        <v>6.1111111111111107</v>
      </c>
      <c r="P9" s="19">
        <v>7.1111111111111107</v>
      </c>
      <c r="Q9" s="19">
        <v>6.2</v>
      </c>
      <c r="R9" s="19">
        <v>6</v>
      </c>
      <c r="S9" s="19">
        <v>6.4137931034482758</v>
      </c>
      <c r="V9" s="18" t="s">
        <v>105</v>
      </c>
      <c r="W9" s="19">
        <v>43</v>
      </c>
      <c r="X9" s="19">
        <v>86</v>
      </c>
      <c r="Y9" s="19">
        <v>39</v>
      </c>
      <c r="Z9" s="19">
        <v>46</v>
      </c>
      <c r="AA9" s="19">
        <v>214</v>
      </c>
      <c r="AD9" s="18" t="s">
        <v>44</v>
      </c>
      <c r="AE9" s="19">
        <v>55</v>
      </c>
      <c r="AF9" s="19">
        <v>64</v>
      </c>
      <c r="AG9" s="19">
        <v>31</v>
      </c>
      <c r="AH9" s="19">
        <v>36</v>
      </c>
      <c r="AI9" s="19">
        <v>186</v>
      </c>
    </row>
    <row r="10" spans="1:35" x14ac:dyDescent="0.25">
      <c r="A10" s="18" t="s">
        <v>81</v>
      </c>
      <c r="B10" s="19">
        <v>5.875</v>
      </c>
      <c r="C10" s="19">
        <v>6.75</v>
      </c>
      <c r="D10" s="19">
        <v>16.2</v>
      </c>
      <c r="E10" s="19">
        <v>7.3636363636363633</v>
      </c>
      <c r="F10" s="19">
        <v>7.384615384615385</v>
      </c>
      <c r="G10" s="19"/>
      <c r="H10" s="19"/>
      <c r="N10" s="18" t="s">
        <v>46</v>
      </c>
      <c r="O10" s="19">
        <v>7.5</v>
      </c>
      <c r="P10" s="19">
        <v>9.25</v>
      </c>
      <c r="Q10" s="19">
        <v>2</v>
      </c>
      <c r="R10" s="19">
        <v>6</v>
      </c>
      <c r="S10" s="19">
        <v>6.7368421052631575</v>
      </c>
      <c r="V10" s="18" t="s">
        <v>81</v>
      </c>
      <c r="W10" s="19">
        <v>141</v>
      </c>
      <c r="X10" s="19">
        <v>81</v>
      </c>
      <c r="Y10" s="19">
        <v>81</v>
      </c>
      <c r="Z10" s="19">
        <v>81</v>
      </c>
      <c r="AA10" s="19">
        <v>384</v>
      </c>
      <c r="AD10" s="18" t="s">
        <v>46</v>
      </c>
      <c r="AE10" s="19">
        <v>45</v>
      </c>
      <c r="AF10" s="19">
        <v>37</v>
      </c>
      <c r="AG10" s="19">
        <v>4</v>
      </c>
      <c r="AH10" s="19">
        <v>42</v>
      </c>
      <c r="AI10" s="19">
        <v>128</v>
      </c>
    </row>
    <row r="11" spans="1:35" x14ac:dyDescent="0.25">
      <c r="A11" s="18" t="s">
        <v>79</v>
      </c>
      <c r="B11" s="19">
        <v>5.2</v>
      </c>
      <c r="C11" s="19">
        <v>6.25</v>
      </c>
      <c r="D11" s="19">
        <v>4.5</v>
      </c>
      <c r="E11" s="19">
        <v>4</v>
      </c>
      <c r="F11" s="19">
        <v>5.0625</v>
      </c>
      <c r="G11" s="19"/>
      <c r="H11" s="19"/>
      <c r="N11" s="18" t="s">
        <v>47</v>
      </c>
      <c r="O11" s="19"/>
      <c r="P11" s="19">
        <v>2</v>
      </c>
      <c r="Q11" s="19">
        <v>2</v>
      </c>
      <c r="R11" s="19">
        <v>2</v>
      </c>
      <c r="S11" s="19">
        <v>2</v>
      </c>
      <c r="V11" s="18" t="s">
        <v>79</v>
      </c>
      <c r="W11" s="19">
        <v>26</v>
      </c>
      <c r="X11" s="19">
        <v>25</v>
      </c>
      <c r="Y11" s="19">
        <v>18</v>
      </c>
      <c r="Z11" s="19">
        <v>12</v>
      </c>
      <c r="AA11" s="19">
        <v>81</v>
      </c>
      <c r="AD11" s="18" t="s">
        <v>47</v>
      </c>
      <c r="AE11" s="19"/>
      <c r="AF11" s="19">
        <v>6</v>
      </c>
      <c r="AG11" s="19">
        <v>2</v>
      </c>
      <c r="AH11" s="19">
        <v>4</v>
      </c>
      <c r="AI11" s="19">
        <v>12</v>
      </c>
    </row>
    <row r="12" spans="1:35" x14ac:dyDescent="0.25">
      <c r="A12" s="18" t="s">
        <v>88</v>
      </c>
      <c r="B12" s="19">
        <v>8.25</v>
      </c>
      <c r="C12" s="19">
        <v>8</v>
      </c>
      <c r="D12" s="19">
        <v>5.2222222222222223</v>
      </c>
      <c r="E12" s="19"/>
      <c r="F12" s="19">
        <v>6.666666666666667</v>
      </c>
      <c r="G12" s="19"/>
      <c r="H12" s="19"/>
      <c r="N12" s="18" t="s">
        <v>51</v>
      </c>
      <c r="O12" s="19">
        <v>13.5</v>
      </c>
      <c r="P12" s="19">
        <v>3.6666666666666665</v>
      </c>
      <c r="Q12" s="19">
        <v>11.5</v>
      </c>
      <c r="R12" s="19">
        <v>12</v>
      </c>
      <c r="S12" s="19">
        <v>10.181818181818182</v>
      </c>
      <c r="V12" s="18" t="s">
        <v>88</v>
      </c>
      <c r="W12" s="19">
        <v>33</v>
      </c>
      <c r="X12" s="19">
        <v>40</v>
      </c>
      <c r="Y12" s="19">
        <v>47</v>
      </c>
      <c r="Z12" s="19"/>
      <c r="AA12" s="19">
        <v>120</v>
      </c>
      <c r="AD12" s="18" t="s">
        <v>51</v>
      </c>
      <c r="AE12" s="19">
        <v>54</v>
      </c>
      <c r="AF12" s="19">
        <v>11</v>
      </c>
      <c r="AG12" s="19">
        <v>23</v>
      </c>
      <c r="AH12" s="19">
        <v>24</v>
      </c>
      <c r="AI12" s="19">
        <v>112</v>
      </c>
    </row>
    <row r="13" spans="1:35" x14ac:dyDescent="0.25">
      <c r="A13" s="18" t="s">
        <v>84</v>
      </c>
      <c r="B13" s="19">
        <v>6.625</v>
      </c>
      <c r="C13" s="19"/>
      <c r="D13" s="19"/>
      <c r="E13" s="19">
        <v>8.5</v>
      </c>
      <c r="F13" s="19">
        <v>7.4285714285714288</v>
      </c>
      <c r="G13" s="19"/>
      <c r="H13" s="19"/>
      <c r="N13" s="18" t="s">
        <v>52</v>
      </c>
      <c r="O13" s="19">
        <v>14.5</v>
      </c>
      <c r="P13" s="19">
        <v>12.5</v>
      </c>
      <c r="Q13" s="19">
        <v>16.899999999999999</v>
      </c>
      <c r="R13" s="19">
        <v>15.5</v>
      </c>
      <c r="S13" s="19">
        <v>15.131578947368421</v>
      </c>
      <c r="V13" s="18" t="s">
        <v>84</v>
      </c>
      <c r="W13" s="19">
        <v>53</v>
      </c>
      <c r="X13" s="19"/>
      <c r="Y13" s="19"/>
      <c r="Z13" s="19">
        <v>51</v>
      </c>
      <c r="AA13" s="19">
        <v>104</v>
      </c>
      <c r="AD13" s="18" t="s">
        <v>52</v>
      </c>
      <c r="AE13" s="19">
        <v>232</v>
      </c>
      <c r="AF13" s="19">
        <v>50</v>
      </c>
      <c r="AG13" s="19">
        <v>169</v>
      </c>
      <c r="AH13" s="19">
        <v>124</v>
      </c>
      <c r="AI13" s="19">
        <v>575</v>
      </c>
    </row>
    <row r="14" spans="1:35" x14ac:dyDescent="0.25">
      <c r="A14" s="18" t="s">
        <v>85</v>
      </c>
      <c r="B14" s="19">
        <v>9</v>
      </c>
      <c r="C14" s="19">
        <v>5.8571428571428568</v>
      </c>
      <c r="D14" s="19"/>
      <c r="E14" s="19">
        <v>4.75</v>
      </c>
      <c r="F14" s="19">
        <v>5.8888888888888893</v>
      </c>
      <c r="G14" s="19"/>
      <c r="H14" s="19"/>
      <c r="N14" s="18" t="s">
        <v>55</v>
      </c>
      <c r="O14" s="19">
        <v>4.5</v>
      </c>
      <c r="P14" s="19">
        <v>5</v>
      </c>
      <c r="Q14" s="19">
        <v>1</v>
      </c>
      <c r="R14" s="19">
        <v>5.4</v>
      </c>
      <c r="S14" s="19">
        <v>4.4761904761904763</v>
      </c>
      <c r="V14" s="18" t="s">
        <v>85</v>
      </c>
      <c r="W14" s="19">
        <v>27</v>
      </c>
      <c r="X14" s="19">
        <v>41</v>
      </c>
      <c r="Y14" s="19"/>
      <c r="Z14" s="19">
        <v>38</v>
      </c>
      <c r="AA14" s="19">
        <v>106</v>
      </c>
      <c r="AD14" s="18" t="s">
        <v>55</v>
      </c>
      <c r="AE14" s="19">
        <v>45</v>
      </c>
      <c r="AF14" s="19">
        <v>20</v>
      </c>
      <c r="AG14" s="19">
        <v>2</v>
      </c>
      <c r="AH14" s="19">
        <v>27</v>
      </c>
      <c r="AI14" s="19">
        <v>94</v>
      </c>
    </row>
    <row r="15" spans="1:35" x14ac:dyDescent="0.25">
      <c r="A15" s="18" t="s">
        <v>87</v>
      </c>
      <c r="B15" s="19">
        <v>9.8181818181818183</v>
      </c>
      <c r="C15" s="19"/>
      <c r="D15" s="19">
        <v>10.5</v>
      </c>
      <c r="E15" s="19">
        <v>11</v>
      </c>
      <c r="F15" s="19">
        <v>10.272727272727273</v>
      </c>
      <c r="G15" s="19"/>
      <c r="H15" s="19"/>
      <c r="N15" s="18" t="s">
        <v>57</v>
      </c>
      <c r="O15" s="19">
        <v>4.833333333333333</v>
      </c>
      <c r="P15" s="19">
        <v>6</v>
      </c>
      <c r="Q15" s="19">
        <v>6.75</v>
      </c>
      <c r="R15" s="19">
        <v>4.4000000000000004</v>
      </c>
      <c r="S15" s="19">
        <v>5.2941176470588234</v>
      </c>
      <c r="V15" s="18" t="s">
        <v>87</v>
      </c>
      <c r="W15" s="19">
        <v>108</v>
      </c>
      <c r="X15" s="19"/>
      <c r="Y15" s="19">
        <v>63</v>
      </c>
      <c r="Z15" s="19">
        <v>55</v>
      </c>
      <c r="AA15" s="19">
        <v>226</v>
      </c>
      <c r="AD15" s="18" t="s">
        <v>57</v>
      </c>
      <c r="AE15" s="19">
        <v>29</v>
      </c>
      <c r="AF15" s="19">
        <v>12</v>
      </c>
      <c r="AG15" s="19">
        <v>27</v>
      </c>
      <c r="AH15" s="19">
        <v>22</v>
      </c>
      <c r="AI15" s="19">
        <v>90</v>
      </c>
    </row>
    <row r="16" spans="1:35" x14ac:dyDescent="0.25">
      <c r="A16" s="18" t="s">
        <v>83</v>
      </c>
      <c r="B16" s="19">
        <v>7.5555555555555554</v>
      </c>
      <c r="C16" s="19">
        <v>7.166666666666667</v>
      </c>
      <c r="D16" s="19">
        <v>11</v>
      </c>
      <c r="E16" s="19">
        <v>9.1666666666666661</v>
      </c>
      <c r="F16" s="19">
        <v>8.5</v>
      </c>
      <c r="G16" s="19"/>
      <c r="H16" s="19"/>
      <c r="N16" s="18" t="s">
        <v>58</v>
      </c>
      <c r="O16" s="19"/>
      <c r="P16" s="19">
        <v>2</v>
      </c>
      <c r="Q16" s="19">
        <v>4</v>
      </c>
      <c r="R16" s="19">
        <v>5</v>
      </c>
      <c r="S16" s="19">
        <v>3.6666666666666665</v>
      </c>
      <c r="V16" s="18" t="s">
        <v>83</v>
      </c>
      <c r="W16" s="19">
        <v>68</v>
      </c>
      <c r="X16" s="19">
        <v>43</v>
      </c>
      <c r="Y16" s="19">
        <v>55</v>
      </c>
      <c r="Z16" s="19">
        <v>55</v>
      </c>
      <c r="AA16" s="19">
        <v>221</v>
      </c>
      <c r="AD16" s="18" t="s">
        <v>58</v>
      </c>
      <c r="AE16" s="19"/>
      <c r="AF16" s="19">
        <v>2</v>
      </c>
      <c r="AG16" s="19">
        <v>4</v>
      </c>
      <c r="AH16" s="19">
        <v>5</v>
      </c>
      <c r="AI16" s="19">
        <v>11</v>
      </c>
    </row>
    <row r="17" spans="1:35" x14ac:dyDescent="0.25">
      <c r="A17" s="18" t="s">
        <v>86</v>
      </c>
      <c r="B17" s="19">
        <v>6.3636363636363633</v>
      </c>
      <c r="C17" s="19"/>
      <c r="D17" s="19">
        <v>3.5</v>
      </c>
      <c r="E17" s="19">
        <v>5.25</v>
      </c>
      <c r="F17" s="19">
        <v>5.5263157894736841</v>
      </c>
      <c r="G17" s="19"/>
      <c r="H17" s="19"/>
      <c r="N17" s="18" t="s">
        <v>61</v>
      </c>
      <c r="O17" s="19">
        <v>10</v>
      </c>
      <c r="P17" s="19"/>
      <c r="Q17" s="19">
        <v>9</v>
      </c>
      <c r="R17" s="19">
        <v>14</v>
      </c>
      <c r="S17" s="19">
        <v>11</v>
      </c>
      <c r="V17" s="18" t="s">
        <v>86</v>
      </c>
      <c r="W17" s="19">
        <v>70</v>
      </c>
      <c r="X17" s="19"/>
      <c r="Y17" s="19">
        <v>14</v>
      </c>
      <c r="Z17" s="19">
        <v>21</v>
      </c>
      <c r="AA17" s="19">
        <v>105</v>
      </c>
      <c r="AD17" s="18" t="s">
        <v>61</v>
      </c>
      <c r="AE17" s="19">
        <v>10</v>
      </c>
      <c r="AF17" s="19"/>
      <c r="AG17" s="19">
        <v>9</v>
      </c>
      <c r="AH17" s="19">
        <v>14</v>
      </c>
      <c r="AI17" s="19">
        <v>33</v>
      </c>
    </row>
    <row r="18" spans="1:35" x14ac:dyDescent="0.25">
      <c r="A18" s="18" t="s">
        <v>90</v>
      </c>
      <c r="B18" s="19">
        <v>13.2</v>
      </c>
      <c r="C18" s="19"/>
      <c r="D18" s="19">
        <v>5.666666666666667</v>
      </c>
      <c r="E18" s="19">
        <v>4.1111111111111107</v>
      </c>
      <c r="F18" s="19">
        <v>6.85</v>
      </c>
      <c r="G18" s="19"/>
      <c r="H18" s="19"/>
      <c r="N18" s="18" t="s">
        <v>64</v>
      </c>
      <c r="O18" s="19">
        <v>3.2</v>
      </c>
      <c r="P18" s="19">
        <v>2.6666666666666665</v>
      </c>
      <c r="Q18" s="19">
        <v>4</v>
      </c>
      <c r="R18" s="19">
        <v>4</v>
      </c>
      <c r="S18" s="19">
        <v>3.3684210526315788</v>
      </c>
      <c r="V18" s="18" t="s">
        <v>90</v>
      </c>
      <c r="W18" s="19">
        <v>66</v>
      </c>
      <c r="X18" s="19"/>
      <c r="Y18" s="19">
        <v>34</v>
      </c>
      <c r="Z18" s="19">
        <v>37</v>
      </c>
      <c r="AA18" s="19">
        <v>137</v>
      </c>
      <c r="AD18" s="18" t="s">
        <v>64</v>
      </c>
      <c r="AE18" s="19">
        <v>32</v>
      </c>
      <c r="AF18" s="19">
        <v>8</v>
      </c>
      <c r="AG18" s="19">
        <v>8</v>
      </c>
      <c r="AH18" s="19">
        <v>16</v>
      </c>
      <c r="AI18" s="19">
        <v>64</v>
      </c>
    </row>
    <row r="19" spans="1:35" x14ac:dyDescent="0.25">
      <c r="A19" s="18" t="s">
        <v>89</v>
      </c>
      <c r="B19" s="19"/>
      <c r="C19" s="19"/>
      <c r="D19" s="19">
        <v>5.666666666666667</v>
      </c>
      <c r="E19" s="19"/>
      <c r="F19" s="19">
        <v>5.666666666666667</v>
      </c>
      <c r="G19" s="19"/>
      <c r="H19" s="19"/>
      <c r="N19" s="18" t="s">
        <v>65</v>
      </c>
      <c r="O19" s="19">
        <v>8</v>
      </c>
      <c r="P19" s="19">
        <v>4</v>
      </c>
      <c r="Q19" s="19">
        <v>1</v>
      </c>
      <c r="R19" s="19">
        <v>1</v>
      </c>
      <c r="S19" s="19">
        <v>3.6</v>
      </c>
      <c r="V19" s="18" t="s">
        <v>89</v>
      </c>
      <c r="W19" s="19"/>
      <c r="X19" s="19"/>
      <c r="Y19" s="19">
        <v>85</v>
      </c>
      <c r="Z19" s="19"/>
      <c r="AA19" s="19">
        <v>85</v>
      </c>
      <c r="AD19" s="18" t="s">
        <v>65</v>
      </c>
      <c r="AE19" s="19">
        <v>8</v>
      </c>
      <c r="AF19" s="19">
        <v>8</v>
      </c>
      <c r="AG19" s="19">
        <v>1</v>
      </c>
      <c r="AH19" s="19">
        <v>1</v>
      </c>
      <c r="AI19" s="19">
        <v>18</v>
      </c>
    </row>
    <row r="20" spans="1:35" x14ac:dyDescent="0.25">
      <c r="A20" s="18" t="s">
        <v>113</v>
      </c>
      <c r="B20" s="19">
        <v>3.5</v>
      </c>
      <c r="C20" s="19">
        <v>5</v>
      </c>
      <c r="D20" s="19">
        <v>5.8</v>
      </c>
      <c r="E20" s="19">
        <v>9</v>
      </c>
      <c r="F20" s="19">
        <v>6.0714285714285712</v>
      </c>
      <c r="G20" s="19"/>
      <c r="H20" s="19"/>
      <c r="N20" s="18" t="s">
        <v>66</v>
      </c>
      <c r="O20" s="19">
        <v>3.8571428571428572</v>
      </c>
      <c r="P20" s="19">
        <v>5.5</v>
      </c>
      <c r="Q20" s="19">
        <v>2.75</v>
      </c>
      <c r="R20" s="19">
        <v>4.5</v>
      </c>
      <c r="S20" s="19">
        <v>4.2380952380952381</v>
      </c>
      <c r="V20" s="18" t="s">
        <v>113</v>
      </c>
      <c r="W20" s="19">
        <v>14</v>
      </c>
      <c r="X20" s="19">
        <v>55</v>
      </c>
      <c r="Y20" s="19">
        <v>29</v>
      </c>
      <c r="Z20" s="19">
        <v>72</v>
      </c>
      <c r="AA20" s="19">
        <v>170</v>
      </c>
      <c r="AD20" s="18" t="s">
        <v>66</v>
      </c>
      <c r="AE20" s="19">
        <v>27</v>
      </c>
      <c r="AF20" s="19">
        <v>33</v>
      </c>
      <c r="AG20" s="19">
        <v>11</v>
      </c>
      <c r="AH20" s="19">
        <v>18</v>
      </c>
      <c r="AI20" s="19">
        <v>89</v>
      </c>
    </row>
    <row r="21" spans="1:35" x14ac:dyDescent="0.25">
      <c r="A21" s="18" t="s">
        <v>93</v>
      </c>
      <c r="B21" s="19"/>
      <c r="C21" s="19"/>
      <c r="D21" s="19">
        <v>9</v>
      </c>
      <c r="E21" s="19"/>
      <c r="F21" s="19">
        <v>9</v>
      </c>
      <c r="G21" s="19"/>
      <c r="H21" s="19"/>
      <c r="N21" s="18" t="s">
        <v>67</v>
      </c>
      <c r="O21" s="19">
        <v>16.636363636363637</v>
      </c>
      <c r="P21" s="19">
        <v>13.555555555555555</v>
      </c>
      <c r="Q21" s="19">
        <v>13</v>
      </c>
      <c r="R21" s="19">
        <v>10.8</v>
      </c>
      <c r="S21" s="19">
        <v>13.605263157894736</v>
      </c>
      <c r="V21" s="18" t="s">
        <v>93</v>
      </c>
      <c r="W21" s="19"/>
      <c r="X21" s="19"/>
      <c r="Y21" s="19">
        <v>36</v>
      </c>
      <c r="Z21" s="19"/>
      <c r="AA21" s="19">
        <v>36</v>
      </c>
      <c r="AD21" s="18" t="s">
        <v>67</v>
      </c>
      <c r="AE21" s="19">
        <v>183</v>
      </c>
      <c r="AF21" s="19">
        <v>122</v>
      </c>
      <c r="AG21" s="19">
        <v>104</v>
      </c>
      <c r="AH21" s="19">
        <v>108</v>
      </c>
      <c r="AI21" s="19">
        <v>517</v>
      </c>
    </row>
    <row r="22" spans="1:35" x14ac:dyDescent="0.25">
      <c r="A22" s="18" t="s">
        <v>102</v>
      </c>
      <c r="B22" s="19">
        <v>9.5</v>
      </c>
      <c r="C22" s="19">
        <v>9.4</v>
      </c>
      <c r="D22" s="19"/>
      <c r="E22" s="19">
        <v>12.25</v>
      </c>
      <c r="F22" s="19">
        <v>10.307692307692308</v>
      </c>
      <c r="G22" s="19"/>
      <c r="H22" s="19"/>
      <c r="N22" s="18" t="s">
        <v>69</v>
      </c>
      <c r="O22" s="19">
        <v>8.0769230769230766</v>
      </c>
      <c r="P22" s="19">
        <v>7.8181818181818183</v>
      </c>
      <c r="Q22" s="19">
        <v>3.5714285714285716</v>
      </c>
      <c r="R22" s="19">
        <v>6.9</v>
      </c>
      <c r="S22" s="19">
        <v>6.9512195121951219</v>
      </c>
      <c r="V22" s="18" t="s">
        <v>102</v>
      </c>
      <c r="W22" s="19">
        <v>38</v>
      </c>
      <c r="X22" s="19">
        <v>47</v>
      </c>
      <c r="Y22" s="19"/>
      <c r="Z22" s="19">
        <v>49</v>
      </c>
      <c r="AA22" s="19">
        <v>134</v>
      </c>
      <c r="AD22" s="18" t="s">
        <v>69</v>
      </c>
      <c r="AE22" s="19">
        <v>105</v>
      </c>
      <c r="AF22" s="19">
        <v>86</v>
      </c>
      <c r="AG22" s="19">
        <v>25</v>
      </c>
      <c r="AH22" s="19">
        <v>69</v>
      </c>
      <c r="AI22" s="19">
        <v>285</v>
      </c>
    </row>
    <row r="23" spans="1:35" x14ac:dyDescent="0.25">
      <c r="A23" s="18" t="s">
        <v>92</v>
      </c>
      <c r="B23" s="19">
        <v>17.5</v>
      </c>
      <c r="C23" s="19">
        <v>14</v>
      </c>
      <c r="D23" s="19">
        <v>11.5</v>
      </c>
      <c r="E23" s="19">
        <v>14.333333333333334</v>
      </c>
      <c r="F23" s="19">
        <v>14.047619047619047</v>
      </c>
      <c r="G23" s="19"/>
      <c r="H23" s="19"/>
      <c r="N23" s="18" t="s">
        <v>70</v>
      </c>
      <c r="O23" s="19">
        <v>9.0714285714285712</v>
      </c>
      <c r="P23" s="19">
        <v>7.125</v>
      </c>
      <c r="Q23" s="19">
        <v>5</v>
      </c>
      <c r="R23" s="19">
        <v>10.428571428571429</v>
      </c>
      <c r="S23" s="19">
        <v>8.2941176470588243</v>
      </c>
      <c r="V23" s="18" t="s">
        <v>92</v>
      </c>
      <c r="W23" s="19">
        <v>70</v>
      </c>
      <c r="X23" s="19">
        <v>70</v>
      </c>
      <c r="Y23" s="19">
        <v>69</v>
      </c>
      <c r="Z23" s="19">
        <v>86</v>
      </c>
      <c r="AA23" s="19">
        <v>295</v>
      </c>
      <c r="AD23" s="18" t="s">
        <v>70</v>
      </c>
      <c r="AE23" s="19">
        <v>127</v>
      </c>
      <c r="AF23" s="19">
        <v>57</v>
      </c>
      <c r="AG23" s="19">
        <v>25</v>
      </c>
      <c r="AH23" s="19">
        <v>73</v>
      </c>
      <c r="AI23" s="19">
        <v>282</v>
      </c>
    </row>
    <row r="24" spans="1:35" x14ac:dyDescent="0.25">
      <c r="A24" s="18" t="s">
        <v>96</v>
      </c>
      <c r="B24" s="19">
        <v>8.125</v>
      </c>
      <c r="C24" s="19">
        <v>5.25</v>
      </c>
      <c r="D24" s="19">
        <v>8.5</v>
      </c>
      <c r="E24" s="19">
        <v>11</v>
      </c>
      <c r="F24" s="19">
        <v>8.1999999999999993</v>
      </c>
      <c r="G24" s="19"/>
      <c r="H24" s="19"/>
      <c r="N24" s="18" t="s">
        <v>71</v>
      </c>
      <c r="O24" s="19">
        <v>4.5</v>
      </c>
      <c r="P24" s="19">
        <v>7.333333333333333</v>
      </c>
      <c r="Q24" s="19">
        <v>2.3333333333333335</v>
      </c>
      <c r="R24" s="19">
        <v>7.5</v>
      </c>
      <c r="S24" s="19">
        <v>5.5</v>
      </c>
      <c r="V24" s="18" t="s">
        <v>96</v>
      </c>
      <c r="W24" s="19">
        <v>65</v>
      </c>
      <c r="X24" s="19">
        <v>21</v>
      </c>
      <c r="Y24" s="19">
        <v>34</v>
      </c>
      <c r="Z24" s="19">
        <v>44</v>
      </c>
      <c r="AA24" s="19">
        <v>164</v>
      </c>
      <c r="AD24" s="18" t="s">
        <v>71</v>
      </c>
      <c r="AE24" s="19">
        <v>18</v>
      </c>
      <c r="AF24" s="19">
        <v>22</v>
      </c>
      <c r="AG24" s="19">
        <v>7</v>
      </c>
      <c r="AH24" s="19">
        <v>30</v>
      </c>
      <c r="AI24" s="19">
        <v>77</v>
      </c>
    </row>
    <row r="25" spans="1:35" x14ac:dyDescent="0.25">
      <c r="A25" s="18" t="s">
        <v>101</v>
      </c>
      <c r="B25" s="19"/>
      <c r="C25" s="19"/>
      <c r="D25" s="19"/>
      <c r="E25" s="19">
        <v>5.5333333333333332</v>
      </c>
      <c r="F25" s="19">
        <v>5.5333333333333332</v>
      </c>
      <c r="G25" s="19"/>
      <c r="H25" s="19"/>
      <c r="N25" s="18" t="s">
        <v>73</v>
      </c>
      <c r="O25" s="19">
        <v>10.5</v>
      </c>
      <c r="P25" s="19">
        <v>8.4</v>
      </c>
      <c r="Q25" s="19">
        <v>10.666666666666666</v>
      </c>
      <c r="R25" s="19">
        <v>6.333333333333333</v>
      </c>
      <c r="S25" s="19">
        <v>9.3157894736842106</v>
      </c>
      <c r="V25" s="18" t="s">
        <v>101</v>
      </c>
      <c r="W25" s="19"/>
      <c r="X25" s="19"/>
      <c r="Y25" s="19"/>
      <c r="Z25" s="19">
        <v>83</v>
      </c>
      <c r="AA25" s="19">
        <v>83</v>
      </c>
      <c r="AD25" s="18" t="s">
        <v>73</v>
      </c>
      <c r="AE25" s="19">
        <v>84</v>
      </c>
      <c r="AF25" s="19">
        <v>42</v>
      </c>
      <c r="AG25" s="19">
        <v>32</v>
      </c>
      <c r="AH25" s="19">
        <v>19</v>
      </c>
      <c r="AI25" s="19">
        <v>177</v>
      </c>
    </row>
    <row r="26" spans="1:35" x14ac:dyDescent="0.25">
      <c r="A26" s="18" t="s">
        <v>100</v>
      </c>
      <c r="B26" s="19">
        <v>11.5</v>
      </c>
      <c r="C26" s="19">
        <v>7.4545454545454541</v>
      </c>
      <c r="D26" s="19">
        <v>19</v>
      </c>
      <c r="E26" s="19">
        <v>15.75</v>
      </c>
      <c r="F26" s="19">
        <v>11.6</v>
      </c>
      <c r="G26" s="19"/>
      <c r="H26" s="19"/>
      <c r="N26" s="18" t="s">
        <v>59</v>
      </c>
      <c r="O26" s="19">
        <v>7.1818181818181817</v>
      </c>
      <c r="P26" s="19">
        <v>6.2</v>
      </c>
      <c r="Q26" s="19">
        <v>12.833333333333334</v>
      </c>
      <c r="R26" s="19">
        <v>6.4285714285714288</v>
      </c>
      <c r="S26" s="19">
        <v>8</v>
      </c>
      <c r="V26" s="18" t="s">
        <v>100</v>
      </c>
      <c r="W26" s="19">
        <v>69</v>
      </c>
      <c r="X26" s="19">
        <v>82</v>
      </c>
      <c r="Y26" s="19">
        <v>76</v>
      </c>
      <c r="Z26" s="19">
        <v>63</v>
      </c>
      <c r="AA26" s="19">
        <v>290</v>
      </c>
      <c r="AD26" s="18" t="s">
        <v>59</v>
      </c>
      <c r="AE26" s="19">
        <v>79</v>
      </c>
      <c r="AF26" s="19">
        <v>31</v>
      </c>
      <c r="AG26" s="19">
        <v>77</v>
      </c>
      <c r="AH26" s="19">
        <v>45</v>
      </c>
      <c r="AI26" s="19">
        <v>232</v>
      </c>
    </row>
    <row r="27" spans="1:35" x14ac:dyDescent="0.25">
      <c r="A27" s="18" t="s">
        <v>98</v>
      </c>
      <c r="B27" s="19">
        <v>9</v>
      </c>
      <c r="C27" s="19">
        <v>16.5</v>
      </c>
      <c r="D27" s="19">
        <v>9.1999999999999993</v>
      </c>
      <c r="E27" s="19"/>
      <c r="F27" s="19">
        <v>9.9411764705882355</v>
      </c>
      <c r="G27" s="19"/>
      <c r="H27" s="19"/>
      <c r="N27" s="18" t="s">
        <v>60</v>
      </c>
      <c r="O27" s="19">
        <v>1.6666666666666667</v>
      </c>
      <c r="P27" s="19">
        <v>2.5</v>
      </c>
      <c r="Q27" s="19"/>
      <c r="R27" s="19">
        <v>5.5</v>
      </c>
      <c r="S27" s="19">
        <v>3</v>
      </c>
      <c r="V27" s="18" t="s">
        <v>98</v>
      </c>
      <c r="W27" s="19">
        <v>90</v>
      </c>
      <c r="X27" s="19">
        <v>33</v>
      </c>
      <c r="Y27" s="19">
        <v>46</v>
      </c>
      <c r="Z27" s="19"/>
      <c r="AA27" s="19">
        <v>169</v>
      </c>
      <c r="AD27" s="18" t="s">
        <v>60</v>
      </c>
      <c r="AE27" s="19">
        <v>5</v>
      </c>
      <c r="AF27" s="19">
        <v>5</v>
      </c>
      <c r="AG27" s="19"/>
      <c r="AH27" s="19">
        <v>11</v>
      </c>
      <c r="AI27" s="19">
        <v>21</v>
      </c>
    </row>
    <row r="28" spans="1:35" x14ac:dyDescent="0.25">
      <c r="A28" s="18" t="s">
        <v>97</v>
      </c>
      <c r="B28" s="19">
        <v>7.6875</v>
      </c>
      <c r="C28" s="19"/>
      <c r="D28" s="19"/>
      <c r="E28" s="19">
        <v>9</v>
      </c>
      <c r="F28" s="19">
        <v>8.0869565217391308</v>
      </c>
      <c r="G28" s="19"/>
      <c r="H28" s="19"/>
      <c r="N28" s="18" t="s">
        <v>68</v>
      </c>
      <c r="O28" s="19">
        <v>4</v>
      </c>
      <c r="P28" s="19"/>
      <c r="Q28" s="19"/>
      <c r="R28" s="19"/>
      <c r="S28" s="19">
        <v>4</v>
      </c>
      <c r="V28" s="18" t="s">
        <v>97</v>
      </c>
      <c r="W28" s="19">
        <v>123</v>
      </c>
      <c r="X28" s="19"/>
      <c r="Y28" s="19"/>
      <c r="Z28" s="19">
        <v>63</v>
      </c>
      <c r="AA28" s="19">
        <v>186</v>
      </c>
      <c r="AD28" s="18" t="s">
        <v>68</v>
      </c>
      <c r="AE28" s="19">
        <v>4</v>
      </c>
      <c r="AF28" s="19"/>
      <c r="AG28" s="19"/>
      <c r="AH28" s="19"/>
      <c r="AI28" s="19">
        <v>4</v>
      </c>
    </row>
    <row r="29" spans="1:35" x14ac:dyDescent="0.25">
      <c r="A29" s="18" t="s">
        <v>99</v>
      </c>
      <c r="B29" s="19">
        <v>7</v>
      </c>
      <c r="C29" s="19">
        <v>8.6666666666666661</v>
      </c>
      <c r="D29" s="19">
        <v>9</v>
      </c>
      <c r="E29" s="19">
        <v>7.25</v>
      </c>
      <c r="F29" s="19">
        <v>7.8571428571428568</v>
      </c>
      <c r="G29" s="19"/>
      <c r="H29" s="19"/>
      <c r="N29" s="18" t="s">
        <v>76</v>
      </c>
      <c r="O29" s="19">
        <v>3.6666666666666665</v>
      </c>
      <c r="P29" s="19">
        <v>2.3333333333333335</v>
      </c>
      <c r="Q29" s="19">
        <v>2</v>
      </c>
      <c r="R29" s="19">
        <v>8</v>
      </c>
      <c r="S29" s="19">
        <v>4</v>
      </c>
      <c r="V29" s="18" t="s">
        <v>99</v>
      </c>
      <c r="W29" s="19">
        <v>28</v>
      </c>
      <c r="X29" s="19">
        <v>26</v>
      </c>
      <c r="Y29" s="19">
        <v>27</v>
      </c>
      <c r="Z29" s="19">
        <v>29</v>
      </c>
      <c r="AA29" s="19">
        <v>110</v>
      </c>
      <c r="AD29" s="18" t="s">
        <v>76</v>
      </c>
      <c r="AE29" s="19">
        <v>11</v>
      </c>
      <c r="AF29" s="19">
        <v>7</v>
      </c>
      <c r="AG29" s="19">
        <v>2</v>
      </c>
      <c r="AH29" s="19">
        <v>16</v>
      </c>
      <c r="AI29" s="19">
        <v>36</v>
      </c>
    </row>
    <row r="30" spans="1:35" x14ac:dyDescent="0.25">
      <c r="A30" s="18" t="s">
        <v>82</v>
      </c>
      <c r="B30" s="19">
        <v>6.4</v>
      </c>
      <c r="C30" s="19">
        <v>5.9</v>
      </c>
      <c r="D30" s="19"/>
      <c r="E30" s="19">
        <v>7</v>
      </c>
      <c r="F30" s="19">
        <v>6.4333333333333336</v>
      </c>
      <c r="N30" s="18" t="s">
        <v>75</v>
      </c>
      <c r="O30" s="19">
        <v>12.333333333333334</v>
      </c>
      <c r="P30" s="19">
        <v>13.333333333333334</v>
      </c>
      <c r="Q30" s="19">
        <v>18</v>
      </c>
      <c r="R30" s="19">
        <v>19</v>
      </c>
      <c r="S30" s="19">
        <v>14.666666666666666</v>
      </c>
      <c r="V30" s="18" t="s">
        <v>82</v>
      </c>
      <c r="W30" s="19">
        <v>64</v>
      </c>
      <c r="X30" s="19">
        <v>59</v>
      </c>
      <c r="Y30" s="19"/>
      <c r="Z30" s="19">
        <v>70</v>
      </c>
      <c r="AA30" s="19">
        <v>193</v>
      </c>
      <c r="AD30" s="18" t="s">
        <v>75</v>
      </c>
      <c r="AE30" s="19">
        <v>37</v>
      </c>
      <c r="AF30" s="19">
        <v>40</v>
      </c>
      <c r="AG30" s="19">
        <v>36</v>
      </c>
      <c r="AH30" s="19">
        <v>19</v>
      </c>
      <c r="AI30" s="19">
        <v>132</v>
      </c>
    </row>
    <row r="31" spans="1:35" x14ac:dyDescent="0.25">
      <c r="A31" s="18" t="s">
        <v>95</v>
      </c>
      <c r="B31" s="19"/>
      <c r="C31" s="19">
        <v>10.375</v>
      </c>
      <c r="D31" s="19"/>
      <c r="E31" s="19"/>
      <c r="F31" s="19">
        <v>10.375</v>
      </c>
      <c r="N31" s="18" t="s">
        <v>54</v>
      </c>
      <c r="O31" s="19">
        <v>5.125</v>
      </c>
      <c r="P31" s="19">
        <v>8.6666666666666661</v>
      </c>
      <c r="Q31" s="19">
        <v>6.666666666666667</v>
      </c>
      <c r="R31" s="19">
        <v>5</v>
      </c>
      <c r="S31" s="19">
        <v>5.85</v>
      </c>
      <c r="V31" s="18" t="s">
        <v>95</v>
      </c>
      <c r="W31" s="19"/>
      <c r="X31" s="19">
        <v>83</v>
      </c>
      <c r="Y31" s="19"/>
      <c r="Z31" s="19"/>
      <c r="AA31" s="19">
        <v>83</v>
      </c>
      <c r="AD31" s="18" t="s">
        <v>54</v>
      </c>
      <c r="AE31" s="19">
        <v>41</v>
      </c>
      <c r="AF31" s="19">
        <v>26</v>
      </c>
      <c r="AG31" s="19">
        <v>20</v>
      </c>
      <c r="AH31" s="19">
        <v>30</v>
      </c>
      <c r="AI31" s="19">
        <v>117</v>
      </c>
    </row>
    <row r="32" spans="1:35" x14ac:dyDescent="0.25">
      <c r="A32" s="18" t="s">
        <v>32</v>
      </c>
      <c r="B32" s="19">
        <v>8.1395348837209305</v>
      </c>
      <c r="C32" s="19">
        <v>7.7739130434782613</v>
      </c>
      <c r="D32" s="19">
        <v>8.5568181818181817</v>
      </c>
      <c r="E32" s="19">
        <v>8.24</v>
      </c>
      <c r="F32" s="19">
        <v>8.1539999999999999</v>
      </c>
      <c r="N32" s="18" t="s">
        <v>72</v>
      </c>
      <c r="O32" s="19">
        <v>5.2</v>
      </c>
      <c r="P32" s="19">
        <v>5.6</v>
      </c>
      <c r="Q32" s="19">
        <v>6</v>
      </c>
      <c r="R32" s="19">
        <v>9.375</v>
      </c>
      <c r="S32" s="19">
        <v>6.6071428571428568</v>
      </c>
      <c r="V32" s="18" t="s">
        <v>32</v>
      </c>
      <c r="W32" s="19">
        <v>1400</v>
      </c>
      <c r="X32" s="19">
        <v>894</v>
      </c>
      <c r="Y32" s="19">
        <v>753</v>
      </c>
      <c r="Z32" s="19">
        <v>1030</v>
      </c>
      <c r="AA32" s="19">
        <v>4077</v>
      </c>
      <c r="AD32" s="18" t="s">
        <v>72</v>
      </c>
      <c r="AE32" s="19">
        <v>52</v>
      </c>
      <c r="AF32" s="19">
        <v>28</v>
      </c>
      <c r="AG32" s="19">
        <v>30</v>
      </c>
      <c r="AH32" s="19">
        <v>75</v>
      </c>
      <c r="AI32" s="19">
        <v>185</v>
      </c>
    </row>
    <row r="33" spans="1:35" x14ac:dyDescent="0.25">
      <c r="N33" s="18" t="s">
        <v>74</v>
      </c>
      <c r="O33" s="19">
        <v>16.25</v>
      </c>
      <c r="P33" s="19">
        <v>24.75</v>
      </c>
      <c r="Q33" s="19">
        <v>28.5</v>
      </c>
      <c r="R33" s="19">
        <v>27</v>
      </c>
      <c r="S33" s="19">
        <v>23.5</v>
      </c>
      <c r="AD33" s="18" t="s">
        <v>74</v>
      </c>
      <c r="AE33" s="19">
        <v>65</v>
      </c>
      <c r="AF33" s="19">
        <v>99</v>
      </c>
      <c r="AG33" s="19">
        <v>57</v>
      </c>
      <c r="AH33" s="19">
        <v>108</v>
      </c>
      <c r="AI33" s="19">
        <v>329</v>
      </c>
    </row>
    <row r="34" spans="1:35" x14ac:dyDescent="0.25">
      <c r="N34" s="18" t="s">
        <v>56</v>
      </c>
      <c r="O34" s="19">
        <v>3</v>
      </c>
      <c r="P34" s="19">
        <v>4.25</v>
      </c>
      <c r="Q34" s="19">
        <v>4</v>
      </c>
      <c r="R34" s="19">
        <v>2.3333333333333335</v>
      </c>
      <c r="S34" s="19">
        <v>3.3846153846153846</v>
      </c>
      <c r="AD34" s="18" t="s">
        <v>56</v>
      </c>
      <c r="AE34" s="19">
        <v>12</v>
      </c>
      <c r="AF34" s="19">
        <v>17</v>
      </c>
      <c r="AG34" s="19">
        <v>8</v>
      </c>
      <c r="AH34" s="19">
        <v>7</v>
      </c>
      <c r="AI34" s="19">
        <v>44</v>
      </c>
    </row>
    <row r="35" spans="1:35" x14ac:dyDescent="0.25">
      <c r="N35" s="18" t="s">
        <v>45</v>
      </c>
      <c r="O35" s="19"/>
      <c r="P35" s="19">
        <v>5.666666666666667</v>
      </c>
      <c r="Q35" s="19">
        <v>4</v>
      </c>
      <c r="R35" s="19">
        <v>3</v>
      </c>
      <c r="S35" s="19">
        <v>4.8</v>
      </c>
      <c r="AD35" s="18" t="s">
        <v>45</v>
      </c>
      <c r="AE35" s="19"/>
      <c r="AF35" s="19">
        <v>17</v>
      </c>
      <c r="AG35" s="19">
        <v>4</v>
      </c>
      <c r="AH35" s="19">
        <v>3</v>
      </c>
      <c r="AI35" s="19">
        <v>24</v>
      </c>
    </row>
    <row r="36" spans="1:35" x14ac:dyDescent="0.25">
      <c r="N36" s="18" t="s">
        <v>50</v>
      </c>
      <c r="O36" s="19"/>
      <c r="P36" s="19">
        <v>2</v>
      </c>
      <c r="Q36" s="19"/>
      <c r="R36" s="19">
        <v>6</v>
      </c>
      <c r="S36" s="19">
        <v>4</v>
      </c>
      <c r="AD36" s="18" t="s">
        <v>50</v>
      </c>
      <c r="AE36" s="19"/>
      <c r="AF36" s="19">
        <v>2</v>
      </c>
      <c r="AG36" s="19"/>
      <c r="AH36" s="19">
        <v>6</v>
      </c>
      <c r="AI36" s="19">
        <v>8</v>
      </c>
    </row>
    <row r="37" spans="1:35" x14ac:dyDescent="0.25">
      <c r="N37" s="18" t="s">
        <v>77</v>
      </c>
      <c r="O37" s="19"/>
      <c r="P37" s="19">
        <v>1</v>
      </c>
      <c r="Q37" s="19"/>
      <c r="R37" s="19"/>
      <c r="S37" s="19">
        <v>1</v>
      </c>
      <c r="AD37" s="18" t="s">
        <v>77</v>
      </c>
      <c r="AE37" s="19"/>
      <c r="AF37" s="19">
        <v>1</v>
      </c>
      <c r="AG37" s="19"/>
      <c r="AH37" s="19"/>
      <c r="AI37" s="19">
        <v>1</v>
      </c>
    </row>
    <row r="38" spans="1:35" x14ac:dyDescent="0.25">
      <c r="N38" s="18" t="s">
        <v>48</v>
      </c>
      <c r="O38" s="19"/>
      <c r="P38" s="19"/>
      <c r="Q38" s="19">
        <v>4</v>
      </c>
      <c r="R38" s="19">
        <v>6</v>
      </c>
      <c r="S38" s="19">
        <v>5</v>
      </c>
      <c r="AD38" s="18" t="s">
        <v>48</v>
      </c>
      <c r="AE38" s="19"/>
      <c r="AF38" s="19"/>
      <c r="AG38" s="19">
        <v>4</v>
      </c>
      <c r="AH38" s="19">
        <v>6</v>
      </c>
      <c r="AI38" s="19">
        <v>10</v>
      </c>
    </row>
    <row r="39" spans="1:35" x14ac:dyDescent="0.25">
      <c r="N39" s="18" t="s">
        <v>63</v>
      </c>
      <c r="O39" s="19"/>
      <c r="P39" s="19">
        <v>3</v>
      </c>
      <c r="Q39" s="19">
        <v>8</v>
      </c>
      <c r="R39" s="19">
        <v>6</v>
      </c>
      <c r="S39" s="19">
        <v>5.75</v>
      </c>
      <c r="AD39" s="18" t="s">
        <v>63</v>
      </c>
      <c r="AE39" s="19"/>
      <c r="AF39" s="19">
        <v>3</v>
      </c>
      <c r="AG39" s="19">
        <v>8</v>
      </c>
      <c r="AH39" s="19">
        <v>12</v>
      </c>
      <c r="AI39" s="19">
        <v>23</v>
      </c>
    </row>
    <row r="40" spans="1:35" x14ac:dyDescent="0.25">
      <c r="N40" s="18" t="s">
        <v>53</v>
      </c>
      <c r="O40" s="19"/>
      <c r="P40" s="19"/>
      <c r="Q40" s="19"/>
      <c r="R40" s="19">
        <v>18</v>
      </c>
      <c r="S40" s="19">
        <v>18</v>
      </c>
      <c r="AD40" s="18" t="s">
        <v>53</v>
      </c>
      <c r="AE40" s="19"/>
      <c r="AF40" s="19"/>
      <c r="AG40" s="19"/>
      <c r="AH40" s="19">
        <v>18</v>
      </c>
      <c r="AI40" s="19">
        <v>18</v>
      </c>
    </row>
    <row r="41" spans="1:35" x14ac:dyDescent="0.25">
      <c r="N41" s="18" t="s">
        <v>32</v>
      </c>
      <c r="O41" s="19">
        <v>8.1395348837209305</v>
      </c>
      <c r="P41" s="19">
        <v>7.7739130434782613</v>
      </c>
      <c r="Q41" s="19">
        <v>8.5568181818181817</v>
      </c>
      <c r="R41" s="19">
        <v>8.24</v>
      </c>
      <c r="S41" s="19">
        <v>8.1539999999999999</v>
      </c>
      <c r="AD41" s="18" t="s">
        <v>32</v>
      </c>
      <c r="AE41" s="19">
        <v>1400</v>
      </c>
      <c r="AF41" s="19">
        <v>894</v>
      </c>
      <c r="AG41" s="19">
        <v>753</v>
      </c>
      <c r="AH41" s="19">
        <v>1030</v>
      </c>
      <c r="AI41" s="19">
        <v>4077</v>
      </c>
    </row>
    <row r="45" spans="1:35" x14ac:dyDescent="0.25">
      <c r="A45" s="17" t="s">
        <v>26</v>
      </c>
      <c r="B45" t="s">
        <v>112</v>
      </c>
      <c r="N45" s="17" t="s">
        <v>26</v>
      </c>
      <c r="O45" t="s">
        <v>110</v>
      </c>
    </row>
    <row r="46" spans="1:35" x14ac:dyDescent="0.25">
      <c r="A46" s="17" t="s">
        <v>25</v>
      </c>
      <c r="B46" t="s">
        <v>111</v>
      </c>
      <c r="N46" s="17" t="s">
        <v>25</v>
      </c>
      <c r="O46" t="s">
        <v>109</v>
      </c>
    </row>
    <row r="47" spans="1:35" x14ac:dyDescent="0.25">
      <c r="A47" s="17" t="s">
        <v>35</v>
      </c>
      <c r="B47" t="s">
        <v>39</v>
      </c>
      <c r="N47" s="17" t="s">
        <v>35</v>
      </c>
      <c r="O47" t="s">
        <v>39</v>
      </c>
    </row>
    <row r="48" spans="1:35" x14ac:dyDescent="0.25">
      <c r="A48" s="17" t="s">
        <v>36</v>
      </c>
      <c r="B48" t="s">
        <v>39</v>
      </c>
      <c r="N48" s="17" t="s">
        <v>36</v>
      </c>
      <c r="O48" t="s">
        <v>39</v>
      </c>
    </row>
    <row r="50" spans="1:19" x14ac:dyDescent="0.25">
      <c r="A50" s="17" t="s">
        <v>37</v>
      </c>
      <c r="B50" s="17" t="s">
        <v>18</v>
      </c>
      <c r="N50" s="17" t="s">
        <v>37</v>
      </c>
      <c r="O50" s="17" t="s">
        <v>18</v>
      </c>
    </row>
    <row r="51" spans="1:19" x14ac:dyDescent="0.25">
      <c r="A51" s="17" t="s">
        <v>13</v>
      </c>
      <c r="B51" t="s">
        <v>2</v>
      </c>
      <c r="C51" t="s">
        <v>4</v>
      </c>
      <c r="D51" t="s">
        <v>5</v>
      </c>
      <c r="E51" t="s">
        <v>6</v>
      </c>
      <c r="F51" t="s">
        <v>32</v>
      </c>
      <c r="N51" s="17" t="s">
        <v>13</v>
      </c>
      <c r="O51" t="s">
        <v>2</v>
      </c>
      <c r="P51" t="s">
        <v>4</v>
      </c>
      <c r="Q51" t="s">
        <v>5</v>
      </c>
      <c r="R51" t="s">
        <v>6</v>
      </c>
      <c r="S51" t="s">
        <v>32</v>
      </c>
    </row>
    <row r="52" spans="1:19" x14ac:dyDescent="0.25">
      <c r="A52" s="18" t="s">
        <v>41</v>
      </c>
      <c r="B52" s="19">
        <v>9.4166666666666661</v>
      </c>
      <c r="C52" s="19"/>
      <c r="D52" s="19"/>
      <c r="E52" s="19"/>
      <c r="F52" s="19">
        <v>9.4166666666666661</v>
      </c>
      <c r="G52" s="19"/>
      <c r="H52" s="19"/>
      <c r="N52" s="18" t="s">
        <v>42</v>
      </c>
      <c r="O52" s="19">
        <v>11</v>
      </c>
      <c r="P52" s="19">
        <v>14</v>
      </c>
      <c r="Q52" s="19">
        <v>10</v>
      </c>
      <c r="R52" s="19">
        <v>4</v>
      </c>
      <c r="S52" s="19">
        <v>10</v>
      </c>
    </row>
    <row r="53" spans="1:19" x14ac:dyDescent="0.25">
      <c r="A53" s="18" t="s">
        <v>80</v>
      </c>
      <c r="B53" s="19">
        <v>10.111111111111111</v>
      </c>
      <c r="C53" s="19">
        <v>10.199999999999999</v>
      </c>
      <c r="D53" s="19"/>
      <c r="E53" s="19">
        <v>9.375</v>
      </c>
      <c r="F53" s="19">
        <v>9.9259259259259256</v>
      </c>
      <c r="G53" s="19"/>
      <c r="H53" s="19"/>
      <c r="N53" s="18" t="s">
        <v>43</v>
      </c>
      <c r="O53" s="19">
        <v>9.25</v>
      </c>
      <c r="P53" s="19">
        <v>7.25</v>
      </c>
      <c r="Q53" s="19">
        <v>6</v>
      </c>
      <c r="R53" s="19">
        <v>4.75</v>
      </c>
      <c r="S53" s="19">
        <v>6.72</v>
      </c>
    </row>
    <row r="54" spans="1:19" x14ac:dyDescent="0.25">
      <c r="A54" s="18" t="s">
        <v>105</v>
      </c>
      <c r="B54" s="19">
        <v>8.6</v>
      </c>
      <c r="C54" s="19">
        <v>7.166666666666667</v>
      </c>
      <c r="D54" s="19">
        <v>13</v>
      </c>
      <c r="E54" s="19">
        <v>15.333333333333334</v>
      </c>
      <c r="F54" s="19">
        <v>9.304347826086957</v>
      </c>
      <c r="N54" s="18" t="s">
        <v>44</v>
      </c>
      <c r="O54" s="19">
        <v>10.909090909090908</v>
      </c>
      <c r="P54" s="19">
        <v>7.2727272727272725</v>
      </c>
      <c r="Q54" s="19">
        <v>9.75</v>
      </c>
      <c r="R54" s="19">
        <v>10</v>
      </c>
      <c r="S54" s="19">
        <v>9.3888888888888893</v>
      </c>
    </row>
    <row r="55" spans="1:19" x14ac:dyDescent="0.25">
      <c r="A55" s="18" t="s">
        <v>81</v>
      </c>
      <c r="B55" s="19">
        <v>5.875</v>
      </c>
      <c r="C55" s="19">
        <v>6.75</v>
      </c>
      <c r="D55" s="19">
        <v>16.2</v>
      </c>
      <c r="E55" s="19">
        <v>7.3636363636363633</v>
      </c>
      <c r="F55" s="19">
        <v>7.384615384615385</v>
      </c>
      <c r="N55" s="18" t="s">
        <v>46</v>
      </c>
      <c r="O55" s="19">
        <v>4.166666666666667</v>
      </c>
      <c r="P55" s="19">
        <v>5</v>
      </c>
      <c r="Q55" s="19">
        <v>7.8888888888888893</v>
      </c>
      <c r="R55" s="19">
        <v>10.4</v>
      </c>
      <c r="S55" s="19">
        <v>6.7777777777777777</v>
      </c>
    </row>
    <row r="56" spans="1:19" x14ac:dyDescent="0.25">
      <c r="A56" s="18" t="s">
        <v>79</v>
      </c>
      <c r="B56" s="19">
        <v>5.2</v>
      </c>
      <c r="C56" s="19">
        <v>6.25</v>
      </c>
      <c r="D56" s="19">
        <v>4.5</v>
      </c>
      <c r="E56" s="19">
        <v>4</v>
      </c>
      <c r="F56" s="19">
        <v>5.0625</v>
      </c>
      <c r="N56" s="18" t="s">
        <v>47</v>
      </c>
      <c r="O56" s="19">
        <v>6</v>
      </c>
      <c r="P56" s="19">
        <v>1</v>
      </c>
      <c r="Q56" s="19"/>
      <c r="R56" s="19">
        <v>1</v>
      </c>
      <c r="S56" s="19">
        <v>2.6666666666666665</v>
      </c>
    </row>
    <row r="57" spans="1:19" x14ac:dyDescent="0.25">
      <c r="A57" s="18" t="s">
        <v>88</v>
      </c>
      <c r="B57" s="19">
        <v>8.25</v>
      </c>
      <c r="C57" s="19">
        <v>8</v>
      </c>
      <c r="D57" s="19">
        <v>5.2222222222222223</v>
      </c>
      <c r="E57" s="19"/>
      <c r="F57" s="19">
        <v>6.666666666666667</v>
      </c>
      <c r="N57" s="18" t="s">
        <v>51</v>
      </c>
      <c r="O57" s="19">
        <v>14.5</v>
      </c>
      <c r="P57" s="19">
        <v>10.375</v>
      </c>
      <c r="Q57" s="19">
        <v>6</v>
      </c>
      <c r="R57" s="19">
        <v>9.6666666666666661</v>
      </c>
      <c r="S57" s="19">
        <v>11</v>
      </c>
    </row>
    <row r="58" spans="1:19" x14ac:dyDescent="0.25">
      <c r="A58" s="18" t="s">
        <v>84</v>
      </c>
      <c r="B58" s="19">
        <v>6.625</v>
      </c>
      <c r="C58" s="19"/>
      <c r="D58" s="19"/>
      <c r="E58" s="19">
        <v>8.5</v>
      </c>
      <c r="F58" s="19">
        <v>7.4285714285714288</v>
      </c>
      <c r="N58" s="18" t="s">
        <v>52</v>
      </c>
      <c r="O58" s="19">
        <v>24.59090909090909</v>
      </c>
      <c r="P58" s="19">
        <v>28.117647058823529</v>
      </c>
      <c r="Q58" s="19">
        <v>18.416666666666668</v>
      </c>
      <c r="R58" s="19">
        <v>23.545454545454547</v>
      </c>
      <c r="S58" s="19">
        <v>24.177419354838708</v>
      </c>
    </row>
    <row r="59" spans="1:19" x14ac:dyDescent="0.25">
      <c r="A59" s="18" t="s">
        <v>85</v>
      </c>
      <c r="B59" s="19">
        <v>9</v>
      </c>
      <c r="C59" s="19">
        <v>5.8571428571428568</v>
      </c>
      <c r="D59" s="19"/>
      <c r="E59" s="19">
        <v>4.75</v>
      </c>
      <c r="F59" s="19">
        <v>5.8888888888888893</v>
      </c>
      <c r="N59" s="18" t="s">
        <v>55</v>
      </c>
      <c r="O59" s="19">
        <v>7</v>
      </c>
      <c r="P59" s="19">
        <v>6</v>
      </c>
      <c r="Q59" s="19">
        <v>8.3333333333333339</v>
      </c>
      <c r="R59" s="19">
        <v>8.6666666666666661</v>
      </c>
      <c r="S59" s="19">
        <v>7.2272727272727275</v>
      </c>
    </row>
    <row r="60" spans="1:19" x14ac:dyDescent="0.25">
      <c r="A60" s="18" t="s">
        <v>87</v>
      </c>
      <c r="B60" s="19">
        <v>9.8181818181818183</v>
      </c>
      <c r="C60" s="19"/>
      <c r="D60" s="19">
        <v>10.5</v>
      </c>
      <c r="E60" s="19">
        <v>11</v>
      </c>
      <c r="F60" s="19">
        <v>10.272727272727273</v>
      </c>
      <c r="N60" s="18" t="s">
        <v>57</v>
      </c>
      <c r="O60" s="19">
        <v>15.75</v>
      </c>
      <c r="P60" s="19">
        <v>8</v>
      </c>
      <c r="Q60" s="19">
        <v>6.75</v>
      </c>
      <c r="R60" s="19">
        <v>12.333333333333334</v>
      </c>
      <c r="S60" s="19">
        <v>10.785714285714286</v>
      </c>
    </row>
    <row r="61" spans="1:19" x14ac:dyDescent="0.25">
      <c r="A61" s="18" t="s">
        <v>83</v>
      </c>
      <c r="B61" s="19">
        <v>7.5555555555555554</v>
      </c>
      <c r="C61" s="19">
        <v>7.166666666666667</v>
      </c>
      <c r="D61" s="19">
        <v>11</v>
      </c>
      <c r="E61" s="19">
        <v>9.1666666666666661</v>
      </c>
      <c r="F61" s="19">
        <v>8.5</v>
      </c>
      <c r="N61" s="18" t="s">
        <v>58</v>
      </c>
      <c r="O61" s="19">
        <v>3</v>
      </c>
      <c r="P61" s="19">
        <v>4.5</v>
      </c>
      <c r="Q61" s="19"/>
      <c r="R61" s="19"/>
      <c r="S61" s="19">
        <v>4</v>
      </c>
    </row>
    <row r="62" spans="1:19" x14ac:dyDescent="0.25">
      <c r="A62" s="18" t="s">
        <v>86</v>
      </c>
      <c r="B62" s="19">
        <v>6.3636363636363633</v>
      </c>
      <c r="C62" s="19"/>
      <c r="D62" s="19">
        <v>3.5</v>
      </c>
      <c r="E62" s="19">
        <v>5.25</v>
      </c>
      <c r="F62" s="19">
        <v>5.5263157894736841</v>
      </c>
      <c r="N62" s="18" t="s">
        <v>61</v>
      </c>
      <c r="O62" s="19">
        <v>14.5</v>
      </c>
      <c r="P62" s="19">
        <v>21</v>
      </c>
      <c r="Q62" s="19">
        <v>22</v>
      </c>
      <c r="R62" s="19">
        <v>13</v>
      </c>
      <c r="S62" s="19">
        <v>17</v>
      </c>
    </row>
    <row r="63" spans="1:19" x14ac:dyDescent="0.25">
      <c r="A63" s="18" t="s">
        <v>90</v>
      </c>
      <c r="B63" s="19">
        <v>13.2</v>
      </c>
      <c r="C63" s="19"/>
      <c r="D63" s="19">
        <v>5.666666666666667</v>
      </c>
      <c r="E63" s="19">
        <v>4.1111111111111107</v>
      </c>
      <c r="F63" s="19">
        <v>6.85</v>
      </c>
      <c r="N63" s="18" t="s">
        <v>64</v>
      </c>
      <c r="O63" s="19">
        <v>9.6</v>
      </c>
      <c r="P63" s="19">
        <v>5.2</v>
      </c>
      <c r="Q63" s="19">
        <v>8.3333333333333339</v>
      </c>
      <c r="R63" s="19">
        <v>7.2</v>
      </c>
      <c r="S63" s="19">
        <v>7.6190476190476186</v>
      </c>
    </row>
    <row r="64" spans="1:19" x14ac:dyDescent="0.25">
      <c r="A64" s="18" t="s">
        <v>89</v>
      </c>
      <c r="B64" s="19"/>
      <c r="C64" s="19"/>
      <c r="D64" s="19">
        <v>5.666666666666667</v>
      </c>
      <c r="E64" s="19"/>
      <c r="F64" s="19">
        <v>5.666666666666667</v>
      </c>
      <c r="N64" s="18" t="s">
        <v>65</v>
      </c>
      <c r="O64" s="19">
        <v>17.25</v>
      </c>
      <c r="P64" s="19">
        <v>14.5</v>
      </c>
      <c r="Q64" s="19"/>
      <c r="R64" s="19">
        <v>16</v>
      </c>
      <c r="S64" s="19">
        <v>15.9</v>
      </c>
    </row>
    <row r="65" spans="1:19" x14ac:dyDescent="0.25">
      <c r="A65" s="18" t="s">
        <v>113</v>
      </c>
      <c r="B65" s="19">
        <v>3.5</v>
      </c>
      <c r="C65" s="19">
        <v>5</v>
      </c>
      <c r="D65" s="19">
        <v>5.8</v>
      </c>
      <c r="E65" s="19">
        <v>9</v>
      </c>
      <c r="F65" s="19">
        <v>6.0714285714285712</v>
      </c>
      <c r="N65" s="18" t="s">
        <v>66</v>
      </c>
      <c r="O65" s="19">
        <v>10.285714285714286</v>
      </c>
      <c r="P65" s="19">
        <v>6.333333333333333</v>
      </c>
      <c r="Q65" s="19">
        <v>7.2</v>
      </c>
      <c r="R65" s="19">
        <v>10.6</v>
      </c>
      <c r="S65" s="19">
        <v>8.3928571428571423</v>
      </c>
    </row>
    <row r="66" spans="1:19" x14ac:dyDescent="0.25">
      <c r="A66" s="18" t="s">
        <v>93</v>
      </c>
      <c r="B66" s="19"/>
      <c r="C66" s="19"/>
      <c r="D66" s="19">
        <v>9</v>
      </c>
      <c r="E66" s="19"/>
      <c r="F66" s="19">
        <v>9</v>
      </c>
      <c r="N66" s="18" t="s">
        <v>67</v>
      </c>
      <c r="O66" s="19">
        <v>28.222222222222221</v>
      </c>
      <c r="P66" s="19">
        <v>26.125</v>
      </c>
      <c r="Q66" s="19">
        <v>28.285714285714285</v>
      </c>
      <c r="R66" s="19">
        <v>25.125</v>
      </c>
      <c r="S66" s="19">
        <v>27.219512195121951</v>
      </c>
    </row>
    <row r="67" spans="1:19" x14ac:dyDescent="0.25">
      <c r="A67" s="18" t="s">
        <v>102</v>
      </c>
      <c r="B67" s="19">
        <v>9.5</v>
      </c>
      <c r="C67" s="19">
        <v>9.4</v>
      </c>
      <c r="D67" s="19"/>
      <c r="E67" s="19">
        <v>12.25</v>
      </c>
      <c r="F67" s="19">
        <v>10.307692307692308</v>
      </c>
      <c r="N67" s="18" t="s">
        <v>69</v>
      </c>
      <c r="O67" s="19">
        <v>12</v>
      </c>
      <c r="P67" s="19">
        <v>13.333333333333334</v>
      </c>
      <c r="Q67" s="19">
        <v>10.8</v>
      </c>
      <c r="R67" s="19">
        <v>9.3000000000000007</v>
      </c>
      <c r="S67" s="19">
        <v>11.55813953488372</v>
      </c>
    </row>
    <row r="68" spans="1:19" x14ac:dyDescent="0.25">
      <c r="A68" s="18" t="s">
        <v>92</v>
      </c>
      <c r="B68" s="19">
        <v>17.5</v>
      </c>
      <c r="C68" s="19">
        <v>14</v>
      </c>
      <c r="D68" s="19">
        <v>11.5</v>
      </c>
      <c r="E68" s="19">
        <v>14.333333333333334</v>
      </c>
      <c r="F68" s="19">
        <v>14.047619047619047</v>
      </c>
      <c r="N68" s="18" t="s">
        <v>70</v>
      </c>
      <c r="O68" s="19">
        <v>7.0526315789473681</v>
      </c>
      <c r="P68" s="19">
        <v>5.8666666666666663</v>
      </c>
      <c r="Q68" s="19">
        <v>10.916666666666666</v>
      </c>
      <c r="R68" s="19">
        <v>7</v>
      </c>
      <c r="S68" s="19">
        <v>7.5849056603773581</v>
      </c>
    </row>
    <row r="69" spans="1:19" x14ac:dyDescent="0.25">
      <c r="A69" s="18" t="s">
        <v>96</v>
      </c>
      <c r="B69" s="19">
        <v>8.125</v>
      </c>
      <c r="C69" s="19">
        <v>5.25</v>
      </c>
      <c r="D69" s="19">
        <v>8.5</v>
      </c>
      <c r="E69" s="19">
        <v>11</v>
      </c>
      <c r="F69" s="19">
        <v>8.1999999999999993</v>
      </c>
      <c r="N69" s="18" t="s">
        <v>71</v>
      </c>
      <c r="O69" s="19">
        <v>5</v>
      </c>
      <c r="P69" s="19">
        <v>2.8</v>
      </c>
      <c r="Q69" s="19">
        <v>10</v>
      </c>
      <c r="R69" s="19">
        <v>9.5</v>
      </c>
      <c r="S69" s="19">
        <v>6.2857142857142856</v>
      </c>
    </row>
    <row r="70" spans="1:19" x14ac:dyDescent="0.25">
      <c r="A70" s="18" t="s">
        <v>101</v>
      </c>
      <c r="B70" s="19"/>
      <c r="C70" s="19"/>
      <c r="D70" s="19"/>
      <c r="E70" s="19">
        <v>5.5333333333333332</v>
      </c>
      <c r="F70" s="19">
        <v>5.5333333333333332</v>
      </c>
      <c r="N70" s="18" t="s">
        <v>73</v>
      </c>
      <c r="O70" s="19">
        <v>23.625</v>
      </c>
      <c r="P70" s="19">
        <v>13</v>
      </c>
      <c r="Q70" s="19">
        <v>27.5</v>
      </c>
      <c r="R70" s="19">
        <v>22.6</v>
      </c>
      <c r="S70" s="19">
        <v>21.472222222222221</v>
      </c>
    </row>
    <row r="71" spans="1:19" x14ac:dyDescent="0.25">
      <c r="A71" s="18" t="s">
        <v>100</v>
      </c>
      <c r="B71" s="19">
        <v>11.5</v>
      </c>
      <c r="C71" s="19">
        <v>7.4545454545454541</v>
      </c>
      <c r="D71" s="19">
        <v>19</v>
      </c>
      <c r="E71" s="19">
        <v>15.75</v>
      </c>
      <c r="F71" s="19">
        <v>11.6</v>
      </c>
      <c r="N71" s="18" t="s">
        <v>59</v>
      </c>
      <c r="O71" s="19">
        <v>18.5</v>
      </c>
      <c r="P71" s="19">
        <v>17.125</v>
      </c>
      <c r="Q71" s="19">
        <v>17.25</v>
      </c>
      <c r="R71" s="19">
        <v>20.2</v>
      </c>
      <c r="S71" s="19">
        <v>18.121212121212121</v>
      </c>
    </row>
    <row r="72" spans="1:19" x14ac:dyDescent="0.25">
      <c r="A72" s="18" t="s">
        <v>98</v>
      </c>
      <c r="B72" s="19">
        <v>9</v>
      </c>
      <c r="C72" s="19">
        <v>16.5</v>
      </c>
      <c r="D72" s="19">
        <v>9.1999999999999993</v>
      </c>
      <c r="E72" s="19"/>
      <c r="F72" s="19">
        <v>9.9411764705882355</v>
      </c>
      <c r="N72" s="18" t="s">
        <v>60</v>
      </c>
      <c r="O72" s="19">
        <v>7</v>
      </c>
      <c r="P72" s="19">
        <v>4</v>
      </c>
      <c r="Q72" s="19">
        <v>5.666666666666667</v>
      </c>
      <c r="R72" s="19">
        <v>3</v>
      </c>
      <c r="S72" s="19">
        <v>4.75</v>
      </c>
    </row>
    <row r="73" spans="1:19" x14ac:dyDescent="0.25">
      <c r="A73" s="18" t="s">
        <v>97</v>
      </c>
      <c r="B73" s="19">
        <v>7.6875</v>
      </c>
      <c r="C73" s="19"/>
      <c r="D73" s="19"/>
      <c r="E73" s="19">
        <v>9</v>
      </c>
      <c r="F73" s="19">
        <v>8.0869565217391308</v>
      </c>
      <c r="N73" s="18" t="s">
        <v>68</v>
      </c>
      <c r="O73" s="19">
        <v>9</v>
      </c>
      <c r="P73" s="19">
        <v>5</v>
      </c>
      <c r="Q73" s="19">
        <v>6.5</v>
      </c>
      <c r="R73" s="19">
        <v>10</v>
      </c>
      <c r="S73" s="19">
        <v>7.4</v>
      </c>
    </row>
    <row r="74" spans="1:19" x14ac:dyDescent="0.25">
      <c r="A74" s="18" t="s">
        <v>99</v>
      </c>
      <c r="B74" s="19">
        <v>7</v>
      </c>
      <c r="C74" s="19">
        <v>8.6666666666666661</v>
      </c>
      <c r="D74" s="19">
        <v>9</v>
      </c>
      <c r="E74" s="19">
        <v>7.25</v>
      </c>
      <c r="F74" s="19">
        <v>7.8571428571428568</v>
      </c>
      <c r="N74" s="18" t="s">
        <v>76</v>
      </c>
      <c r="O74" s="19">
        <v>2.3333333333333335</v>
      </c>
      <c r="P74" s="19">
        <v>2.5</v>
      </c>
      <c r="Q74" s="19">
        <v>1.5</v>
      </c>
      <c r="R74" s="19">
        <v>2.5</v>
      </c>
      <c r="S74" s="19">
        <v>2.2222222222222223</v>
      </c>
    </row>
    <row r="75" spans="1:19" x14ac:dyDescent="0.25">
      <c r="A75" s="18" t="s">
        <v>82</v>
      </c>
      <c r="B75" s="19">
        <v>6.4</v>
      </c>
      <c r="C75" s="19">
        <v>5.9</v>
      </c>
      <c r="D75" s="19"/>
      <c r="E75" s="19">
        <v>7</v>
      </c>
      <c r="F75" s="19">
        <v>6.4333333333333336</v>
      </c>
      <c r="N75" s="18" t="s">
        <v>75</v>
      </c>
      <c r="O75" s="19">
        <v>25.5</v>
      </c>
      <c r="P75" s="19">
        <v>12</v>
      </c>
      <c r="Q75" s="19">
        <v>12.6</v>
      </c>
      <c r="R75" s="19">
        <v>14</v>
      </c>
      <c r="S75" s="19">
        <v>16.5</v>
      </c>
    </row>
    <row r="76" spans="1:19" x14ac:dyDescent="0.25">
      <c r="A76" s="18" t="s">
        <v>95</v>
      </c>
      <c r="B76" s="19"/>
      <c r="C76" s="19">
        <v>10.375</v>
      </c>
      <c r="D76" s="19"/>
      <c r="E76" s="19"/>
      <c r="F76" s="19">
        <v>10.375</v>
      </c>
      <c r="N76" s="18" t="s">
        <v>54</v>
      </c>
      <c r="O76" s="19">
        <v>9.3000000000000007</v>
      </c>
      <c r="P76" s="19">
        <v>9</v>
      </c>
      <c r="Q76" s="19">
        <v>14</v>
      </c>
      <c r="R76" s="19">
        <v>8.3333333333333339</v>
      </c>
      <c r="S76" s="19">
        <v>9.7619047619047628</v>
      </c>
    </row>
    <row r="77" spans="1:19" x14ac:dyDescent="0.25">
      <c r="A77" s="18" t="s">
        <v>32</v>
      </c>
      <c r="B77" s="19">
        <v>8.1395348837209305</v>
      </c>
      <c r="C77" s="19">
        <v>7.7739130434782613</v>
      </c>
      <c r="D77" s="19">
        <v>8.5568181818181817</v>
      </c>
      <c r="E77" s="19">
        <v>8.24</v>
      </c>
      <c r="F77" s="19">
        <v>8.1539999999999999</v>
      </c>
      <c r="N77" s="18" t="s">
        <v>72</v>
      </c>
      <c r="O77" s="19">
        <v>17.285714285714285</v>
      </c>
      <c r="P77" s="19">
        <v>8.5</v>
      </c>
      <c r="Q77" s="19">
        <v>12.5</v>
      </c>
      <c r="R77" s="19">
        <v>12.142857142857142</v>
      </c>
      <c r="S77" s="19">
        <v>12.818181818181818</v>
      </c>
    </row>
    <row r="78" spans="1:19" x14ac:dyDescent="0.25">
      <c r="N78" s="18" t="s">
        <v>74</v>
      </c>
      <c r="O78" s="19">
        <v>13.625</v>
      </c>
      <c r="P78" s="19">
        <v>18.3</v>
      </c>
      <c r="Q78" s="19">
        <v>15.777777777777779</v>
      </c>
      <c r="R78" s="19">
        <v>13.6</v>
      </c>
      <c r="S78" s="19">
        <v>15.275</v>
      </c>
    </row>
    <row r="79" spans="1:19" x14ac:dyDescent="0.25">
      <c r="N79" s="18" t="s">
        <v>56</v>
      </c>
      <c r="O79" s="19">
        <v>6.7142857142857144</v>
      </c>
      <c r="P79" s="19">
        <v>4.4285714285714288</v>
      </c>
      <c r="Q79" s="19">
        <v>8</v>
      </c>
      <c r="R79" s="19">
        <v>16</v>
      </c>
      <c r="S79" s="19">
        <v>6.5555555555555554</v>
      </c>
    </row>
    <row r="80" spans="1:19" x14ac:dyDescent="0.25">
      <c r="N80" s="18" t="s">
        <v>62</v>
      </c>
      <c r="O80" s="19">
        <v>4.333333333333333</v>
      </c>
      <c r="P80" s="19">
        <v>2.3333333333333335</v>
      </c>
      <c r="Q80" s="19">
        <v>4</v>
      </c>
      <c r="R80" s="19">
        <v>10</v>
      </c>
      <c r="S80" s="19">
        <v>4.25</v>
      </c>
    </row>
    <row r="81" spans="14:19" x14ac:dyDescent="0.25">
      <c r="N81" s="18" t="s">
        <v>45</v>
      </c>
      <c r="O81" s="19">
        <v>4</v>
      </c>
      <c r="P81" s="19">
        <v>4</v>
      </c>
      <c r="Q81" s="19"/>
      <c r="R81" s="19"/>
      <c r="S81" s="19">
        <v>4</v>
      </c>
    </row>
    <row r="82" spans="14:19" x14ac:dyDescent="0.25">
      <c r="N82" s="18" t="s">
        <v>63</v>
      </c>
      <c r="O82" s="19">
        <v>6.333333333333333</v>
      </c>
      <c r="P82" s="19">
        <v>5.666666666666667</v>
      </c>
      <c r="Q82" s="19"/>
      <c r="R82" s="19">
        <v>5</v>
      </c>
      <c r="S82" s="19">
        <v>5.666666666666667</v>
      </c>
    </row>
    <row r="83" spans="14:19" x14ac:dyDescent="0.25">
      <c r="N83" s="18" t="s">
        <v>53</v>
      </c>
      <c r="O83" s="19"/>
      <c r="P83" s="19">
        <v>7</v>
      </c>
      <c r="Q83" s="19"/>
      <c r="R83" s="19">
        <v>13</v>
      </c>
      <c r="S83" s="19">
        <v>9</v>
      </c>
    </row>
    <row r="84" spans="14:19" x14ac:dyDescent="0.25">
      <c r="N84" s="18" t="s">
        <v>32</v>
      </c>
      <c r="O84" s="19">
        <v>14.861904761904762</v>
      </c>
      <c r="P84" s="19">
        <v>11.422459893048128</v>
      </c>
      <c r="Q84" s="19">
        <v>12.303448275862069</v>
      </c>
      <c r="R84" s="19">
        <v>12.862068965517242</v>
      </c>
      <c r="S84" s="19">
        <v>12.968085106382979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Entry Form</vt:lpstr>
      <vt:lpstr>DataTable</vt:lpstr>
      <vt:lpstr>Data Validation</vt:lpstr>
      <vt:lpstr>Reporting</vt:lpstr>
      <vt:lpstr>DOW</vt:lpstr>
      <vt:lpstr>LOCATIONS</vt:lpstr>
      <vt:lpstr>SHUTTLE_ROUTES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Gwaltney</dc:creator>
  <cp:lastModifiedBy>Windows User</cp:lastModifiedBy>
  <dcterms:created xsi:type="dcterms:W3CDTF">2015-08-18T16:47:40Z</dcterms:created>
  <dcterms:modified xsi:type="dcterms:W3CDTF">2020-09-03T18:49:51Z</dcterms:modified>
</cp:coreProperties>
</file>